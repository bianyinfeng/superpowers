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参数" sheetId="2" state="visible" r:id="rId2"/>
    <sheet name="评级迁移" sheetId="3" state="visible" r:id="rId3"/>
    <sheet name="利差假设" sheetId="4" state="visible" r:id="rId4"/>
    <sheet name="组合输入" sheetId="5" state="visible" r:id="rId5"/>
    <sheet name="状态价值" sheetId="6" state="visible" r:id="rId6"/>
    <sheet name="模拟" sheetId="7" state="visible" r:id="rId7"/>
    <sheet name="结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pivotButton="0" quotePrefix="0" xfId="0"/>
    <xf numFmtId="1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0" fillId="3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CreditMetrics 单因子 Excel 模板</t>
        </is>
      </c>
      <c r="B1" s="2" t="n"/>
    </row>
    <row r="2">
      <c r="A2" s="2" t="n"/>
      <c r="B2" s="2" t="n"/>
    </row>
    <row r="3">
      <c r="A3" s="3" t="inlineStr">
        <is>
          <t>用途</t>
        </is>
      </c>
      <c r="B3" s="2" t="inlineStr">
        <is>
          <t>基于评级迁移、信用利差与单系统因子模拟，实现 CreditMetrics 风格的组合信用风险测算模板。</t>
        </is>
      </c>
    </row>
    <row r="4">
      <c r="A4" s="3" t="inlineStr">
        <is>
          <t>建议流程</t>
        </is>
      </c>
      <c r="B4" s="2" t="inlineStr">
        <is>
          <t>1. 调整参数
2. 录入迁移矩阵与利差
3. 维护组合输入
4. 查看状态价值
5. 在结果页读取 VaR / ES</t>
        </is>
      </c>
    </row>
    <row r="5">
      <c r="A5" s="3" t="inlineStr">
        <is>
          <t>关键假设</t>
        </is>
      </c>
      <c r="B5" s="2" t="inlineStr">
        <is>
          <t>一年持有期、年度票息、违约价值 = 面值 × 回收率、相关性通过系统因子权重近似。</t>
        </is>
      </c>
    </row>
    <row r="6">
      <c r="A6" s="3" t="inlineStr">
        <is>
          <t>扩展方式</t>
        </is>
      </c>
      <c r="B6" s="2" t="inlineStr">
        <is>
          <t>若需更多债项，复制“组合输入”和“状态价值”行，以及“模拟”中每个债项对应的 5 列块。</t>
        </is>
      </c>
    </row>
    <row r="7">
      <c r="A7" s="2" t="n"/>
      <c r="B7" s="2" t="n"/>
    </row>
    <row r="8">
      <c r="A8" s="3" t="inlineStr">
        <is>
          <t>工作表</t>
        </is>
      </c>
      <c r="B8" s="2" t="n"/>
    </row>
    <row r="9">
      <c r="A9" s="3" t="inlineStr">
        <is>
          <t>参数</t>
        </is>
      </c>
      <c r="B9" s="2" t="inlineStr">
        <is>
          <t>持有期、置信度、模拟次数、无风险利率</t>
        </is>
      </c>
    </row>
    <row r="10">
      <c r="A10" s="3" t="inlineStr">
        <is>
          <t>评级迁移</t>
        </is>
      </c>
      <c r="B10" s="2" t="inlineStr">
        <is>
          <t>评级迁移矩阵与累计概率</t>
        </is>
      </c>
    </row>
    <row r="11">
      <c r="A11" s="3" t="inlineStr">
        <is>
          <t>利差假设</t>
        </is>
      </c>
      <c r="B11" s="2" t="inlineStr">
        <is>
          <t>远期估值所需的评级利差</t>
        </is>
      </c>
    </row>
    <row r="12">
      <c r="A12" s="3" t="inlineStr">
        <is>
          <t>组合输入</t>
        </is>
      </c>
      <c r="B12" s="2" t="inlineStr">
        <is>
          <t>债项面值、票息、期限、回收率、系统因子权重</t>
        </is>
      </c>
    </row>
    <row r="13">
      <c r="A13" s="3" t="inlineStr">
        <is>
          <t>状态价值</t>
        </is>
      </c>
      <c r="B13" s="2" t="inlineStr">
        <is>
          <t>每个债项在不同迁移终点下的价值与解析统计</t>
        </is>
      </c>
    </row>
    <row r="14">
      <c r="A14" s="3" t="inlineStr">
        <is>
          <t>模拟</t>
        </is>
      </c>
      <c r="B14" s="2" t="inlineStr">
        <is>
          <t>蒙特卡洛模拟场景、迁移结果与组合损失</t>
        </is>
      </c>
    </row>
    <row r="15">
      <c r="A15" s="3" t="inlineStr">
        <is>
          <t>结果</t>
        </is>
      </c>
      <c r="B15" s="2" t="inlineStr">
        <is>
          <t>组合层面的 EL、UL、VaR、ES 与模拟/解析校验</t>
        </is>
      </c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4" t="inlineStr">
        <is>
          <t>参数</t>
        </is>
      </c>
      <c r="B1" s="4" t="inlineStr">
        <is>
          <t>值</t>
        </is>
      </c>
    </row>
    <row r="2">
      <c r="A2" s="5" t="inlineStr">
        <is>
          <t>持有期(年)</t>
        </is>
      </c>
      <c r="B2" s="6" t="n">
        <v>1</v>
      </c>
    </row>
    <row r="3">
      <c r="A3" s="5" t="inlineStr">
        <is>
          <t>置信度</t>
        </is>
      </c>
      <c r="B3" s="7" t="n">
        <v>0.99</v>
      </c>
    </row>
    <row r="4">
      <c r="A4" s="5" t="inlineStr">
        <is>
          <t>模拟次数(≤500)</t>
        </is>
      </c>
      <c r="B4" s="6" t="n">
        <v>200</v>
      </c>
    </row>
    <row r="5">
      <c r="A5" s="5" t="inlineStr">
        <is>
          <t>无风险利率</t>
        </is>
      </c>
      <c r="B5" s="7" t="n">
        <v>0.03</v>
      </c>
    </row>
    <row r="6">
      <c r="A6" s="5" t="inlineStr">
        <is>
          <t>损失分位数说明</t>
        </is>
      </c>
      <c r="B6" s="5" t="inlineStr">
        <is>
          <t>结果页 VaR/ES 基于模拟损失分布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" t="inlineStr">
        <is>
          <t>当前评级</t>
        </is>
      </c>
      <c r="B1" s="4" t="inlineStr">
        <is>
          <t>AAA</t>
        </is>
      </c>
      <c r="C1" s="4" t="inlineStr">
        <is>
          <t>AA</t>
        </is>
      </c>
      <c r="D1" s="4" t="inlineStr">
        <is>
          <t>A</t>
        </is>
      </c>
      <c r="E1" s="4" t="inlineStr">
        <is>
          <t>BBB</t>
        </is>
      </c>
      <c r="F1" s="4" t="inlineStr">
        <is>
          <t>BB</t>
        </is>
      </c>
      <c r="G1" s="4" t="inlineStr">
        <is>
          <t>B</t>
        </is>
      </c>
      <c r="H1" s="4" t="inlineStr">
        <is>
          <t>CCC</t>
        </is>
      </c>
      <c r="I1" s="4" t="inlineStr">
        <is>
          <t>D</t>
        </is>
      </c>
      <c r="J1" s="8" t="inlineStr"/>
      <c r="K1" s="4" t="inlineStr">
        <is>
          <t>累计AAA</t>
        </is>
      </c>
      <c r="L1" s="4" t="inlineStr">
        <is>
          <t>累计AA</t>
        </is>
      </c>
      <c r="M1" s="4" t="inlineStr">
        <is>
          <t>累计A</t>
        </is>
      </c>
      <c r="N1" s="4" t="inlineStr">
        <is>
          <t>累计BBB</t>
        </is>
      </c>
      <c r="O1" s="4" t="inlineStr">
        <is>
          <t>累计BB</t>
        </is>
      </c>
      <c r="P1" s="4" t="inlineStr">
        <is>
          <t>累计B</t>
        </is>
      </c>
      <c r="Q1" s="4" t="inlineStr">
        <is>
          <t>累计CCC</t>
        </is>
      </c>
      <c r="R1" s="4" t="inlineStr">
        <is>
          <t>累计D</t>
        </is>
      </c>
      <c r="S1" s="4" t="inlineStr">
        <is>
          <t>行和</t>
        </is>
      </c>
    </row>
    <row r="2">
      <c r="A2" s="9" t="inlineStr">
        <is>
          <t>AAA</t>
        </is>
      </c>
      <c r="B2" s="7" t="n">
        <v>0.9</v>
      </c>
      <c r="C2" s="7" t="n">
        <v>0.08500000000000001</v>
      </c>
      <c r="D2" s="7" t="n">
        <v>0.01</v>
      </c>
      <c r="E2" s="7" t="n">
        <v>0.003</v>
      </c>
      <c r="F2" s="7" t="n">
        <v>0.001</v>
      </c>
      <c r="G2" s="7" t="n">
        <v>0.0005</v>
      </c>
      <c r="H2" s="7" t="n">
        <v>0</v>
      </c>
      <c r="I2" s="7" t="n">
        <v>0.0005</v>
      </c>
      <c r="K2" s="10">
        <f>SUM($B2:B2)</f>
        <v/>
      </c>
      <c r="L2" s="10">
        <f>SUM($B2:C2)</f>
        <v/>
      </c>
      <c r="M2" s="10">
        <f>SUM($B2:D2)</f>
        <v/>
      </c>
      <c r="N2" s="10">
        <f>SUM($B2:E2)</f>
        <v/>
      </c>
      <c r="O2" s="10">
        <f>SUM($B2:F2)</f>
        <v/>
      </c>
      <c r="P2" s="10">
        <f>SUM($B2:G2)</f>
        <v/>
      </c>
      <c r="Q2" s="10">
        <f>SUM($B2:H2)</f>
        <v/>
      </c>
      <c r="R2" s="10">
        <f>SUM($B2:I2)</f>
        <v/>
      </c>
      <c r="S2" s="10">
        <f>SUM($B2:$I2)</f>
        <v/>
      </c>
    </row>
    <row r="3">
      <c r="A3" s="9" t="inlineStr">
        <is>
          <t>AA</t>
        </is>
      </c>
      <c r="B3" s="7" t="n">
        <v>0.02</v>
      </c>
      <c r="C3" s="7" t="n">
        <v>0.88</v>
      </c>
      <c r="D3" s="7" t="n">
        <v>0.07000000000000001</v>
      </c>
      <c r="E3" s="7" t="n">
        <v>0.02</v>
      </c>
      <c r="F3" s="7" t="n">
        <v>0.005</v>
      </c>
      <c r="G3" s="7" t="n">
        <v>0.003</v>
      </c>
      <c r="H3" s="7" t="n">
        <v>0.001</v>
      </c>
      <c r="I3" s="7" t="n">
        <v>0.001</v>
      </c>
      <c r="K3" s="10">
        <f>SUM($B3:B3)</f>
        <v/>
      </c>
      <c r="L3" s="10">
        <f>SUM($B3:C3)</f>
        <v/>
      </c>
      <c r="M3" s="10">
        <f>SUM($B3:D3)</f>
        <v/>
      </c>
      <c r="N3" s="10">
        <f>SUM($B3:E3)</f>
        <v/>
      </c>
      <c r="O3" s="10">
        <f>SUM($B3:F3)</f>
        <v/>
      </c>
      <c r="P3" s="10">
        <f>SUM($B3:G3)</f>
        <v/>
      </c>
      <c r="Q3" s="10">
        <f>SUM($B3:H3)</f>
        <v/>
      </c>
      <c r="R3" s="10">
        <f>SUM($B3:I3)</f>
        <v/>
      </c>
      <c r="S3" s="10">
        <f>SUM($B3:$I3)</f>
        <v/>
      </c>
    </row>
    <row r="4">
      <c r="A4" s="9" t="inlineStr">
        <is>
          <t>A</t>
        </is>
      </c>
      <c r="B4" s="7" t="n">
        <v>0.005</v>
      </c>
      <c r="C4" s="7" t="n">
        <v>0.03</v>
      </c>
      <c r="D4" s="7" t="n">
        <v>0.87</v>
      </c>
      <c r="E4" s="7" t="n">
        <v>0.07000000000000001</v>
      </c>
      <c r="F4" s="7" t="n">
        <v>0.015</v>
      </c>
      <c r="G4" s="7" t="n">
        <v>0.005</v>
      </c>
      <c r="H4" s="7" t="n">
        <v>0.003</v>
      </c>
      <c r="I4" s="7" t="n">
        <v>0.002</v>
      </c>
      <c r="K4" s="10">
        <f>SUM($B4:B4)</f>
        <v/>
      </c>
      <c r="L4" s="10">
        <f>SUM($B4:C4)</f>
        <v/>
      </c>
      <c r="M4" s="10">
        <f>SUM($B4:D4)</f>
        <v/>
      </c>
      <c r="N4" s="10">
        <f>SUM($B4:E4)</f>
        <v/>
      </c>
      <c r="O4" s="10">
        <f>SUM($B4:F4)</f>
        <v/>
      </c>
      <c r="P4" s="10">
        <f>SUM($B4:G4)</f>
        <v/>
      </c>
      <c r="Q4" s="10">
        <f>SUM($B4:H4)</f>
        <v/>
      </c>
      <c r="R4" s="10">
        <f>SUM($B4:I4)</f>
        <v/>
      </c>
      <c r="S4" s="10">
        <f>SUM($B4:$I4)</f>
        <v/>
      </c>
    </row>
    <row r="5">
      <c r="A5" s="9" t="inlineStr">
        <is>
          <t>BBB</t>
        </is>
      </c>
      <c r="B5" s="7" t="n">
        <v>0.001</v>
      </c>
      <c r="C5" s="7" t="n">
        <v>0.01</v>
      </c>
      <c r="D5" s="7" t="n">
        <v>0.06</v>
      </c>
      <c r="E5" s="7" t="n">
        <v>0.83</v>
      </c>
      <c r="F5" s="7" t="n">
        <v>0.06</v>
      </c>
      <c r="G5" s="7" t="n">
        <v>0.02</v>
      </c>
      <c r="H5" s="7" t="n">
        <v>0.01</v>
      </c>
      <c r="I5" s="7" t="n">
        <v>0.008999999999999999</v>
      </c>
      <c r="K5" s="10">
        <f>SUM($B5:B5)</f>
        <v/>
      </c>
      <c r="L5" s="10">
        <f>SUM($B5:C5)</f>
        <v/>
      </c>
      <c r="M5" s="10">
        <f>SUM($B5:D5)</f>
        <v/>
      </c>
      <c r="N5" s="10">
        <f>SUM($B5:E5)</f>
        <v/>
      </c>
      <c r="O5" s="10">
        <f>SUM($B5:F5)</f>
        <v/>
      </c>
      <c r="P5" s="10">
        <f>SUM($B5:G5)</f>
        <v/>
      </c>
      <c r="Q5" s="10">
        <f>SUM($B5:H5)</f>
        <v/>
      </c>
      <c r="R5" s="10">
        <f>SUM($B5:I5)</f>
        <v/>
      </c>
      <c r="S5" s="10">
        <f>SUM($B5:$I5)</f>
        <v/>
      </c>
    </row>
    <row r="6">
      <c r="A6" s="9" t="inlineStr">
        <is>
          <t>BB</t>
        </is>
      </c>
      <c r="B6" s="7" t="n">
        <v>0</v>
      </c>
      <c r="C6" s="7" t="n">
        <v>0.003</v>
      </c>
      <c r="D6" s="7" t="n">
        <v>0.015</v>
      </c>
      <c r="E6" s="7" t="n">
        <v>0.07000000000000001</v>
      </c>
      <c r="F6" s="7" t="n">
        <v>0.79</v>
      </c>
      <c r="G6" s="7" t="n">
        <v>0.08</v>
      </c>
      <c r="H6" s="7" t="n">
        <v>0.02</v>
      </c>
      <c r="I6" s="7" t="n">
        <v>0.022</v>
      </c>
      <c r="K6" s="10">
        <f>SUM($B6:B6)</f>
        <v/>
      </c>
      <c r="L6" s="10">
        <f>SUM($B6:C6)</f>
        <v/>
      </c>
      <c r="M6" s="10">
        <f>SUM($B6:D6)</f>
        <v/>
      </c>
      <c r="N6" s="10">
        <f>SUM($B6:E6)</f>
        <v/>
      </c>
      <c r="O6" s="10">
        <f>SUM($B6:F6)</f>
        <v/>
      </c>
      <c r="P6" s="10">
        <f>SUM($B6:G6)</f>
        <v/>
      </c>
      <c r="Q6" s="10">
        <f>SUM($B6:H6)</f>
        <v/>
      </c>
      <c r="R6" s="10">
        <f>SUM($B6:I6)</f>
        <v/>
      </c>
      <c r="S6" s="10">
        <f>SUM($B6:$I6)</f>
        <v/>
      </c>
    </row>
    <row r="7">
      <c r="A7" s="9" t="inlineStr">
        <is>
          <t>B</t>
        </is>
      </c>
      <c r="B7" s="7" t="n">
        <v>0</v>
      </c>
      <c r="C7" s="7" t="n">
        <v>0.001</v>
      </c>
      <c r="D7" s="7" t="n">
        <v>0.005</v>
      </c>
      <c r="E7" s="7" t="n">
        <v>0.02</v>
      </c>
      <c r="F7" s="7" t="n">
        <v>0.07000000000000001</v>
      </c>
      <c r="G7" s="7" t="n">
        <v>0.78</v>
      </c>
      <c r="H7" s="7" t="n">
        <v>0.06</v>
      </c>
      <c r="I7" s="7" t="n">
        <v>0.064</v>
      </c>
      <c r="K7" s="10">
        <f>SUM($B7:B7)</f>
        <v/>
      </c>
      <c r="L7" s="10">
        <f>SUM($B7:C7)</f>
        <v/>
      </c>
      <c r="M7" s="10">
        <f>SUM($B7:D7)</f>
        <v/>
      </c>
      <c r="N7" s="10">
        <f>SUM($B7:E7)</f>
        <v/>
      </c>
      <c r="O7" s="10">
        <f>SUM($B7:F7)</f>
        <v/>
      </c>
      <c r="P7" s="10">
        <f>SUM($B7:G7)</f>
        <v/>
      </c>
      <c r="Q7" s="10">
        <f>SUM($B7:H7)</f>
        <v/>
      </c>
      <c r="R7" s="10">
        <f>SUM($B7:I7)</f>
        <v/>
      </c>
      <c r="S7" s="10">
        <f>SUM($B7:$I7)</f>
        <v/>
      </c>
    </row>
    <row r="8">
      <c r="A8" s="9" t="inlineStr">
        <is>
          <t>CCC</t>
        </is>
      </c>
      <c r="B8" s="7" t="n">
        <v>0</v>
      </c>
      <c r="C8" s="7" t="n">
        <v>0</v>
      </c>
      <c r="D8" s="7" t="n">
        <v>0.002</v>
      </c>
      <c r="E8" s="7" t="n">
        <v>0.008</v>
      </c>
      <c r="F8" s="7" t="n">
        <v>0.03</v>
      </c>
      <c r="G8" s="7" t="n">
        <v>0.12</v>
      </c>
      <c r="H8" s="7" t="n">
        <v>0.62</v>
      </c>
      <c r="I8" s="7" t="n">
        <v>0.22</v>
      </c>
      <c r="K8" s="10">
        <f>SUM($B8:B8)</f>
        <v/>
      </c>
      <c r="L8" s="10">
        <f>SUM($B8:C8)</f>
        <v/>
      </c>
      <c r="M8" s="10">
        <f>SUM($B8:D8)</f>
        <v/>
      </c>
      <c r="N8" s="10">
        <f>SUM($B8:E8)</f>
        <v/>
      </c>
      <c r="O8" s="10">
        <f>SUM($B8:F8)</f>
        <v/>
      </c>
      <c r="P8" s="10">
        <f>SUM($B8:G8)</f>
        <v/>
      </c>
      <c r="Q8" s="10">
        <f>SUM($B8:H8)</f>
        <v/>
      </c>
      <c r="R8" s="10">
        <f>SUM($B8:I8)</f>
        <v/>
      </c>
      <c r="S8" s="10">
        <f>SUM($B8:$I8)</f>
        <v/>
      </c>
    </row>
    <row r="9">
      <c r="A9" s="9" t="inlineStr">
        <is>
          <t>D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1</v>
      </c>
      <c r="K9" s="10">
        <f>SUM($B9:B9)</f>
        <v/>
      </c>
      <c r="L9" s="10">
        <f>SUM($B9:C9)</f>
        <v/>
      </c>
      <c r="M9" s="10">
        <f>SUM($B9:D9)</f>
        <v/>
      </c>
      <c r="N9" s="10">
        <f>SUM($B9:E9)</f>
        <v/>
      </c>
      <c r="O9" s="10">
        <f>SUM($B9:F9)</f>
        <v/>
      </c>
      <c r="P9" s="10">
        <f>SUM($B9:G9)</f>
        <v/>
      </c>
      <c r="Q9" s="10">
        <f>SUM($B9:H9)</f>
        <v/>
      </c>
      <c r="R9" s="10">
        <f>SUM($B9:I9)</f>
        <v/>
      </c>
      <c r="S9" s="10">
        <f>SUM($B9:$I9)</f>
        <v/>
      </c>
    </row>
  </sheetData>
  <conditionalFormatting sqref="S2:S9">
    <cfRule type="cellIs" priority="1" operator="notEqual" dxfId="0" stopIfTrue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</cols>
  <sheetData>
    <row r="1">
      <c r="A1" s="4" t="inlineStr">
        <is>
          <t>评级</t>
        </is>
      </c>
      <c r="B1" s="4" t="inlineStr">
        <is>
          <t>信用利差</t>
        </is>
      </c>
      <c r="C1" s="4" t="inlineStr">
        <is>
          <t>贴现率(=rf+spread)</t>
        </is>
      </c>
    </row>
    <row r="2">
      <c r="A2" s="11" t="inlineStr">
        <is>
          <t>AAA</t>
        </is>
      </c>
      <c r="B2" s="7" t="n">
        <v>0.005</v>
      </c>
      <c r="C2" s="7">
        <f>'参数'!$B$5+B2</f>
        <v/>
      </c>
    </row>
    <row r="3">
      <c r="A3" s="11" t="inlineStr">
        <is>
          <t>AA</t>
        </is>
      </c>
      <c r="B3" s="7" t="n">
        <v>0.008</v>
      </c>
      <c r="C3" s="7">
        <f>'参数'!$B$5+B3</f>
        <v/>
      </c>
    </row>
    <row r="4">
      <c r="A4" s="11" t="inlineStr">
        <is>
          <t>A</t>
        </is>
      </c>
      <c r="B4" s="7" t="n">
        <v>0.012</v>
      </c>
      <c r="C4" s="7">
        <f>'参数'!$B$5+B4</f>
        <v/>
      </c>
    </row>
    <row r="5">
      <c r="A5" s="11" t="inlineStr">
        <is>
          <t>BBB</t>
        </is>
      </c>
      <c r="B5" s="7" t="n">
        <v>0.02</v>
      </c>
      <c r="C5" s="7">
        <f>'参数'!$B$5+B5</f>
        <v/>
      </c>
    </row>
    <row r="6">
      <c r="A6" s="11" t="inlineStr">
        <is>
          <t>BB</t>
        </is>
      </c>
      <c r="B6" s="7" t="n">
        <v>0.04</v>
      </c>
      <c r="C6" s="7">
        <f>'参数'!$B$5+B6</f>
        <v/>
      </c>
    </row>
    <row r="7">
      <c r="A7" s="11" t="inlineStr">
        <is>
          <t>B</t>
        </is>
      </c>
      <c r="B7" s="7" t="n">
        <v>0.06</v>
      </c>
      <c r="C7" s="7">
        <f>'参数'!$B$5+B7</f>
        <v/>
      </c>
    </row>
    <row r="8">
      <c r="A8" s="11" t="inlineStr">
        <is>
          <t>CCC</t>
        </is>
      </c>
      <c r="B8" s="7" t="n">
        <v>0.1</v>
      </c>
      <c r="C8" s="7">
        <f>'参数'!$B$5+B8</f>
        <v/>
      </c>
    </row>
    <row r="9">
      <c r="A9" s="11" t="inlineStr">
        <is>
          <t>D</t>
        </is>
      </c>
      <c r="B9" s="7" t="n">
        <v>0</v>
      </c>
      <c r="C9" s="7">
        <f>'参数'!$B$5+B9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4" customWidth="1" min="4" max="4"/>
    <col width="10" customWidth="1" min="5" max="5"/>
    <col width="12" customWidth="1" min="6" max="6"/>
    <col width="10" customWidth="1" min="7" max="7"/>
    <col width="14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4" t="inlineStr">
        <is>
          <t>序号</t>
        </is>
      </c>
      <c r="B1" s="4" t="inlineStr">
        <is>
          <t>债项名称</t>
        </is>
      </c>
      <c r="C1" s="4" t="inlineStr">
        <is>
          <t>当前评级</t>
        </is>
      </c>
      <c r="D1" s="4" t="inlineStr">
        <is>
          <t>面值</t>
        </is>
      </c>
      <c r="E1" s="4" t="inlineStr">
        <is>
          <t>票息率</t>
        </is>
      </c>
      <c r="F1" s="4" t="inlineStr">
        <is>
          <t>剩余期限(年)</t>
        </is>
      </c>
      <c r="G1" s="4" t="inlineStr">
        <is>
          <t>回收率</t>
        </is>
      </c>
      <c r="H1" s="4" t="inlineStr">
        <is>
          <t>系统因子权重</t>
        </is>
      </c>
      <c r="I1" s="4" t="inlineStr">
        <is>
          <t>当前利差</t>
        </is>
      </c>
      <c r="J1" s="4" t="inlineStr">
        <is>
          <t>当前价值</t>
        </is>
      </c>
      <c r="K1" s="4" t="inlineStr">
        <is>
          <t>累计AAA</t>
        </is>
      </c>
      <c r="L1" s="4" t="inlineStr">
        <is>
          <t>累计AA</t>
        </is>
      </c>
      <c r="M1" s="4" t="inlineStr">
        <is>
          <t>累计A</t>
        </is>
      </c>
      <c r="N1" s="4" t="inlineStr">
        <is>
          <t>累计BBB</t>
        </is>
      </c>
      <c r="O1" s="4" t="inlineStr">
        <is>
          <t>累计BB</t>
        </is>
      </c>
      <c r="P1" s="4" t="inlineStr">
        <is>
          <t>累计B</t>
        </is>
      </c>
      <c r="Q1" s="4" t="inlineStr">
        <is>
          <t>累计CCC</t>
        </is>
      </c>
      <c r="R1" s="4" t="inlineStr">
        <is>
          <t>累计D</t>
        </is>
      </c>
    </row>
    <row r="2">
      <c r="A2" s="11" t="n">
        <v>1</v>
      </c>
      <c r="B2" s="11" t="inlineStr">
        <is>
          <t>AutoSupplier</t>
        </is>
      </c>
      <c r="C2" s="11" t="inlineStr">
        <is>
          <t>BBB</t>
        </is>
      </c>
      <c r="D2" s="12" t="n">
        <v>10000000</v>
      </c>
      <c r="E2" s="7" t="n">
        <v>0.055</v>
      </c>
      <c r="F2" s="13" t="n">
        <v>5</v>
      </c>
      <c r="G2" s="7" t="n">
        <v>0.4</v>
      </c>
      <c r="H2" s="7" t="n">
        <v>0.45</v>
      </c>
      <c r="I2" s="7">
        <f>IF($C2="","",INDEX('利差假设'!$B$2:$B$9,MATCH($C2,'利差假设'!$A$2:$A$9,0)))</f>
        <v/>
      </c>
      <c r="J2" s="12">
        <f>IF($C2="","",IF($C2="D",$D2*$G2,IF($F2&lt;=1,$D2*(1+$E2),$D2*$E2+IF('参数'!$B$5+$I2=0,$D2+$D2*$E2*($F2-1),$D2*$E2*(1-(1+'参数'!$B$5+$I2)^-($F2-1))/('参数'!$B$5+$I2)+$D2*(1+'参数'!$B$5+$I2)^-($F2-1)))))</f>
        <v/>
      </c>
      <c r="K2" s="7">
        <f>IF($C2="","",INDEX('评级迁移'!$K$2:$K$9,MATCH($C2,'评级迁移'!$A$2:$A$9,0)))</f>
        <v/>
      </c>
      <c r="L2" s="7">
        <f>IF($C2="","",INDEX('评级迁移'!$L$2:$L$9,MATCH($C2,'评级迁移'!$A$2:$A$9,0)))</f>
        <v/>
      </c>
      <c r="M2" s="7">
        <f>IF($C2="","",INDEX('评级迁移'!$M$2:$M$9,MATCH($C2,'评级迁移'!$A$2:$A$9,0)))</f>
        <v/>
      </c>
      <c r="N2" s="7">
        <f>IF($C2="","",INDEX('评级迁移'!$N$2:$N$9,MATCH($C2,'评级迁移'!$A$2:$A$9,0)))</f>
        <v/>
      </c>
      <c r="O2" s="7">
        <f>IF($C2="","",INDEX('评级迁移'!$O$2:$O$9,MATCH($C2,'评级迁移'!$A$2:$A$9,0)))</f>
        <v/>
      </c>
      <c r="P2" s="7">
        <f>IF($C2="","",INDEX('评级迁移'!$P$2:$P$9,MATCH($C2,'评级迁移'!$A$2:$A$9,0)))</f>
        <v/>
      </c>
      <c r="Q2" s="7">
        <f>IF($C2="","",INDEX('评级迁移'!$Q$2:$Q$9,MATCH($C2,'评级迁移'!$A$2:$A$9,0)))</f>
        <v/>
      </c>
      <c r="R2" s="7">
        <f>IF($C2="","",INDEX('评级迁移'!$R$2:$R$9,MATCH($C2,'评级迁移'!$A$2:$A$9,0)))</f>
        <v/>
      </c>
    </row>
    <row r="3">
      <c r="A3" s="11" t="n">
        <v>2</v>
      </c>
      <c r="B3" s="11" t="inlineStr">
        <is>
          <t>PowerUtility</t>
        </is>
      </c>
      <c r="C3" s="11" t="inlineStr">
        <is>
          <t>A</t>
        </is>
      </c>
      <c r="D3" s="12" t="n">
        <v>12000000</v>
      </c>
      <c r="E3" s="7" t="n">
        <v>0.042</v>
      </c>
      <c r="F3" s="13" t="n">
        <v>4</v>
      </c>
      <c r="G3" s="7" t="n">
        <v>0.38</v>
      </c>
      <c r="H3" s="7" t="n">
        <v>0.35</v>
      </c>
      <c r="I3" s="7">
        <f>IF($C3="","",INDEX('利差假设'!$B$2:$B$9,MATCH($C3,'利差假设'!$A$2:$A$9,0)))</f>
        <v/>
      </c>
      <c r="J3" s="12">
        <f>IF($C3="","",IF($C3="D",$D3*$G3,IF($F3&lt;=1,$D3*(1+$E3),$D3*$E3+IF('参数'!$B$5+$I3=0,$D3+$D3*$E3*($F3-1),$D3*$E3*(1-(1+'参数'!$B$5+$I3)^-($F3-1))/('参数'!$B$5+$I3)+$D3*(1+'参数'!$B$5+$I3)^-($F3-1)))))</f>
        <v/>
      </c>
      <c r="K3" s="7">
        <f>IF($C3="","",INDEX('评级迁移'!$K$2:$K$9,MATCH($C3,'评级迁移'!$A$2:$A$9,0)))</f>
        <v/>
      </c>
      <c r="L3" s="7">
        <f>IF($C3="","",INDEX('评级迁移'!$L$2:$L$9,MATCH($C3,'评级迁移'!$A$2:$A$9,0)))</f>
        <v/>
      </c>
      <c r="M3" s="7">
        <f>IF($C3="","",INDEX('评级迁移'!$M$2:$M$9,MATCH($C3,'评级迁移'!$A$2:$A$9,0)))</f>
        <v/>
      </c>
      <c r="N3" s="7">
        <f>IF($C3="","",INDEX('评级迁移'!$N$2:$N$9,MATCH($C3,'评级迁移'!$A$2:$A$9,0)))</f>
        <v/>
      </c>
      <c r="O3" s="7">
        <f>IF($C3="","",INDEX('评级迁移'!$O$2:$O$9,MATCH($C3,'评级迁移'!$A$2:$A$9,0)))</f>
        <v/>
      </c>
      <c r="P3" s="7">
        <f>IF($C3="","",INDEX('评级迁移'!$P$2:$P$9,MATCH($C3,'评级迁移'!$A$2:$A$9,0)))</f>
        <v/>
      </c>
      <c r="Q3" s="7">
        <f>IF($C3="","",INDEX('评级迁移'!$Q$2:$Q$9,MATCH($C3,'评级迁移'!$A$2:$A$9,0)))</f>
        <v/>
      </c>
      <c r="R3" s="7">
        <f>IF($C3="","",INDEX('评级迁移'!$R$2:$R$9,MATCH($C3,'评级迁移'!$A$2:$A$9,0)))</f>
        <v/>
      </c>
    </row>
    <row r="4">
      <c r="A4" s="11" t="n">
        <v>3</v>
      </c>
      <c r="B4" s="11" t="inlineStr">
        <is>
          <t>RetailCo</t>
        </is>
      </c>
      <c r="C4" s="11" t="inlineStr">
        <is>
          <t>BB</t>
        </is>
      </c>
      <c r="D4" s="12" t="n">
        <v>8000000</v>
      </c>
      <c r="E4" s="7" t="n">
        <v>0.068</v>
      </c>
      <c r="F4" s="13" t="n">
        <v>3</v>
      </c>
      <c r="G4" s="7" t="n">
        <v>0.35</v>
      </c>
      <c r="H4" s="7" t="n">
        <v>0.5</v>
      </c>
      <c r="I4" s="7">
        <f>IF($C4="","",INDEX('利差假设'!$B$2:$B$9,MATCH($C4,'利差假设'!$A$2:$A$9,0)))</f>
        <v/>
      </c>
      <c r="J4" s="12">
        <f>IF($C4="","",IF($C4="D",$D4*$G4,IF($F4&lt;=1,$D4*(1+$E4),$D4*$E4+IF('参数'!$B$5+$I4=0,$D4+$D4*$E4*($F4-1),$D4*$E4*(1-(1+'参数'!$B$5+$I4)^-($F4-1))/('参数'!$B$5+$I4)+$D4*(1+'参数'!$B$5+$I4)^-($F4-1)))))</f>
        <v/>
      </c>
      <c r="K4" s="7">
        <f>IF($C4="","",INDEX('评级迁移'!$K$2:$K$9,MATCH($C4,'评级迁移'!$A$2:$A$9,0)))</f>
        <v/>
      </c>
      <c r="L4" s="7">
        <f>IF($C4="","",INDEX('评级迁移'!$L$2:$L$9,MATCH($C4,'评级迁移'!$A$2:$A$9,0)))</f>
        <v/>
      </c>
      <c r="M4" s="7">
        <f>IF($C4="","",INDEX('评级迁移'!$M$2:$M$9,MATCH($C4,'评级迁移'!$A$2:$A$9,0)))</f>
        <v/>
      </c>
      <c r="N4" s="7">
        <f>IF($C4="","",INDEX('评级迁移'!$N$2:$N$9,MATCH($C4,'评级迁移'!$A$2:$A$9,0)))</f>
        <v/>
      </c>
      <c r="O4" s="7">
        <f>IF($C4="","",INDEX('评级迁移'!$O$2:$O$9,MATCH($C4,'评级迁移'!$A$2:$A$9,0)))</f>
        <v/>
      </c>
      <c r="P4" s="7">
        <f>IF($C4="","",INDEX('评级迁移'!$P$2:$P$9,MATCH($C4,'评级迁移'!$A$2:$A$9,0)))</f>
        <v/>
      </c>
      <c r="Q4" s="7">
        <f>IF($C4="","",INDEX('评级迁移'!$Q$2:$Q$9,MATCH($C4,'评级迁移'!$A$2:$A$9,0)))</f>
        <v/>
      </c>
      <c r="R4" s="7">
        <f>IF($C4="","",INDEX('评级迁移'!$R$2:$R$9,MATCH($C4,'评级迁移'!$A$2:$A$9,0)))</f>
        <v/>
      </c>
    </row>
    <row r="5">
      <c r="A5" s="11" t="n">
        <v>4</v>
      </c>
      <c r="B5" s="11" t="inlineStr">
        <is>
          <t>TelecomInfra</t>
        </is>
      </c>
      <c r="C5" s="11" t="inlineStr">
        <is>
          <t>AA</t>
        </is>
      </c>
      <c r="D5" s="12" t="n">
        <v>15000000</v>
      </c>
      <c r="E5" s="7" t="n">
        <v>0.039</v>
      </c>
      <c r="F5" s="13" t="n">
        <v>6</v>
      </c>
      <c r="G5" s="7" t="n">
        <v>0.45</v>
      </c>
      <c r="H5" s="7" t="n">
        <v>0.3</v>
      </c>
      <c r="I5" s="7">
        <f>IF($C5="","",INDEX('利差假设'!$B$2:$B$9,MATCH($C5,'利差假设'!$A$2:$A$9,0)))</f>
        <v/>
      </c>
      <c r="J5" s="12">
        <f>IF($C5="","",IF($C5="D",$D5*$G5,IF($F5&lt;=1,$D5*(1+$E5),$D5*$E5+IF('参数'!$B$5+$I5=0,$D5+$D5*$E5*($F5-1),$D5*$E5*(1-(1+'参数'!$B$5+$I5)^-($F5-1))/('参数'!$B$5+$I5)+$D5*(1+'参数'!$B$5+$I5)^-($F5-1)))))</f>
        <v/>
      </c>
      <c r="K5" s="7">
        <f>IF($C5="","",INDEX('评级迁移'!$K$2:$K$9,MATCH($C5,'评级迁移'!$A$2:$A$9,0)))</f>
        <v/>
      </c>
      <c r="L5" s="7">
        <f>IF($C5="","",INDEX('评级迁移'!$L$2:$L$9,MATCH($C5,'评级迁移'!$A$2:$A$9,0)))</f>
        <v/>
      </c>
      <c r="M5" s="7">
        <f>IF($C5="","",INDEX('评级迁移'!$M$2:$M$9,MATCH($C5,'评级迁移'!$A$2:$A$9,0)))</f>
        <v/>
      </c>
      <c r="N5" s="7">
        <f>IF($C5="","",INDEX('评级迁移'!$N$2:$N$9,MATCH($C5,'评级迁移'!$A$2:$A$9,0)))</f>
        <v/>
      </c>
      <c r="O5" s="7">
        <f>IF($C5="","",INDEX('评级迁移'!$O$2:$O$9,MATCH($C5,'评级迁移'!$A$2:$A$9,0)))</f>
        <v/>
      </c>
      <c r="P5" s="7">
        <f>IF($C5="","",INDEX('评级迁移'!$P$2:$P$9,MATCH($C5,'评级迁移'!$A$2:$A$9,0)))</f>
        <v/>
      </c>
      <c r="Q5" s="7">
        <f>IF($C5="","",INDEX('评级迁移'!$Q$2:$Q$9,MATCH($C5,'评级迁移'!$A$2:$A$9,0)))</f>
        <v/>
      </c>
      <c r="R5" s="7">
        <f>IF($C5="","",INDEX('评级迁移'!$R$2:$R$9,MATCH($C5,'评级迁移'!$A$2:$A$9,0)))</f>
        <v/>
      </c>
    </row>
    <row r="6">
      <c r="A6" s="11" t="n">
        <v>5</v>
      </c>
      <c r="B6" s="11" t="inlineStr">
        <is>
          <t>PropertyDev</t>
        </is>
      </c>
      <c r="C6" s="11" t="inlineStr">
        <is>
          <t>B</t>
        </is>
      </c>
      <c r="D6" s="12" t="n">
        <v>6000000</v>
      </c>
      <c r="E6" s="7" t="n">
        <v>0.08500000000000001</v>
      </c>
      <c r="F6" s="13" t="n">
        <v>2</v>
      </c>
      <c r="G6" s="7" t="n">
        <v>0.25</v>
      </c>
      <c r="H6" s="7" t="n">
        <v>0.55</v>
      </c>
      <c r="I6" s="7">
        <f>IF($C6="","",INDEX('利差假设'!$B$2:$B$9,MATCH($C6,'利差假设'!$A$2:$A$9,0)))</f>
        <v/>
      </c>
      <c r="J6" s="12">
        <f>IF($C6="","",IF($C6="D",$D6*$G6,IF($F6&lt;=1,$D6*(1+$E6),$D6*$E6+IF('参数'!$B$5+$I6=0,$D6+$D6*$E6*($F6-1),$D6*$E6*(1-(1+'参数'!$B$5+$I6)^-($F6-1))/('参数'!$B$5+$I6)+$D6*(1+'参数'!$B$5+$I6)^-($F6-1)))))</f>
        <v/>
      </c>
      <c r="K6" s="7">
        <f>IF($C6="","",INDEX('评级迁移'!$K$2:$K$9,MATCH($C6,'评级迁移'!$A$2:$A$9,0)))</f>
        <v/>
      </c>
      <c r="L6" s="7">
        <f>IF($C6="","",INDEX('评级迁移'!$L$2:$L$9,MATCH($C6,'评级迁移'!$A$2:$A$9,0)))</f>
        <v/>
      </c>
      <c r="M6" s="7">
        <f>IF($C6="","",INDEX('评级迁移'!$M$2:$M$9,MATCH($C6,'评级迁移'!$A$2:$A$9,0)))</f>
        <v/>
      </c>
      <c r="N6" s="7">
        <f>IF($C6="","",INDEX('评级迁移'!$N$2:$N$9,MATCH($C6,'评级迁移'!$A$2:$A$9,0)))</f>
        <v/>
      </c>
      <c r="O6" s="7">
        <f>IF($C6="","",INDEX('评级迁移'!$O$2:$O$9,MATCH($C6,'评级迁移'!$A$2:$A$9,0)))</f>
        <v/>
      </c>
      <c r="P6" s="7">
        <f>IF($C6="","",INDEX('评级迁移'!$P$2:$P$9,MATCH($C6,'评级迁移'!$A$2:$A$9,0)))</f>
        <v/>
      </c>
      <c r="Q6" s="7">
        <f>IF($C6="","",INDEX('评级迁移'!$Q$2:$Q$9,MATCH($C6,'评级迁移'!$A$2:$A$9,0)))</f>
        <v/>
      </c>
      <c r="R6" s="7">
        <f>IF($C6="","",INDEX('评级迁移'!$R$2:$R$9,MATCH($C6,'评级迁移'!$A$2:$A$9,0)))</f>
        <v/>
      </c>
    </row>
    <row r="7">
      <c r="A7" s="11" t="n">
        <v>6</v>
      </c>
      <c r="B7" s="11" t="n"/>
      <c r="C7" s="11" t="n"/>
      <c r="D7" s="12" t="n"/>
      <c r="E7" s="7" t="n"/>
      <c r="F7" s="13" t="n"/>
      <c r="G7" s="7" t="n"/>
      <c r="H7" s="7" t="n"/>
      <c r="I7" s="7">
        <f>IF($C7="","",INDEX('利差假设'!$B$2:$B$9,MATCH($C7,'利差假设'!$A$2:$A$9,0)))</f>
        <v/>
      </c>
      <c r="J7" s="12">
        <f>IF($C7="","",IF($C7="D",$D7*$G7,IF($F7&lt;=1,$D7*(1+$E7),$D7*$E7+IF('参数'!$B$5+$I7=0,$D7+$D7*$E7*($F7-1),$D7*$E7*(1-(1+'参数'!$B$5+$I7)^-($F7-1))/('参数'!$B$5+$I7)+$D7*(1+'参数'!$B$5+$I7)^-($F7-1)))))</f>
        <v/>
      </c>
      <c r="K7" s="7">
        <f>IF($C7="","",INDEX('评级迁移'!$K$2:$K$9,MATCH($C7,'评级迁移'!$A$2:$A$9,0)))</f>
        <v/>
      </c>
      <c r="L7" s="7">
        <f>IF($C7="","",INDEX('评级迁移'!$L$2:$L$9,MATCH($C7,'评级迁移'!$A$2:$A$9,0)))</f>
        <v/>
      </c>
      <c r="M7" s="7">
        <f>IF($C7="","",INDEX('评级迁移'!$M$2:$M$9,MATCH($C7,'评级迁移'!$A$2:$A$9,0)))</f>
        <v/>
      </c>
      <c r="N7" s="7">
        <f>IF($C7="","",INDEX('评级迁移'!$N$2:$N$9,MATCH($C7,'评级迁移'!$A$2:$A$9,0)))</f>
        <v/>
      </c>
      <c r="O7" s="7">
        <f>IF($C7="","",INDEX('评级迁移'!$O$2:$O$9,MATCH($C7,'评级迁移'!$A$2:$A$9,0)))</f>
        <v/>
      </c>
      <c r="P7" s="7">
        <f>IF($C7="","",INDEX('评级迁移'!$P$2:$P$9,MATCH($C7,'评级迁移'!$A$2:$A$9,0)))</f>
        <v/>
      </c>
      <c r="Q7" s="7">
        <f>IF($C7="","",INDEX('评级迁移'!$Q$2:$Q$9,MATCH($C7,'评级迁移'!$A$2:$A$9,0)))</f>
        <v/>
      </c>
      <c r="R7" s="7">
        <f>IF($C7="","",INDEX('评级迁移'!$R$2:$R$9,MATCH($C7,'评级迁移'!$A$2:$A$9,0)))</f>
        <v/>
      </c>
    </row>
    <row r="8">
      <c r="A8" s="11" t="n">
        <v>7</v>
      </c>
      <c r="B8" s="11" t="n"/>
      <c r="C8" s="11" t="n"/>
      <c r="D8" s="12" t="n"/>
      <c r="E8" s="7" t="n"/>
      <c r="F8" s="13" t="n"/>
      <c r="G8" s="7" t="n"/>
      <c r="H8" s="7" t="n"/>
      <c r="I8" s="7">
        <f>IF($C8="","",INDEX('利差假设'!$B$2:$B$9,MATCH($C8,'利差假设'!$A$2:$A$9,0)))</f>
        <v/>
      </c>
      <c r="J8" s="12">
        <f>IF($C8="","",IF($C8="D",$D8*$G8,IF($F8&lt;=1,$D8*(1+$E8),$D8*$E8+IF('参数'!$B$5+$I8=0,$D8+$D8*$E8*($F8-1),$D8*$E8*(1-(1+'参数'!$B$5+$I8)^-($F8-1))/('参数'!$B$5+$I8)+$D8*(1+'参数'!$B$5+$I8)^-($F8-1)))))</f>
        <v/>
      </c>
      <c r="K8" s="7">
        <f>IF($C8="","",INDEX('评级迁移'!$K$2:$K$9,MATCH($C8,'评级迁移'!$A$2:$A$9,0)))</f>
        <v/>
      </c>
      <c r="L8" s="7">
        <f>IF($C8="","",INDEX('评级迁移'!$L$2:$L$9,MATCH($C8,'评级迁移'!$A$2:$A$9,0)))</f>
        <v/>
      </c>
      <c r="M8" s="7">
        <f>IF($C8="","",INDEX('评级迁移'!$M$2:$M$9,MATCH($C8,'评级迁移'!$A$2:$A$9,0)))</f>
        <v/>
      </c>
      <c r="N8" s="7">
        <f>IF($C8="","",INDEX('评级迁移'!$N$2:$N$9,MATCH($C8,'评级迁移'!$A$2:$A$9,0)))</f>
        <v/>
      </c>
      <c r="O8" s="7">
        <f>IF($C8="","",INDEX('评级迁移'!$O$2:$O$9,MATCH($C8,'评级迁移'!$A$2:$A$9,0)))</f>
        <v/>
      </c>
      <c r="P8" s="7">
        <f>IF($C8="","",INDEX('评级迁移'!$P$2:$P$9,MATCH($C8,'评级迁移'!$A$2:$A$9,0)))</f>
        <v/>
      </c>
      <c r="Q8" s="7">
        <f>IF($C8="","",INDEX('评级迁移'!$Q$2:$Q$9,MATCH($C8,'评级迁移'!$A$2:$A$9,0)))</f>
        <v/>
      </c>
      <c r="R8" s="7">
        <f>IF($C8="","",INDEX('评级迁移'!$R$2:$R$9,MATCH($C8,'评级迁移'!$A$2:$A$9,0)))</f>
        <v/>
      </c>
    </row>
    <row r="9">
      <c r="A9" s="11" t="n">
        <v>8</v>
      </c>
      <c r="B9" s="11" t="n"/>
      <c r="C9" s="11" t="n"/>
      <c r="D9" s="12" t="n"/>
      <c r="E9" s="7" t="n"/>
      <c r="F9" s="13" t="n"/>
      <c r="G9" s="7" t="n"/>
      <c r="H9" s="7" t="n"/>
      <c r="I9" s="7">
        <f>IF($C9="","",INDEX('利差假设'!$B$2:$B$9,MATCH($C9,'利差假设'!$A$2:$A$9,0)))</f>
        <v/>
      </c>
      <c r="J9" s="12">
        <f>IF($C9="","",IF($C9="D",$D9*$G9,IF($F9&lt;=1,$D9*(1+$E9),$D9*$E9+IF('参数'!$B$5+$I9=0,$D9+$D9*$E9*($F9-1),$D9*$E9*(1-(1+'参数'!$B$5+$I9)^-($F9-1))/('参数'!$B$5+$I9)+$D9*(1+'参数'!$B$5+$I9)^-($F9-1)))))</f>
        <v/>
      </c>
      <c r="K9" s="7">
        <f>IF($C9="","",INDEX('评级迁移'!$K$2:$K$9,MATCH($C9,'评级迁移'!$A$2:$A$9,0)))</f>
        <v/>
      </c>
      <c r="L9" s="7">
        <f>IF($C9="","",INDEX('评级迁移'!$L$2:$L$9,MATCH($C9,'评级迁移'!$A$2:$A$9,0)))</f>
        <v/>
      </c>
      <c r="M9" s="7">
        <f>IF($C9="","",INDEX('评级迁移'!$M$2:$M$9,MATCH($C9,'评级迁移'!$A$2:$A$9,0)))</f>
        <v/>
      </c>
      <c r="N9" s="7">
        <f>IF($C9="","",INDEX('评级迁移'!$N$2:$N$9,MATCH($C9,'评级迁移'!$A$2:$A$9,0)))</f>
        <v/>
      </c>
      <c r="O9" s="7">
        <f>IF($C9="","",INDEX('评级迁移'!$O$2:$O$9,MATCH($C9,'评级迁移'!$A$2:$A$9,0)))</f>
        <v/>
      </c>
      <c r="P9" s="7">
        <f>IF($C9="","",INDEX('评级迁移'!$P$2:$P$9,MATCH($C9,'评级迁移'!$A$2:$A$9,0)))</f>
        <v/>
      </c>
      <c r="Q9" s="7">
        <f>IF($C9="","",INDEX('评级迁移'!$Q$2:$Q$9,MATCH($C9,'评级迁移'!$A$2:$A$9,0)))</f>
        <v/>
      </c>
      <c r="R9" s="7">
        <f>IF($C9="","",INDEX('评级迁移'!$R$2:$R$9,MATCH($C9,'评级迁移'!$A$2:$A$9,0)))</f>
        <v/>
      </c>
    </row>
    <row r="10">
      <c r="A10" s="11" t="n">
        <v>9</v>
      </c>
      <c r="B10" s="11" t="n"/>
      <c r="C10" s="11" t="n"/>
      <c r="D10" s="12" t="n"/>
      <c r="E10" s="7" t="n"/>
      <c r="F10" s="13" t="n"/>
      <c r="G10" s="7" t="n"/>
      <c r="H10" s="7" t="n"/>
      <c r="I10" s="7">
        <f>IF($C10="","",INDEX('利差假设'!$B$2:$B$9,MATCH($C10,'利差假设'!$A$2:$A$9,0)))</f>
        <v/>
      </c>
      <c r="J10" s="12">
        <f>IF($C10="","",IF($C10="D",$D10*$G10,IF($F10&lt;=1,$D10*(1+$E10),$D10*$E10+IF('参数'!$B$5+$I10=0,$D10+$D10*$E10*($F10-1),$D10*$E10*(1-(1+'参数'!$B$5+$I10)^-($F10-1))/('参数'!$B$5+$I10)+$D10*(1+'参数'!$B$5+$I10)^-($F10-1)))))</f>
        <v/>
      </c>
      <c r="K10" s="7">
        <f>IF($C10="","",INDEX('评级迁移'!$K$2:$K$9,MATCH($C10,'评级迁移'!$A$2:$A$9,0)))</f>
        <v/>
      </c>
      <c r="L10" s="7">
        <f>IF($C10="","",INDEX('评级迁移'!$L$2:$L$9,MATCH($C10,'评级迁移'!$A$2:$A$9,0)))</f>
        <v/>
      </c>
      <c r="M10" s="7">
        <f>IF($C10="","",INDEX('评级迁移'!$M$2:$M$9,MATCH($C10,'评级迁移'!$A$2:$A$9,0)))</f>
        <v/>
      </c>
      <c r="N10" s="7">
        <f>IF($C10="","",INDEX('评级迁移'!$N$2:$N$9,MATCH($C10,'评级迁移'!$A$2:$A$9,0)))</f>
        <v/>
      </c>
      <c r="O10" s="7">
        <f>IF($C10="","",INDEX('评级迁移'!$O$2:$O$9,MATCH($C10,'评级迁移'!$A$2:$A$9,0)))</f>
        <v/>
      </c>
      <c r="P10" s="7">
        <f>IF($C10="","",INDEX('评级迁移'!$P$2:$P$9,MATCH($C10,'评级迁移'!$A$2:$A$9,0)))</f>
        <v/>
      </c>
      <c r="Q10" s="7">
        <f>IF($C10="","",INDEX('评级迁移'!$Q$2:$Q$9,MATCH($C10,'评级迁移'!$A$2:$A$9,0)))</f>
        <v/>
      </c>
      <c r="R10" s="7">
        <f>IF($C10="","",INDEX('评级迁移'!$R$2:$R$9,MATCH($C10,'评级迁移'!$A$2:$A$9,0)))</f>
        <v/>
      </c>
    </row>
    <row r="11">
      <c r="A11" s="11" t="n">
        <v>10</v>
      </c>
      <c r="B11" s="11" t="n"/>
      <c r="C11" s="11" t="n"/>
      <c r="D11" s="12" t="n"/>
      <c r="E11" s="7" t="n"/>
      <c r="F11" s="13" t="n"/>
      <c r="G11" s="7" t="n"/>
      <c r="H11" s="7" t="n"/>
      <c r="I11" s="7">
        <f>IF($C11="","",INDEX('利差假设'!$B$2:$B$9,MATCH($C11,'利差假设'!$A$2:$A$9,0)))</f>
        <v/>
      </c>
      <c r="J11" s="12">
        <f>IF($C11="","",IF($C11="D",$D11*$G11,IF($F11&lt;=1,$D11*(1+$E11),$D11*$E11+IF('参数'!$B$5+$I11=0,$D11+$D11*$E11*($F11-1),$D11*$E11*(1-(1+'参数'!$B$5+$I11)^-($F11-1))/('参数'!$B$5+$I11)+$D11*(1+'参数'!$B$5+$I11)^-($F11-1)))))</f>
        <v/>
      </c>
      <c r="K11" s="7">
        <f>IF($C11="","",INDEX('评级迁移'!$K$2:$K$9,MATCH($C11,'评级迁移'!$A$2:$A$9,0)))</f>
        <v/>
      </c>
      <c r="L11" s="7">
        <f>IF($C11="","",INDEX('评级迁移'!$L$2:$L$9,MATCH($C11,'评级迁移'!$A$2:$A$9,0)))</f>
        <v/>
      </c>
      <c r="M11" s="7">
        <f>IF($C11="","",INDEX('评级迁移'!$M$2:$M$9,MATCH($C11,'评级迁移'!$A$2:$A$9,0)))</f>
        <v/>
      </c>
      <c r="N11" s="7">
        <f>IF($C11="","",INDEX('评级迁移'!$N$2:$N$9,MATCH($C11,'评级迁移'!$A$2:$A$9,0)))</f>
        <v/>
      </c>
      <c r="O11" s="7">
        <f>IF($C11="","",INDEX('评级迁移'!$O$2:$O$9,MATCH($C11,'评级迁移'!$A$2:$A$9,0)))</f>
        <v/>
      </c>
      <c r="P11" s="7">
        <f>IF($C11="","",INDEX('评级迁移'!$P$2:$P$9,MATCH($C11,'评级迁移'!$A$2:$A$9,0)))</f>
        <v/>
      </c>
      <c r="Q11" s="7">
        <f>IF($C11="","",INDEX('评级迁移'!$Q$2:$Q$9,MATCH($C11,'评级迁移'!$A$2:$A$9,0)))</f>
        <v/>
      </c>
      <c r="R11" s="7">
        <f>IF($C11="","",INDEX('评级迁移'!$R$2:$R$9,MATCH($C11,'评级迁移'!$A$2:$A$9,0)))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序号</t>
        </is>
      </c>
      <c r="B1" s="4" t="inlineStr">
        <is>
          <t>债项名称</t>
        </is>
      </c>
      <c r="C1" s="4" t="inlineStr">
        <is>
          <t>当前评级</t>
        </is>
      </c>
      <c r="D1" s="4" t="inlineStr">
        <is>
          <t>AAA</t>
        </is>
      </c>
      <c r="E1" s="4" t="inlineStr">
        <is>
          <t>AA</t>
        </is>
      </c>
      <c r="F1" s="4" t="inlineStr">
        <is>
          <t>A</t>
        </is>
      </c>
      <c r="G1" s="4" t="inlineStr">
        <is>
          <t>BBB</t>
        </is>
      </c>
      <c r="H1" s="4" t="inlineStr">
        <is>
          <t>BB</t>
        </is>
      </c>
      <c r="I1" s="4" t="inlineStr">
        <is>
          <t>B</t>
        </is>
      </c>
      <c r="J1" s="4" t="inlineStr">
        <is>
          <t>CCC</t>
        </is>
      </c>
      <c r="K1" s="4" t="inlineStr">
        <is>
          <t>D</t>
        </is>
      </c>
      <c r="L1" s="4" t="inlineStr">
        <is>
          <t>解析期望价值</t>
        </is>
      </c>
      <c r="M1" s="4" t="inlineStr">
        <is>
          <t>解析波动率</t>
        </is>
      </c>
      <c r="N1" s="4" t="inlineStr">
        <is>
          <t>期望损失</t>
        </is>
      </c>
      <c r="O1" s="4" t="inlineStr">
        <is>
          <t>最差状态损失</t>
        </is>
      </c>
    </row>
    <row r="2">
      <c r="A2" s="11">
        <f>'组合输入'!A2</f>
        <v/>
      </c>
      <c r="B2" s="11">
        <f>'组合输入'!B2</f>
        <v/>
      </c>
      <c r="C2" s="11">
        <f>'组合输入'!C2</f>
        <v/>
      </c>
      <c r="D2" s="12">
        <f>IF($C2="","",IF(D$1="D",'组合输入'!$D2*'组合输入'!$G2,IF('组合输入'!$F2&lt;=1,'组合输入'!$D2*(1+'组合输入'!$E2),'组合输入'!$D2*'组合输入'!$E2+IF('参数'!$B$5+INDEX('利差假设'!$B$2:$B$9,MATCH(D$1,'利差假设'!$A$2:$A$9,0))=0,'组合输入'!$D2+'组合输入'!$D2*'组合输入'!$E2*('组合输入'!$F2-1),'组合输入'!$D2*'组合输入'!$E2*(1-(1+'参数'!$B$5+INDEX('利差假设'!$B$2:$B$9,MATCH(D$1,'利差假设'!$A$2:$A$9,0)))^-('组合输入'!$F2-1))/('参数'!$B$5+INDEX('利差假设'!$B$2:$B$9,MATCH(D$1,'利差假设'!$A$2:$A$9,0)))+'组合输入'!$D2*(1+'参数'!$B$5+INDEX('利差假设'!$B$2:$B$9,MATCH(D$1,'利差假设'!$A$2:$A$9,0)))^-('组合输入'!$F2-1)))))</f>
        <v/>
      </c>
      <c r="E2" s="12">
        <f>IF($C2="","",IF(E$1="D",'组合输入'!$D2*'组合输入'!$G2,IF('组合输入'!$F2&lt;=1,'组合输入'!$D2*(1+'组合输入'!$E2),'组合输入'!$D2*'组合输入'!$E2+IF('参数'!$B$5+INDEX('利差假设'!$B$2:$B$9,MATCH(E$1,'利差假设'!$A$2:$A$9,0))=0,'组合输入'!$D2+'组合输入'!$D2*'组合输入'!$E2*('组合输入'!$F2-1),'组合输入'!$D2*'组合输入'!$E2*(1-(1+'参数'!$B$5+INDEX('利差假设'!$B$2:$B$9,MATCH(E$1,'利差假设'!$A$2:$A$9,0)))^-('组合输入'!$F2-1))/('参数'!$B$5+INDEX('利差假设'!$B$2:$B$9,MATCH(E$1,'利差假设'!$A$2:$A$9,0)))+'组合输入'!$D2*(1+'参数'!$B$5+INDEX('利差假设'!$B$2:$B$9,MATCH(E$1,'利差假设'!$A$2:$A$9,0)))^-('组合输入'!$F2-1)))))</f>
        <v/>
      </c>
      <c r="F2" s="12">
        <f>IF($C2="","",IF(F$1="D",'组合输入'!$D2*'组合输入'!$G2,IF('组合输入'!$F2&lt;=1,'组合输入'!$D2*(1+'组合输入'!$E2),'组合输入'!$D2*'组合输入'!$E2+IF('参数'!$B$5+INDEX('利差假设'!$B$2:$B$9,MATCH(F$1,'利差假设'!$A$2:$A$9,0))=0,'组合输入'!$D2+'组合输入'!$D2*'组合输入'!$E2*('组合输入'!$F2-1),'组合输入'!$D2*'组合输入'!$E2*(1-(1+'参数'!$B$5+INDEX('利差假设'!$B$2:$B$9,MATCH(F$1,'利差假设'!$A$2:$A$9,0)))^-('组合输入'!$F2-1))/('参数'!$B$5+INDEX('利差假设'!$B$2:$B$9,MATCH(F$1,'利差假设'!$A$2:$A$9,0)))+'组合输入'!$D2*(1+'参数'!$B$5+INDEX('利差假设'!$B$2:$B$9,MATCH(F$1,'利差假设'!$A$2:$A$9,0)))^-('组合输入'!$F2-1)))))</f>
        <v/>
      </c>
      <c r="G2" s="12">
        <f>IF($C2="","",IF(G$1="D",'组合输入'!$D2*'组合输入'!$G2,IF('组合输入'!$F2&lt;=1,'组合输入'!$D2*(1+'组合输入'!$E2),'组合输入'!$D2*'组合输入'!$E2+IF('参数'!$B$5+INDEX('利差假设'!$B$2:$B$9,MATCH(G$1,'利差假设'!$A$2:$A$9,0))=0,'组合输入'!$D2+'组合输入'!$D2*'组合输入'!$E2*('组合输入'!$F2-1),'组合输入'!$D2*'组合输入'!$E2*(1-(1+'参数'!$B$5+INDEX('利差假设'!$B$2:$B$9,MATCH(G$1,'利差假设'!$A$2:$A$9,0)))^-('组合输入'!$F2-1))/('参数'!$B$5+INDEX('利差假设'!$B$2:$B$9,MATCH(G$1,'利差假设'!$A$2:$A$9,0)))+'组合输入'!$D2*(1+'参数'!$B$5+INDEX('利差假设'!$B$2:$B$9,MATCH(G$1,'利差假设'!$A$2:$A$9,0)))^-('组合输入'!$F2-1)))))</f>
        <v/>
      </c>
      <c r="H2" s="12">
        <f>IF($C2="","",IF(H$1="D",'组合输入'!$D2*'组合输入'!$G2,IF('组合输入'!$F2&lt;=1,'组合输入'!$D2*(1+'组合输入'!$E2),'组合输入'!$D2*'组合输入'!$E2+IF('参数'!$B$5+INDEX('利差假设'!$B$2:$B$9,MATCH(H$1,'利差假设'!$A$2:$A$9,0))=0,'组合输入'!$D2+'组合输入'!$D2*'组合输入'!$E2*('组合输入'!$F2-1),'组合输入'!$D2*'组合输入'!$E2*(1-(1+'参数'!$B$5+INDEX('利差假设'!$B$2:$B$9,MATCH(H$1,'利差假设'!$A$2:$A$9,0)))^-('组合输入'!$F2-1))/('参数'!$B$5+INDEX('利差假设'!$B$2:$B$9,MATCH(H$1,'利差假设'!$A$2:$A$9,0)))+'组合输入'!$D2*(1+'参数'!$B$5+INDEX('利差假设'!$B$2:$B$9,MATCH(H$1,'利差假设'!$A$2:$A$9,0)))^-('组合输入'!$F2-1)))))</f>
        <v/>
      </c>
      <c r="I2" s="12">
        <f>IF($C2="","",IF(I$1="D",'组合输入'!$D2*'组合输入'!$G2,IF('组合输入'!$F2&lt;=1,'组合输入'!$D2*(1+'组合输入'!$E2),'组合输入'!$D2*'组合输入'!$E2+IF('参数'!$B$5+INDEX('利差假设'!$B$2:$B$9,MATCH(I$1,'利差假设'!$A$2:$A$9,0))=0,'组合输入'!$D2+'组合输入'!$D2*'组合输入'!$E2*('组合输入'!$F2-1),'组合输入'!$D2*'组合输入'!$E2*(1-(1+'参数'!$B$5+INDEX('利差假设'!$B$2:$B$9,MATCH(I$1,'利差假设'!$A$2:$A$9,0)))^-('组合输入'!$F2-1))/('参数'!$B$5+INDEX('利差假设'!$B$2:$B$9,MATCH(I$1,'利差假设'!$A$2:$A$9,0)))+'组合输入'!$D2*(1+'参数'!$B$5+INDEX('利差假设'!$B$2:$B$9,MATCH(I$1,'利差假设'!$A$2:$A$9,0)))^-('组合输入'!$F2-1)))))</f>
        <v/>
      </c>
      <c r="J2" s="12">
        <f>IF($C2="","",IF(J$1="D",'组合输入'!$D2*'组合输入'!$G2,IF('组合输入'!$F2&lt;=1,'组合输入'!$D2*(1+'组合输入'!$E2),'组合输入'!$D2*'组合输入'!$E2+IF('参数'!$B$5+INDEX('利差假设'!$B$2:$B$9,MATCH(J$1,'利差假设'!$A$2:$A$9,0))=0,'组合输入'!$D2+'组合输入'!$D2*'组合输入'!$E2*('组合输入'!$F2-1),'组合输入'!$D2*'组合输入'!$E2*(1-(1+'参数'!$B$5+INDEX('利差假设'!$B$2:$B$9,MATCH(J$1,'利差假设'!$A$2:$A$9,0)))^-('组合输入'!$F2-1))/('参数'!$B$5+INDEX('利差假设'!$B$2:$B$9,MATCH(J$1,'利差假设'!$A$2:$A$9,0)))+'组合输入'!$D2*(1+'参数'!$B$5+INDEX('利差假设'!$B$2:$B$9,MATCH(J$1,'利差假设'!$A$2:$A$9,0)))^-('组合输入'!$F2-1)))))</f>
        <v/>
      </c>
      <c r="K2" s="12">
        <f>IF($C2="","",IF(K$1="D",'组合输入'!$D2*'组合输入'!$G2,IF('组合输入'!$F2&lt;=1,'组合输入'!$D2*(1+'组合输入'!$E2),'组合输入'!$D2*'组合输入'!$E2+IF('参数'!$B$5+INDEX('利差假设'!$B$2:$B$9,MATCH(K$1,'利差假设'!$A$2:$A$9,0))=0,'组合输入'!$D2+'组合输入'!$D2*'组合输入'!$E2*('组合输入'!$F2-1),'组合输入'!$D2*'组合输入'!$E2*(1-(1+'参数'!$B$5+INDEX('利差假设'!$B$2:$B$9,MATCH(K$1,'利差假设'!$A$2:$A$9,0)))^-('组合输入'!$F2-1))/('参数'!$B$5+INDEX('利差假设'!$B$2:$B$9,MATCH(K$1,'利差假设'!$A$2:$A$9,0)))+'组合输入'!$D2*(1+'参数'!$B$5+INDEX('利差假设'!$B$2:$B$9,MATCH(K$1,'利差假设'!$A$2:$A$9,0)))^-('组合输入'!$F2-1)))))</f>
        <v/>
      </c>
      <c r="L2" s="12">
        <f>IF($C2="","",SUMPRODUCT(INDEX('评级迁移'!$B$2:$I$9,MATCH($C2,'评级迁移'!$A$2:$A$9,0),0),$D2:$K2))</f>
        <v/>
      </c>
      <c r="M2" s="12">
        <f>IF($C2="","",SQRT(SUMPRODUCT(INDEX('评级迁移'!$B$2:$I$9,MATCH($C2,'评级迁移'!$A$2:$A$9,0),0),($D2:$K2-$L2)*($D2:$K2-$L2))))</f>
        <v/>
      </c>
      <c r="N2" s="12">
        <f>IF($C2="","",'组合输入'!$J2-$L2)</f>
        <v/>
      </c>
      <c r="O2" s="12">
        <f>IF($C2="","",'组合输入'!$J2-MIN($D2:$K2))</f>
        <v/>
      </c>
    </row>
    <row r="3">
      <c r="A3" s="11">
        <f>'组合输入'!A3</f>
        <v/>
      </c>
      <c r="B3" s="11">
        <f>'组合输入'!B3</f>
        <v/>
      </c>
      <c r="C3" s="11">
        <f>'组合输入'!C3</f>
        <v/>
      </c>
      <c r="D3" s="12">
        <f>IF($C3="","",IF(D$1="D",'组合输入'!$D3*'组合输入'!$G3,IF('组合输入'!$F3&lt;=1,'组合输入'!$D3*(1+'组合输入'!$E3),'组合输入'!$D3*'组合输入'!$E3+IF('参数'!$B$5+INDEX('利差假设'!$B$2:$B$9,MATCH(D$1,'利差假设'!$A$2:$A$9,0))=0,'组合输入'!$D3+'组合输入'!$D3*'组合输入'!$E3*('组合输入'!$F3-1),'组合输入'!$D3*'组合输入'!$E3*(1-(1+'参数'!$B$5+INDEX('利差假设'!$B$2:$B$9,MATCH(D$1,'利差假设'!$A$2:$A$9,0)))^-('组合输入'!$F3-1))/('参数'!$B$5+INDEX('利差假设'!$B$2:$B$9,MATCH(D$1,'利差假设'!$A$2:$A$9,0)))+'组合输入'!$D3*(1+'参数'!$B$5+INDEX('利差假设'!$B$2:$B$9,MATCH(D$1,'利差假设'!$A$2:$A$9,0)))^-('组合输入'!$F3-1)))))</f>
        <v/>
      </c>
      <c r="E3" s="12">
        <f>IF($C3="","",IF(E$1="D",'组合输入'!$D3*'组合输入'!$G3,IF('组合输入'!$F3&lt;=1,'组合输入'!$D3*(1+'组合输入'!$E3),'组合输入'!$D3*'组合输入'!$E3+IF('参数'!$B$5+INDEX('利差假设'!$B$2:$B$9,MATCH(E$1,'利差假设'!$A$2:$A$9,0))=0,'组合输入'!$D3+'组合输入'!$D3*'组合输入'!$E3*('组合输入'!$F3-1),'组合输入'!$D3*'组合输入'!$E3*(1-(1+'参数'!$B$5+INDEX('利差假设'!$B$2:$B$9,MATCH(E$1,'利差假设'!$A$2:$A$9,0)))^-('组合输入'!$F3-1))/('参数'!$B$5+INDEX('利差假设'!$B$2:$B$9,MATCH(E$1,'利差假设'!$A$2:$A$9,0)))+'组合输入'!$D3*(1+'参数'!$B$5+INDEX('利差假设'!$B$2:$B$9,MATCH(E$1,'利差假设'!$A$2:$A$9,0)))^-('组合输入'!$F3-1)))))</f>
        <v/>
      </c>
      <c r="F3" s="12">
        <f>IF($C3="","",IF(F$1="D",'组合输入'!$D3*'组合输入'!$G3,IF('组合输入'!$F3&lt;=1,'组合输入'!$D3*(1+'组合输入'!$E3),'组合输入'!$D3*'组合输入'!$E3+IF('参数'!$B$5+INDEX('利差假设'!$B$2:$B$9,MATCH(F$1,'利差假设'!$A$2:$A$9,0))=0,'组合输入'!$D3+'组合输入'!$D3*'组合输入'!$E3*('组合输入'!$F3-1),'组合输入'!$D3*'组合输入'!$E3*(1-(1+'参数'!$B$5+INDEX('利差假设'!$B$2:$B$9,MATCH(F$1,'利差假设'!$A$2:$A$9,0)))^-('组合输入'!$F3-1))/('参数'!$B$5+INDEX('利差假设'!$B$2:$B$9,MATCH(F$1,'利差假设'!$A$2:$A$9,0)))+'组合输入'!$D3*(1+'参数'!$B$5+INDEX('利差假设'!$B$2:$B$9,MATCH(F$1,'利差假设'!$A$2:$A$9,0)))^-('组合输入'!$F3-1)))))</f>
        <v/>
      </c>
      <c r="G3" s="12">
        <f>IF($C3="","",IF(G$1="D",'组合输入'!$D3*'组合输入'!$G3,IF('组合输入'!$F3&lt;=1,'组合输入'!$D3*(1+'组合输入'!$E3),'组合输入'!$D3*'组合输入'!$E3+IF('参数'!$B$5+INDEX('利差假设'!$B$2:$B$9,MATCH(G$1,'利差假设'!$A$2:$A$9,0))=0,'组合输入'!$D3+'组合输入'!$D3*'组合输入'!$E3*('组合输入'!$F3-1),'组合输入'!$D3*'组合输入'!$E3*(1-(1+'参数'!$B$5+INDEX('利差假设'!$B$2:$B$9,MATCH(G$1,'利差假设'!$A$2:$A$9,0)))^-('组合输入'!$F3-1))/('参数'!$B$5+INDEX('利差假设'!$B$2:$B$9,MATCH(G$1,'利差假设'!$A$2:$A$9,0)))+'组合输入'!$D3*(1+'参数'!$B$5+INDEX('利差假设'!$B$2:$B$9,MATCH(G$1,'利差假设'!$A$2:$A$9,0)))^-('组合输入'!$F3-1)))))</f>
        <v/>
      </c>
      <c r="H3" s="12">
        <f>IF($C3="","",IF(H$1="D",'组合输入'!$D3*'组合输入'!$G3,IF('组合输入'!$F3&lt;=1,'组合输入'!$D3*(1+'组合输入'!$E3),'组合输入'!$D3*'组合输入'!$E3+IF('参数'!$B$5+INDEX('利差假设'!$B$2:$B$9,MATCH(H$1,'利差假设'!$A$2:$A$9,0))=0,'组合输入'!$D3+'组合输入'!$D3*'组合输入'!$E3*('组合输入'!$F3-1),'组合输入'!$D3*'组合输入'!$E3*(1-(1+'参数'!$B$5+INDEX('利差假设'!$B$2:$B$9,MATCH(H$1,'利差假设'!$A$2:$A$9,0)))^-('组合输入'!$F3-1))/('参数'!$B$5+INDEX('利差假设'!$B$2:$B$9,MATCH(H$1,'利差假设'!$A$2:$A$9,0)))+'组合输入'!$D3*(1+'参数'!$B$5+INDEX('利差假设'!$B$2:$B$9,MATCH(H$1,'利差假设'!$A$2:$A$9,0)))^-('组合输入'!$F3-1)))))</f>
        <v/>
      </c>
      <c r="I3" s="12">
        <f>IF($C3="","",IF(I$1="D",'组合输入'!$D3*'组合输入'!$G3,IF('组合输入'!$F3&lt;=1,'组合输入'!$D3*(1+'组合输入'!$E3),'组合输入'!$D3*'组合输入'!$E3+IF('参数'!$B$5+INDEX('利差假设'!$B$2:$B$9,MATCH(I$1,'利差假设'!$A$2:$A$9,0))=0,'组合输入'!$D3+'组合输入'!$D3*'组合输入'!$E3*('组合输入'!$F3-1),'组合输入'!$D3*'组合输入'!$E3*(1-(1+'参数'!$B$5+INDEX('利差假设'!$B$2:$B$9,MATCH(I$1,'利差假设'!$A$2:$A$9,0)))^-('组合输入'!$F3-1))/('参数'!$B$5+INDEX('利差假设'!$B$2:$B$9,MATCH(I$1,'利差假设'!$A$2:$A$9,0)))+'组合输入'!$D3*(1+'参数'!$B$5+INDEX('利差假设'!$B$2:$B$9,MATCH(I$1,'利差假设'!$A$2:$A$9,0)))^-('组合输入'!$F3-1)))))</f>
        <v/>
      </c>
      <c r="J3" s="12">
        <f>IF($C3="","",IF(J$1="D",'组合输入'!$D3*'组合输入'!$G3,IF('组合输入'!$F3&lt;=1,'组合输入'!$D3*(1+'组合输入'!$E3),'组合输入'!$D3*'组合输入'!$E3+IF('参数'!$B$5+INDEX('利差假设'!$B$2:$B$9,MATCH(J$1,'利差假设'!$A$2:$A$9,0))=0,'组合输入'!$D3+'组合输入'!$D3*'组合输入'!$E3*('组合输入'!$F3-1),'组合输入'!$D3*'组合输入'!$E3*(1-(1+'参数'!$B$5+INDEX('利差假设'!$B$2:$B$9,MATCH(J$1,'利差假设'!$A$2:$A$9,0)))^-('组合输入'!$F3-1))/('参数'!$B$5+INDEX('利差假设'!$B$2:$B$9,MATCH(J$1,'利差假设'!$A$2:$A$9,0)))+'组合输入'!$D3*(1+'参数'!$B$5+INDEX('利差假设'!$B$2:$B$9,MATCH(J$1,'利差假设'!$A$2:$A$9,0)))^-('组合输入'!$F3-1)))))</f>
        <v/>
      </c>
      <c r="K3" s="12">
        <f>IF($C3="","",IF(K$1="D",'组合输入'!$D3*'组合输入'!$G3,IF('组合输入'!$F3&lt;=1,'组合输入'!$D3*(1+'组合输入'!$E3),'组合输入'!$D3*'组合输入'!$E3+IF('参数'!$B$5+INDEX('利差假设'!$B$2:$B$9,MATCH(K$1,'利差假设'!$A$2:$A$9,0))=0,'组合输入'!$D3+'组合输入'!$D3*'组合输入'!$E3*('组合输入'!$F3-1),'组合输入'!$D3*'组合输入'!$E3*(1-(1+'参数'!$B$5+INDEX('利差假设'!$B$2:$B$9,MATCH(K$1,'利差假设'!$A$2:$A$9,0)))^-('组合输入'!$F3-1))/('参数'!$B$5+INDEX('利差假设'!$B$2:$B$9,MATCH(K$1,'利差假设'!$A$2:$A$9,0)))+'组合输入'!$D3*(1+'参数'!$B$5+INDEX('利差假设'!$B$2:$B$9,MATCH(K$1,'利差假设'!$A$2:$A$9,0)))^-('组合输入'!$F3-1)))))</f>
        <v/>
      </c>
      <c r="L3" s="12">
        <f>IF($C3="","",SUMPRODUCT(INDEX('评级迁移'!$B$2:$I$9,MATCH($C3,'评级迁移'!$A$2:$A$9,0),0),$D3:$K3))</f>
        <v/>
      </c>
      <c r="M3" s="12">
        <f>IF($C3="","",SQRT(SUMPRODUCT(INDEX('评级迁移'!$B$2:$I$9,MATCH($C3,'评级迁移'!$A$2:$A$9,0),0),($D3:$K3-$L3)*($D3:$K3-$L3))))</f>
        <v/>
      </c>
      <c r="N3" s="12">
        <f>IF($C3="","",'组合输入'!$J3-$L3)</f>
        <v/>
      </c>
      <c r="O3" s="12">
        <f>IF($C3="","",'组合输入'!$J3-MIN($D3:$K3))</f>
        <v/>
      </c>
    </row>
    <row r="4">
      <c r="A4" s="11">
        <f>'组合输入'!A4</f>
        <v/>
      </c>
      <c r="B4" s="11">
        <f>'组合输入'!B4</f>
        <v/>
      </c>
      <c r="C4" s="11">
        <f>'组合输入'!C4</f>
        <v/>
      </c>
      <c r="D4" s="12">
        <f>IF($C4="","",IF(D$1="D",'组合输入'!$D4*'组合输入'!$G4,IF('组合输入'!$F4&lt;=1,'组合输入'!$D4*(1+'组合输入'!$E4),'组合输入'!$D4*'组合输入'!$E4+IF('参数'!$B$5+INDEX('利差假设'!$B$2:$B$9,MATCH(D$1,'利差假设'!$A$2:$A$9,0))=0,'组合输入'!$D4+'组合输入'!$D4*'组合输入'!$E4*('组合输入'!$F4-1),'组合输入'!$D4*'组合输入'!$E4*(1-(1+'参数'!$B$5+INDEX('利差假设'!$B$2:$B$9,MATCH(D$1,'利差假设'!$A$2:$A$9,0)))^-('组合输入'!$F4-1))/('参数'!$B$5+INDEX('利差假设'!$B$2:$B$9,MATCH(D$1,'利差假设'!$A$2:$A$9,0)))+'组合输入'!$D4*(1+'参数'!$B$5+INDEX('利差假设'!$B$2:$B$9,MATCH(D$1,'利差假设'!$A$2:$A$9,0)))^-('组合输入'!$F4-1)))))</f>
        <v/>
      </c>
      <c r="E4" s="12">
        <f>IF($C4="","",IF(E$1="D",'组合输入'!$D4*'组合输入'!$G4,IF('组合输入'!$F4&lt;=1,'组合输入'!$D4*(1+'组合输入'!$E4),'组合输入'!$D4*'组合输入'!$E4+IF('参数'!$B$5+INDEX('利差假设'!$B$2:$B$9,MATCH(E$1,'利差假设'!$A$2:$A$9,0))=0,'组合输入'!$D4+'组合输入'!$D4*'组合输入'!$E4*('组合输入'!$F4-1),'组合输入'!$D4*'组合输入'!$E4*(1-(1+'参数'!$B$5+INDEX('利差假设'!$B$2:$B$9,MATCH(E$1,'利差假设'!$A$2:$A$9,0)))^-('组合输入'!$F4-1))/('参数'!$B$5+INDEX('利差假设'!$B$2:$B$9,MATCH(E$1,'利差假设'!$A$2:$A$9,0)))+'组合输入'!$D4*(1+'参数'!$B$5+INDEX('利差假设'!$B$2:$B$9,MATCH(E$1,'利差假设'!$A$2:$A$9,0)))^-('组合输入'!$F4-1)))))</f>
        <v/>
      </c>
      <c r="F4" s="12">
        <f>IF($C4="","",IF(F$1="D",'组合输入'!$D4*'组合输入'!$G4,IF('组合输入'!$F4&lt;=1,'组合输入'!$D4*(1+'组合输入'!$E4),'组合输入'!$D4*'组合输入'!$E4+IF('参数'!$B$5+INDEX('利差假设'!$B$2:$B$9,MATCH(F$1,'利差假设'!$A$2:$A$9,0))=0,'组合输入'!$D4+'组合输入'!$D4*'组合输入'!$E4*('组合输入'!$F4-1),'组合输入'!$D4*'组合输入'!$E4*(1-(1+'参数'!$B$5+INDEX('利差假设'!$B$2:$B$9,MATCH(F$1,'利差假设'!$A$2:$A$9,0)))^-('组合输入'!$F4-1))/('参数'!$B$5+INDEX('利差假设'!$B$2:$B$9,MATCH(F$1,'利差假设'!$A$2:$A$9,0)))+'组合输入'!$D4*(1+'参数'!$B$5+INDEX('利差假设'!$B$2:$B$9,MATCH(F$1,'利差假设'!$A$2:$A$9,0)))^-('组合输入'!$F4-1)))))</f>
        <v/>
      </c>
      <c r="G4" s="12">
        <f>IF($C4="","",IF(G$1="D",'组合输入'!$D4*'组合输入'!$G4,IF('组合输入'!$F4&lt;=1,'组合输入'!$D4*(1+'组合输入'!$E4),'组合输入'!$D4*'组合输入'!$E4+IF('参数'!$B$5+INDEX('利差假设'!$B$2:$B$9,MATCH(G$1,'利差假设'!$A$2:$A$9,0))=0,'组合输入'!$D4+'组合输入'!$D4*'组合输入'!$E4*('组合输入'!$F4-1),'组合输入'!$D4*'组合输入'!$E4*(1-(1+'参数'!$B$5+INDEX('利差假设'!$B$2:$B$9,MATCH(G$1,'利差假设'!$A$2:$A$9,0)))^-('组合输入'!$F4-1))/('参数'!$B$5+INDEX('利差假设'!$B$2:$B$9,MATCH(G$1,'利差假设'!$A$2:$A$9,0)))+'组合输入'!$D4*(1+'参数'!$B$5+INDEX('利差假设'!$B$2:$B$9,MATCH(G$1,'利差假设'!$A$2:$A$9,0)))^-('组合输入'!$F4-1)))))</f>
        <v/>
      </c>
      <c r="H4" s="12">
        <f>IF($C4="","",IF(H$1="D",'组合输入'!$D4*'组合输入'!$G4,IF('组合输入'!$F4&lt;=1,'组合输入'!$D4*(1+'组合输入'!$E4),'组合输入'!$D4*'组合输入'!$E4+IF('参数'!$B$5+INDEX('利差假设'!$B$2:$B$9,MATCH(H$1,'利差假设'!$A$2:$A$9,0))=0,'组合输入'!$D4+'组合输入'!$D4*'组合输入'!$E4*('组合输入'!$F4-1),'组合输入'!$D4*'组合输入'!$E4*(1-(1+'参数'!$B$5+INDEX('利差假设'!$B$2:$B$9,MATCH(H$1,'利差假设'!$A$2:$A$9,0)))^-('组合输入'!$F4-1))/('参数'!$B$5+INDEX('利差假设'!$B$2:$B$9,MATCH(H$1,'利差假设'!$A$2:$A$9,0)))+'组合输入'!$D4*(1+'参数'!$B$5+INDEX('利差假设'!$B$2:$B$9,MATCH(H$1,'利差假设'!$A$2:$A$9,0)))^-('组合输入'!$F4-1)))))</f>
        <v/>
      </c>
      <c r="I4" s="12">
        <f>IF($C4="","",IF(I$1="D",'组合输入'!$D4*'组合输入'!$G4,IF('组合输入'!$F4&lt;=1,'组合输入'!$D4*(1+'组合输入'!$E4),'组合输入'!$D4*'组合输入'!$E4+IF('参数'!$B$5+INDEX('利差假设'!$B$2:$B$9,MATCH(I$1,'利差假设'!$A$2:$A$9,0))=0,'组合输入'!$D4+'组合输入'!$D4*'组合输入'!$E4*('组合输入'!$F4-1),'组合输入'!$D4*'组合输入'!$E4*(1-(1+'参数'!$B$5+INDEX('利差假设'!$B$2:$B$9,MATCH(I$1,'利差假设'!$A$2:$A$9,0)))^-('组合输入'!$F4-1))/('参数'!$B$5+INDEX('利差假设'!$B$2:$B$9,MATCH(I$1,'利差假设'!$A$2:$A$9,0)))+'组合输入'!$D4*(1+'参数'!$B$5+INDEX('利差假设'!$B$2:$B$9,MATCH(I$1,'利差假设'!$A$2:$A$9,0)))^-('组合输入'!$F4-1)))))</f>
        <v/>
      </c>
      <c r="J4" s="12">
        <f>IF($C4="","",IF(J$1="D",'组合输入'!$D4*'组合输入'!$G4,IF('组合输入'!$F4&lt;=1,'组合输入'!$D4*(1+'组合输入'!$E4),'组合输入'!$D4*'组合输入'!$E4+IF('参数'!$B$5+INDEX('利差假设'!$B$2:$B$9,MATCH(J$1,'利差假设'!$A$2:$A$9,0))=0,'组合输入'!$D4+'组合输入'!$D4*'组合输入'!$E4*('组合输入'!$F4-1),'组合输入'!$D4*'组合输入'!$E4*(1-(1+'参数'!$B$5+INDEX('利差假设'!$B$2:$B$9,MATCH(J$1,'利差假设'!$A$2:$A$9,0)))^-('组合输入'!$F4-1))/('参数'!$B$5+INDEX('利差假设'!$B$2:$B$9,MATCH(J$1,'利差假设'!$A$2:$A$9,0)))+'组合输入'!$D4*(1+'参数'!$B$5+INDEX('利差假设'!$B$2:$B$9,MATCH(J$1,'利差假设'!$A$2:$A$9,0)))^-('组合输入'!$F4-1)))))</f>
        <v/>
      </c>
      <c r="K4" s="12">
        <f>IF($C4="","",IF(K$1="D",'组合输入'!$D4*'组合输入'!$G4,IF('组合输入'!$F4&lt;=1,'组合输入'!$D4*(1+'组合输入'!$E4),'组合输入'!$D4*'组合输入'!$E4+IF('参数'!$B$5+INDEX('利差假设'!$B$2:$B$9,MATCH(K$1,'利差假设'!$A$2:$A$9,0))=0,'组合输入'!$D4+'组合输入'!$D4*'组合输入'!$E4*('组合输入'!$F4-1),'组合输入'!$D4*'组合输入'!$E4*(1-(1+'参数'!$B$5+INDEX('利差假设'!$B$2:$B$9,MATCH(K$1,'利差假设'!$A$2:$A$9,0)))^-('组合输入'!$F4-1))/('参数'!$B$5+INDEX('利差假设'!$B$2:$B$9,MATCH(K$1,'利差假设'!$A$2:$A$9,0)))+'组合输入'!$D4*(1+'参数'!$B$5+INDEX('利差假设'!$B$2:$B$9,MATCH(K$1,'利差假设'!$A$2:$A$9,0)))^-('组合输入'!$F4-1)))))</f>
        <v/>
      </c>
      <c r="L4" s="12">
        <f>IF($C4="","",SUMPRODUCT(INDEX('评级迁移'!$B$2:$I$9,MATCH($C4,'评级迁移'!$A$2:$A$9,0),0),$D4:$K4))</f>
        <v/>
      </c>
      <c r="M4" s="12">
        <f>IF($C4="","",SQRT(SUMPRODUCT(INDEX('评级迁移'!$B$2:$I$9,MATCH($C4,'评级迁移'!$A$2:$A$9,0),0),($D4:$K4-$L4)*($D4:$K4-$L4))))</f>
        <v/>
      </c>
      <c r="N4" s="12">
        <f>IF($C4="","",'组合输入'!$J4-$L4)</f>
        <v/>
      </c>
      <c r="O4" s="12">
        <f>IF($C4="","",'组合输入'!$J4-MIN($D4:$K4))</f>
        <v/>
      </c>
    </row>
    <row r="5">
      <c r="A5" s="11">
        <f>'组合输入'!A5</f>
        <v/>
      </c>
      <c r="B5" s="11">
        <f>'组合输入'!B5</f>
        <v/>
      </c>
      <c r="C5" s="11">
        <f>'组合输入'!C5</f>
        <v/>
      </c>
      <c r="D5" s="12">
        <f>IF($C5="","",IF(D$1="D",'组合输入'!$D5*'组合输入'!$G5,IF('组合输入'!$F5&lt;=1,'组合输入'!$D5*(1+'组合输入'!$E5),'组合输入'!$D5*'组合输入'!$E5+IF('参数'!$B$5+INDEX('利差假设'!$B$2:$B$9,MATCH(D$1,'利差假设'!$A$2:$A$9,0))=0,'组合输入'!$D5+'组合输入'!$D5*'组合输入'!$E5*('组合输入'!$F5-1),'组合输入'!$D5*'组合输入'!$E5*(1-(1+'参数'!$B$5+INDEX('利差假设'!$B$2:$B$9,MATCH(D$1,'利差假设'!$A$2:$A$9,0)))^-('组合输入'!$F5-1))/('参数'!$B$5+INDEX('利差假设'!$B$2:$B$9,MATCH(D$1,'利差假设'!$A$2:$A$9,0)))+'组合输入'!$D5*(1+'参数'!$B$5+INDEX('利差假设'!$B$2:$B$9,MATCH(D$1,'利差假设'!$A$2:$A$9,0)))^-('组合输入'!$F5-1)))))</f>
        <v/>
      </c>
      <c r="E5" s="12">
        <f>IF($C5="","",IF(E$1="D",'组合输入'!$D5*'组合输入'!$G5,IF('组合输入'!$F5&lt;=1,'组合输入'!$D5*(1+'组合输入'!$E5),'组合输入'!$D5*'组合输入'!$E5+IF('参数'!$B$5+INDEX('利差假设'!$B$2:$B$9,MATCH(E$1,'利差假设'!$A$2:$A$9,0))=0,'组合输入'!$D5+'组合输入'!$D5*'组合输入'!$E5*('组合输入'!$F5-1),'组合输入'!$D5*'组合输入'!$E5*(1-(1+'参数'!$B$5+INDEX('利差假设'!$B$2:$B$9,MATCH(E$1,'利差假设'!$A$2:$A$9,0)))^-('组合输入'!$F5-1))/('参数'!$B$5+INDEX('利差假设'!$B$2:$B$9,MATCH(E$1,'利差假设'!$A$2:$A$9,0)))+'组合输入'!$D5*(1+'参数'!$B$5+INDEX('利差假设'!$B$2:$B$9,MATCH(E$1,'利差假设'!$A$2:$A$9,0)))^-('组合输入'!$F5-1)))))</f>
        <v/>
      </c>
      <c r="F5" s="12">
        <f>IF($C5="","",IF(F$1="D",'组合输入'!$D5*'组合输入'!$G5,IF('组合输入'!$F5&lt;=1,'组合输入'!$D5*(1+'组合输入'!$E5),'组合输入'!$D5*'组合输入'!$E5+IF('参数'!$B$5+INDEX('利差假设'!$B$2:$B$9,MATCH(F$1,'利差假设'!$A$2:$A$9,0))=0,'组合输入'!$D5+'组合输入'!$D5*'组合输入'!$E5*('组合输入'!$F5-1),'组合输入'!$D5*'组合输入'!$E5*(1-(1+'参数'!$B$5+INDEX('利差假设'!$B$2:$B$9,MATCH(F$1,'利差假设'!$A$2:$A$9,0)))^-('组合输入'!$F5-1))/('参数'!$B$5+INDEX('利差假设'!$B$2:$B$9,MATCH(F$1,'利差假设'!$A$2:$A$9,0)))+'组合输入'!$D5*(1+'参数'!$B$5+INDEX('利差假设'!$B$2:$B$9,MATCH(F$1,'利差假设'!$A$2:$A$9,0)))^-('组合输入'!$F5-1)))))</f>
        <v/>
      </c>
      <c r="G5" s="12">
        <f>IF($C5="","",IF(G$1="D",'组合输入'!$D5*'组合输入'!$G5,IF('组合输入'!$F5&lt;=1,'组合输入'!$D5*(1+'组合输入'!$E5),'组合输入'!$D5*'组合输入'!$E5+IF('参数'!$B$5+INDEX('利差假设'!$B$2:$B$9,MATCH(G$1,'利差假设'!$A$2:$A$9,0))=0,'组合输入'!$D5+'组合输入'!$D5*'组合输入'!$E5*('组合输入'!$F5-1),'组合输入'!$D5*'组合输入'!$E5*(1-(1+'参数'!$B$5+INDEX('利差假设'!$B$2:$B$9,MATCH(G$1,'利差假设'!$A$2:$A$9,0)))^-('组合输入'!$F5-1))/('参数'!$B$5+INDEX('利差假设'!$B$2:$B$9,MATCH(G$1,'利差假设'!$A$2:$A$9,0)))+'组合输入'!$D5*(1+'参数'!$B$5+INDEX('利差假设'!$B$2:$B$9,MATCH(G$1,'利差假设'!$A$2:$A$9,0)))^-('组合输入'!$F5-1)))))</f>
        <v/>
      </c>
      <c r="H5" s="12">
        <f>IF($C5="","",IF(H$1="D",'组合输入'!$D5*'组合输入'!$G5,IF('组合输入'!$F5&lt;=1,'组合输入'!$D5*(1+'组合输入'!$E5),'组合输入'!$D5*'组合输入'!$E5+IF('参数'!$B$5+INDEX('利差假设'!$B$2:$B$9,MATCH(H$1,'利差假设'!$A$2:$A$9,0))=0,'组合输入'!$D5+'组合输入'!$D5*'组合输入'!$E5*('组合输入'!$F5-1),'组合输入'!$D5*'组合输入'!$E5*(1-(1+'参数'!$B$5+INDEX('利差假设'!$B$2:$B$9,MATCH(H$1,'利差假设'!$A$2:$A$9,0)))^-('组合输入'!$F5-1))/('参数'!$B$5+INDEX('利差假设'!$B$2:$B$9,MATCH(H$1,'利差假设'!$A$2:$A$9,0)))+'组合输入'!$D5*(1+'参数'!$B$5+INDEX('利差假设'!$B$2:$B$9,MATCH(H$1,'利差假设'!$A$2:$A$9,0)))^-('组合输入'!$F5-1)))))</f>
        <v/>
      </c>
      <c r="I5" s="12">
        <f>IF($C5="","",IF(I$1="D",'组合输入'!$D5*'组合输入'!$G5,IF('组合输入'!$F5&lt;=1,'组合输入'!$D5*(1+'组合输入'!$E5),'组合输入'!$D5*'组合输入'!$E5+IF('参数'!$B$5+INDEX('利差假设'!$B$2:$B$9,MATCH(I$1,'利差假设'!$A$2:$A$9,0))=0,'组合输入'!$D5+'组合输入'!$D5*'组合输入'!$E5*('组合输入'!$F5-1),'组合输入'!$D5*'组合输入'!$E5*(1-(1+'参数'!$B$5+INDEX('利差假设'!$B$2:$B$9,MATCH(I$1,'利差假设'!$A$2:$A$9,0)))^-('组合输入'!$F5-1))/('参数'!$B$5+INDEX('利差假设'!$B$2:$B$9,MATCH(I$1,'利差假设'!$A$2:$A$9,0)))+'组合输入'!$D5*(1+'参数'!$B$5+INDEX('利差假设'!$B$2:$B$9,MATCH(I$1,'利差假设'!$A$2:$A$9,0)))^-('组合输入'!$F5-1)))))</f>
        <v/>
      </c>
      <c r="J5" s="12">
        <f>IF($C5="","",IF(J$1="D",'组合输入'!$D5*'组合输入'!$G5,IF('组合输入'!$F5&lt;=1,'组合输入'!$D5*(1+'组合输入'!$E5),'组合输入'!$D5*'组合输入'!$E5+IF('参数'!$B$5+INDEX('利差假设'!$B$2:$B$9,MATCH(J$1,'利差假设'!$A$2:$A$9,0))=0,'组合输入'!$D5+'组合输入'!$D5*'组合输入'!$E5*('组合输入'!$F5-1),'组合输入'!$D5*'组合输入'!$E5*(1-(1+'参数'!$B$5+INDEX('利差假设'!$B$2:$B$9,MATCH(J$1,'利差假设'!$A$2:$A$9,0)))^-('组合输入'!$F5-1))/('参数'!$B$5+INDEX('利差假设'!$B$2:$B$9,MATCH(J$1,'利差假设'!$A$2:$A$9,0)))+'组合输入'!$D5*(1+'参数'!$B$5+INDEX('利差假设'!$B$2:$B$9,MATCH(J$1,'利差假设'!$A$2:$A$9,0)))^-('组合输入'!$F5-1)))))</f>
        <v/>
      </c>
      <c r="K5" s="12">
        <f>IF($C5="","",IF(K$1="D",'组合输入'!$D5*'组合输入'!$G5,IF('组合输入'!$F5&lt;=1,'组合输入'!$D5*(1+'组合输入'!$E5),'组合输入'!$D5*'组合输入'!$E5+IF('参数'!$B$5+INDEX('利差假设'!$B$2:$B$9,MATCH(K$1,'利差假设'!$A$2:$A$9,0))=0,'组合输入'!$D5+'组合输入'!$D5*'组合输入'!$E5*('组合输入'!$F5-1),'组合输入'!$D5*'组合输入'!$E5*(1-(1+'参数'!$B$5+INDEX('利差假设'!$B$2:$B$9,MATCH(K$1,'利差假设'!$A$2:$A$9,0)))^-('组合输入'!$F5-1))/('参数'!$B$5+INDEX('利差假设'!$B$2:$B$9,MATCH(K$1,'利差假设'!$A$2:$A$9,0)))+'组合输入'!$D5*(1+'参数'!$B$5+INDEX('利差假设'!$B$2:$B$9,MATCH(K$1,'利差假设'!$A$2:$A$9,0)))^-('组合输入'!$F5-1)))))</f>
        <v/>
      </c>
      <c r="L5" s="12">
        <f>IF($C5="","",SUMPRODUCT(INDEX('评级迁移'!$B$2:$I$9,MATCH($C5,'评级迁移'!$A$2:$A$9,0),0),$D5:$K5))</f>
        <v/>
      </c>
      <c r="M5" s="12">
        <f>IF($C5="","",SQRT(SUMPRODUCT(INDEX('评级迁移'!$B$2:$I$9,MATCH($C5,'评级迁移'!$A$2:$A$9,0),0),($D5:$K5-$L5)*($D5:$K5-$L5))))</f>
        <v/>
      </c>
      <c r="N5" s="12">
        <f>IF($C5="","",'组合输入'!$J5-$L5)</f>
        <v/>
      </c>
      <c r="O5" s="12">
        <f>IF($C5="","",'组合输入'!$J5-MIN($D5:$K5))</f>
        <v/>
      </c>
    </row>
    <row r="6">
      <c r="A6" s="11">
        <f>'组合输入'!A6</f>
        <v/>
      </c>
      <c r="B6" s="11">
        <f>'组合输入'!B6</f>
        <v/>
      </c>
      <c r="C6" s="11">
        <f>'组合输入'!C6</f>
        <v/>
      </c>
      <c r="D6" s="12">
        <f>IF($C6="","",IF(D$1="D",'组合输入'!$D6*'组合输入'!$G6,IF('组合输入'!$F6&lt;=1,'组合输入'!$D6*(1+'组合输入'!$E6),'组合输入'!$D6*'组合输入'!$E6+IF('参数'!$B$5+INDEX('利差假设'!$B$2:$B$9,MATCH(D$1,'利差假设'!$A$2:$A$9,0))=0,'组合输入'!$D6+'组合输入'!$D6*'组合输入'!$E6*('组合输入'!$F6-1),'组合输入'!$D6*'组合输入'!$E6*(1-(1+'参数'!$B$5+INDEX('利差假设'!$B$2:$B$9,MATCH(D$1,'利差假设'!$A$2:$A$9,0)))^-('组合输入'!$F6-1))/('参数'!$B$5+INDEX('利差假设'!$B$2:$B$9,MATCH(D$1,'利差假设'!$A$2:$A$9,0)))+'组合输入'!$D6*(1+'参数'!$B$5+INDEX('利差假设'!$B$2:$B$9,MATCH(D$1,'利差假设'!$A$2:$A$9,0)))^-('组合输入'!$F6-1)))))</f>
        <v/>
      </c>
      <c r="E6" s="12">
        <f>IF($C6="","",IF(E$1="D",'组合输入'!$D6*'组合输入'!$G6,IF('组合输入'!$F6&lt;=1,'组合输入'!$D6*(1+'组合输入'!$E6),'组合输入'!$D6*'组合输入'!$E6+IF('参数'!$B$5+INDEX('利差假设'!$B$2:$B$9,MATCH(E$1,'利差假设'!$A$2:$A$9,0))=0,'组合输入'!$D6+'组合输入'!$D6*'组合输入'!$E6*('组合输入'!$F6-1),'组合输入'!$D6*'组合输入'!$E6*(1-(1+'参数'!$B$5+INDEX('利差假设'!$B$2:$B$9,MATCH(E$1,'利差假设'!$A$2:$A$9,0)))^-('组合输入'!$F6-1))/('参数'!$B$5+INDEX('利差假设'!$B$2:$B$9,MATCH(E$1,'利差假设'!$A$2:$A$9,0)))+'组合输入'!$D6*(1+'参数'!$B$5+INDEX('利差假设'!$B$2:$B$9,MATCH(E$1,'利差假设'!$A$2:$A$9,0)))^-('组合输入'!$F6-1)))))</f>
        <v/>
      </c>
      <c r="F6" s="12">
        <f>IF($C6="","",IF(F$1="D",'组合输入'!$D6*'组合输入'!$G6,IF('组合输入'!$F6&lt;=1,'组合输入'!$D6*(1+'组合输入'!$E6),'组合输入'!$D6*'组合输入'!$E6+IF('参数'!$B$5+INDEX('利差假设'!$B$2:$B$9,MATCH(F$1,'利差假设'!$A$2:$A$9,0))=0,'组合输入'!$D6+'组合输入'!$D6*'组合输入'!$E6*('组合输入'!$F6-1),'组合输入'!$D6*'组合输入'!$E6*(1-(1+'参数'!$B$5+INDEX('利差假设'!$B$2:$B$9,MATCH(F$1,'利差假设'!$A$2:$A$9,0)))^-('组合输入'!$F6-1))/('参数'!$B$5+INDEX('利差假设'!$B$2:$B$9,MATCH(F$1,'利差假设'!$A$2:$A$9,0)))+'组合输入'!$D6*(1+'参数'!$B$5+INDEX('利差假设'!$B$2:$B$9,MATCH(F$1,'利差假设'!$A$2:$A$9,0)))^-('组合输入'!$F6-1)))))</f>
        <v/>
      </c>
      <c r="G6" s="12">
        <f>IF($C6="","",IF(G$1="D",'组合输入'!$D6*'组合输入'!$G6,IF('组合输入'!$F6&lt;=1,'组合输入'!$D6*(1+'组合输入'!$E6),'组合输入'!$D6*'组合输入'!$E6+IF('参数'!$B$5+INDEX('利差假设'!$B$2:$B$9,MATCH(G$1,'利差假设'!$A$2:$A$9,0))=0,'组合输入'!$D6+'组合输入'!$D6*'组合输入'!$E6*('组合输入'!$F6-1),'组合输入'!$D6*'组合输入'!$E6*(1-(1+'参数'!$B$5+INDEX('利差假设'!$B$2:$B$9,MATCH(G$1,'利差假设'!$A$2:$A$9,0)))^-('组合输入'!$F6-1))/('参数'!$B$5+INDEX('利差假设'!$B$2:$B$9,MATCH(G$1,'利差假设'!$A$2:$A$9,0)))+'组合输入'!$D6*(1+'参数'!$B$5+INDEX('利差假设'!$B$2:$B$9,MATCH(G$1,'利差假设'!$A$2:$A$9,0)))^-('组合输入'!$F6-1)))))</f>
        <v/>
      </c>
      <c r="H6" s="12">
        <f>IF($C6="","",IF(H$1="D",'组合输入'!$D6*'组合输入'!$G6,IF('组合输入'!$F6&lt;=1,'组合输入'!$D6*(1+'组合输入'!$E6),'组合输入'!$D6*'组合输入'!$E6+IF('参数'!$B$5+INDEX('利差假设'!$B$2:$B$9,MATCH(H$1,'利差假设'!$A$2:$A$9,0))=0,'组合输入'!$D6+'组合输入'!$D6*'组合输入'!$E6*('组合输入'!$F6-1),'组合输入'!$D6*'组合输入'!$E6*(1-(1+'参数'!$B$5+INDEX('利差假设'!$B$2:$B$9,MATCH(H$1,'利差假设'!$A$2:$A$9,0)))^-('组合输入'!$F6-1))/('参数'!$B$5+INDEX('利差假设'!$B$2:$B$9,MATCH(H$1,'利差假设'!$A$2:$A$9,0)))+'组合输入'!$D6*(1+'参数'!$B$5+INDEX('利差假设'!$B$2:$B$9,MATCH(H$1,'利差假设'!$A$2:$A$9,0)))^-('组合输入'!$F6-1)))))</f>
        <v/>
      </c>
      <c r="I6" s="12">
        <f>IF($C6="","",IF(I$1="D",'组合输入'!$D6*'组合输入'!$G6,IF('组合输入'!$F6&lt;=1,'组合输入'!$D6*(1+'组合输入'!$E6),'组合输入'!$D6*'组合输入'!$E6+IF('参数'!$B$5+INDEX('利差假设'!$B$2:$B$9,MATCH(I$1,'利差假设'!$A$2:$A$9,0))=0,'组合输入'!$D6+'组合输入'!$D6*'组合输入'!$E6*('组合输入'!$F6-1),'组合输入'!$D6*'组合输入'!$E6*(1-(1+'参数'!$B$5+INDEX('利差假设'!$B$2:$B$9,MATCH(I$1,'利差假设'!$A$2:$A$9,0)))^-('组合输入'!$F6-1))/('参数'!$B$5+INDEX('利差假设'!$B$2:$B$9,MATCH(I$1,'利差假设'!$A$2:$A$9,0)))+'组合输入'!$D6*(1+'参数'!$B$5+INDEX('利差假设'!$B$2:$B$9,MATCH(I$1,'利差假设'!$A$2:$A$9,0)))^-('组合输入'!$F6-1)))))</f>
        <v/>
      </c>
      <c r="J6" s="12">
        <f>IF($C6="","",IF(J$1="D",'组合输入'!$D6*'组合输入'!$G6,IF('组合输入'!$F6&lt;=1,'组合输入'!$D6*(1+'组合输入'!$E6),'组合输入'!$D6*'组合输入'!$E6+IF('参数'!$B$5+INDEX('利差假设'!$B$2:$B$9,MATCH(J$1,'利差假设'!$A$2:$A$9,0))=0,'组合输入'!$D6+'组合输入'!$D6*'组合输入'!$E6*('组合输入'!$F6-1),'组合输入'!$D6*'组合输入'!$E6*(1-(1+'参数'!$B$5+INDEX('利差假设'!$B$2:$B$9,MATCH(J$1,'利差假设'!$A$2:$A$9,0)))^-('组合输入'!$F6-1))/('参数'!$B$5+INDEX('利差假设'!$B$2:$B$9,MATCH(J$1,'利差假设'!$A$2:$A$9,0)))+'组合输入'!$D6*(1+'参数'!$B$5+INDEX('利差假设'!$B$2:$B$9,MATCH(J$1,'利差假设'!$A$2:$A$9,0)))^-('组合输入'!$F6-1)))))</f>
        <v/>
      </c>
      <c r="K6" s="12">
        <f>IF($C6="","",IF(K$1="D",'组合输入'!$D6*'组合输入'!$G6,IF('组合输入'!$F6&lt;=1,'组合输入'!$D6*(1+'组合输入'!$E6),'组合输入'!$D6*'组合输入'!$E6+IF('参数'!$B$5+INDEX('利差假设'!$B$2:$B$9,MATCH(K$1,'利差假设'!$A$2:$A$9,0))=0,'组合输入'!$D6+'组合输入'!$D6*'组合输入'!$E6*('组合输入'!$F6-1),'组合输入'!$D6*'组合输入'!$E6*(1-(1+'参数'!$B$5+INDEX('利差假设'!$B$2:$B$9,MATCH(K$1,'利差假设'!$A$2:$A$9,0)))^-('组合输入'!$F6-1))/('参数'!$B$5+INDEX('利差假设'!$B$2:$B$9,MATCH(K$1,'利差假设'!$A$2:$A$9,0)))+'组合输入'!$D6*(1+'参数'!$B$5+INDEX('利差假设'!$B$2:$B$9,MATCH(K$1,'利差假设'!$A$2:$A$9,0)))^-('组合输入'!$F6-1)))))</f>
        <v/>
      </c>
      <c r="L6" s="12">
        <f>IF($C6="","",SUMPRODUCT(INDEX('评级迁移'!$B$2:$I$9,MATCH($C6,'评级迁移'!$A$2:$A$9,0),0),$D6:$K6))</f>
        <v/>
      </c>
      <c r="M6" s="12">
        <f>IF($C6="","",SQRT(SUMPRODUCT(INDEX('评级迁移'!$B$2:$I$9,MATCH($C6,'评级迁移'!$A$2:$A$9,0),0),($D6:$K6-$L6)*($D6:$K6-$L6))))</f>
        <v/>
      </c>
      <c r="N6" s="12">
        <f>IF($C6="","",'组合输入'!$J6-$L6)</f>
        <v/>
      </c>
      <c r="O6" s="12">
        <f>IF($C6="","",'组合输入'!$J6-MIN($D6:$K6))</f>
        <v/>
      </c>
    </row>
    <row r="7">
      <c r="A7" s="11">
        <f>'组合输入'!A7</f>
        <v/>
      </c>
      <c r="B7" s="11">
        <f>'组合输入'!B7</f>
        <v/>
      </c>
      <c r="C7" s="11">
        <f>'组合输入'!C7</f>
        <v/>
      </c>
      <c r="D7" s="12">
        <f>IF($C7="","",IF(D$1="D",'组合输入'!$D7*'组合输入'!$G7,IF('组合输入'!$F7&lt;=1,'组合输入'!$D7*(1+'组合输入'!$E7),'组合输入'!$D7*'组合输入'!$E7+IF('参数'!$B$5+INDEX('利差假设'!$B$2:$B$9,MATCH(D$1,'利差假设'!$A$2:$A$9,0))=0,'组合输入'!$D7+'组合输入'!$D7*'组合输入'!$E7*('组合输入'!$F7-1),'组合输入'!$D7*'组合输入'!$E7*(1-(1+'参数'!$B$5+INDEX('利差假设'!$B$2:$B$9,MATCH(D$1,'利差假设'!$A$2:$A$9,0)))^-('组合输入'!$F7-1))/('参数'!$B$5+INDEX('利差假设'!$B$2:$B$9,MATCH(D$1,'利差假设'!$A$2:$A$9,0)))+'组合输入'!$D7*(1+'参数'!$B$5+INDEX('利差假设'!$B$2:$B$9,MATCH(D$1,'利差假设'!$A$2:$A$9,0)))^-('组合输入'!$F7-1)))))</f>
        <v/>
      </c>
      <c r="E7" s="12">
        <f>IF($C7="","",IF(E$1="D",'组合输入'!$D7*'组合输入'!$G7,IF('组合输入'!$F7&lt;=1,'组合输入'!$D7*(1+'组合输入'!$E7),'组合输入'!$D7*'组合输入'!$E7+IF('参数'!$B$5+INDEX('利差假设'!$B$2:$B$9,MATCH(E$1,'利差假设'!$A$2:$A$9,0))=0,'组合输入'!$D7+'组合输入'!$D7*'组合输入'!$E7*('组合输入'!$F7-1),'组合输入'!$D7*'组合输入'!$E7*(1-(1+'参数'!$B$5+INDEX('利差假设'!$B$2:$B$9,MATCH(E$1,'利差假设'!$A$2:$A$9,0)))^-('组合输入'!$F7-1))/('参数'!$B$5+INDEX('利差假设'!$B$2:$B$9,MATCH(E$1,'利差假设'!$A$2:$A$9,0)))+'组合输入'!$D7*(1+'参数'!$B$5+INDEX('利差假设'!$B$2:$B$9,MATCH(E$1,'利差假设'!$A$2:$A$9,0)))^-('组合输入'!$F7-1)))))</f>
        <v/>
      </c>
      <c r="F7" s="12">
        <f>IF($C7="","",IF(F$1="D",'组合输入'!$D7*'组合输入'!$G7,IF('组合输入'!$F7&lt;=1,'组合输入'!$D7*(1+'组合输入'!$E7),'组合输入'!$D7*'组合输入'!$E7+IF('参数'!$B$5+INDEX('利差假设'!$B$2:$B$9,MATCH(F$1,'利差假设'!$A$2:$A$9,0))=0,'组合输入'!$D7+'组合输入'!$D7*'组合输入'!$E7*('组合输入'!$F7-1),'组合输入'!$D7*'组合输入'!$E7*(1-(1+'参数'!$B$5+INDEX('利差假设'!$B$2:$B$9,MATCH(F$1,'利差假设'!$A$2:$A$9,0)))^-('组合输入'!$F7-1))/('参数'!$B$5+INDEX('利差假设'!$B$2:$B$9,MATCH(F$1,'利差假设'!$A$2:$A$9,0)))+'组合输入'!$D7*(1+'参数'!$B$5+INDEX('利差假设'!$B$2:$B$9,MATCH(F$1,'利差假设'!$A$2:$A$9,0)))^-('组合输入'!$F7-1)))))</f>
        <v/>
      </c>
      <c r="G7" s="12">
        <f>IF($C7="","",IF(G$1="D",'组合输入'!$D7*'组合输入'!$G7,IF('组合输入'!$F7&lt;=1,'组合输入'!$D7*(1+'组合输入'!$E7),'组合输入'!$D7*'组合输入'!$E7+IF('参数'!$B$5+INDEX('利差假设'!$B$2:$B$9,MATCH(G$1,'利差假设'!$A$2:$A$9,0))=0,'组合输入'!$D7+'组合输入'!$D7*'组合输入'!$E7*('组合输入'!$F7-1),'组合输入'!$D7*'组合输入'!$E7*(1-(1+'参数'!$B$5+INDEX('利差假设'!$B$2:$B$9,MATCH(G$1,'利差假设'!$A$2:$A$9,0)))^-('组合输入'!$F7-1))/('参数'!$B$5+INDEX('利差假设'!$B$2:$B$9,MATCH(G$1,'利差假设'!$A$2:$A$9,0)))+'组合输入'!$D7*(1+'参数'!$B$5+INDEX('利差假设'!$B$2:$B$9,MATCH(G$1,'利差假设'!$A$2:$A$9,0)))^-('组合输入'!$F7-1)))))</f>
        <v/>
      </c>
      <c r="H7" s="12">
        <f>IF($C7="","",IF(H$1="D",'组合输入'!$D7*'组合输入'!$G7,IF('组合输入'!$F7&lt;=1,'组合输入'!$D7*(1+'组合输入'!$E7),'组合输入'!$D7*'组合输入'!$E7+IF('参数'!$B$5+INDEX('利差假设'!$B$2:$B$9,MATCH(H$1,'利差假设'!$A$2:$A$9,0))=0,'组合输入'!$D7+'组合输入'!$D7*'组合输入'!$E7*('组合输入'!$F7-1),'组合输入'!$D7*'组合输入'!$E7*(1-(1+'参数'!$B$5+INDEX('利差假设'!$B$2:$B$9,MATCH(H$1,'利差假设'!$A$2:$A$9,0)))^-('组合输入'!$F7-1))/('参数'!$B$5+INDEX('利差假设'!$B$2:$B$9,MATCH(H$1,'利差假设'!$A$2:$A$9,0)))+'组合输入'!$D7*(1+'参数'!$B$5+INDEX('利差假设'!$B$2:$B$9,MATCH(H$1,'利差假设'!$A$2:$A$9,0)))^-('组合输入'!$F7-1)))))</f>
        <v/>
      </c>
      <c r="I7" s="12">
        <f>IF($C7="","",IF(I$1="D",'组合输入'!$D7*'组合输入'!$G7,IF('组合输入'!$F7&lt;=1,'组合输入'!$D7*(1+'组合输入'!$E7),'组合输入'!$D7*'组合输入'!$E7+IF('参数'!$B$5+INDEX('利差假设'!$B$2:$B$9,MATCH(I$1,'利差假设'!$A$2:$A$9,0))=0,'组合输入'!$D7+'组合输入'!$D7*'组合输入'!$E7*('组合输入'!$F7-1),'组合输入'!$D7*'组合输入'!$E7*(1-(1+'参数'!$B$5+INDEX('利差假设'!$B$2:$B$9,MATCH(I$1,'利差假设'!$A$2:$A$9,0)))^-('组合输入'!$F7-1))/('参数'!$B$5+INDEX('利差假设'!$B$2:$B$9,MATCH(I$1,'利差假设'!$A$2:$A$9,0)))+'组合输入'!$D7*(1+'参数'!$B$5+INDEX('利差假设'!$B$2:$B$9,MATCH(I$1,'利差假设'!$A$2:$A$9,0)))^-('组合输入'!$F7-1)))))</f>
        <v/>
      </c>
      <c r="J7" s="12">
        <f>IF($C7="","",IF(J$1="D",'组合输入'!$D7*'组合输入'!$G7,IF('组合输入'!$F7&lt;=1,'组合输入'!$D7*(1+'组合输入'!$E7),'组合输入'!$D7*'组合输入'!$E7+IF('参数'!$B$5+INDEX('利差假设'!$B$2:$B$9,MATCH(J$1,'利差假设'!$A$2:$A$9,0))=0,'组合输入'!$D7+'组合输入'!$D7*'组合输入'!$E7*('组合输入'!$F7-1),'组合输入'!$D7*'组合输入'!$E7*(1-(1+'参数'!$B$5+INDEX('利差假设'!$B$2:$B$9,MATCH(J$1,'利差假设'!$A$2:$A$9,0)))^-('组合输入'!$F7-1))/('参数'!$B$5+INDEX('利差假设'!$B$2:$B$9,MATCH(J$1,'利差假设'!$A$2:$A$9,0)))+'组合输入'!$D7*(1+'参数'!$B$5+INDEX('利差假设'!$B$2:$B$9,MATCH(J$1,'利差假设'!$A$2:$A$9,0)))^-('组合输入'!$F7-1)))))</f>
        <v/>
      </c>
      <c r="K7" s="12">
        <f>IF($C7="","",IF(K$1="D",'组合输入'!$D7*'组合输入'!$G7,IF('组合输入'!$F7&lt;=1,'组合输入'!$D7*(1+'组合输入'!$E7),'组合输入'!$D7*'组合输入'!$E7+IF('参数'!$B$5+INDEX('利差假设'!$B$2:$B$9,MATCH(K$1,'利差假设'!$A$2:$A$9,0))=0,'组合输入'!$D7+'组合输入'!$D7*'组合输入'!$E7*('组合输入'!$F7-1),'组合输入'!$D7*'组合输入'!$E7*(1-(1+'参数'!$B$5+INDEX('利差假设'!$B$2:$B$9,MATCH(K$1,'利差假设'!$A$2:$A$9,0)))^-('组合输入'!$F7-1))/('参数'!$B$5+INDEX('利差假设'!$B$2:$B$9,MATCH(K$1,'利差假设'!$A$2:$A$9,0)))+'组合输入'!$D7*(1+'参数'!$B$5+INDEX('利差假设'!$B$2:$B$9,MATCH(K$1,'利差假设'!$A$2:$A$9,0)))^-('组合输入'!$F7-1)))))</f>
        <v/>
      </c>
      <c r="L7" s="12">
        <f>IF($C7="","",SUMPRODUCT(INDEX('评级迁移'!$B$2:$I$9,MATCH($C7,'评级迁移'!$A$2:$A$9,0),0),$D7:$K7))</f>
        <v/>
      </c>
      <c r="M7" s="12">
        <f>IF($C7="","",SQRT(SUMPRODUCT(INDEX('评级迁移'!$B$2:$I$9,MATCH($C7,'评级迁移'!$A$2:$A$9,0),0),($D7:$K7-$L7)*($D7:$K7-$L7))))</f>
        <v/>
      </c>
      <c r="N7" s="12">
        <f>IF($C7="","",'组合输入'!$J7-$L7)</f>
        <v/>
      </c>
      <c r="O7" s="12">
        <f>IF($C7="","",'组合输入'!$J7-MIN($D7:$K7))</f>
        <v/>
      </c>
    </row>
    <row r="8">
      <c r="A8" s="11">
        <f>'组合输入'!A8</f>
        <v/>
      </c>
      <c r="B8" s="11">
        <f>'组合输入'!B8</f>
        <v/>
      </c>
      <c r="C8" s="11">
        <f>'组合输入'!C8</f>
        <v/>
      </c>
      <c r="D8" s="12">
        <f>IF($C8="","",IF(D$1="D",'组合输入'!$D8*'组合输入'!$G8,IF('组合输入'!$F8&lt;=1,'组合输入'!$D8*(1+'组合输入'!$E8),'组合输入'!$D8*'组合输入'!$E8+IF('参数'!$B$5+INDEX('利差假设'!$B$2:$B$9,MATCH(D$1,'利差假设'!$A$2:$A$9,0))=0,'组合输入'!$D8+'组合输入'!$D8*'组合输入'!$E8*('组合输入'!$F8-1),'组合输入'!$D8*'组合输入'!$E8*(1-(1+'参数'!$B$5+INDEX('利差假设'!$B$2:$B$9,MATCH(D$1,'利差假设'!$A$2:$A$9,0)))^-('组合输入'!$F8-1))/('参数'!$B$5+INDEX('利差假设'!$B$2:$B$9,MATCH(D$1,'利差假设'!$A$2:$A$9,0)))+'组合输入'!$D8*(1+'参数'!$B$5+INDEX('利差假设'!$B$2:$B$9,MATCH(D$1,'利差假设'!$A$2:$A$9,0)))^-('组合输入'!$F8-1)))))</f>
        <v/>
      </c>
      <c r="E8" s="12">
        <f>IF($C8="","",IF(E$1="D",'组合输入'!$D8*'组合输入'!$G8,IF('组合输入'!$F8&lt;=1,'组合输入'!$D8*(1+'组合输入'!$E8),'组合输入'!$D8*'组合输入'!$E8+IF('参数'!$B$5+INDEX('利差假设'!$B$2:$B$9,MATCH(E$1,'利差假设'!$A$2:$A$9,0))=0,'组合输入'!$D8+'组合输入'!$D8*'组合输入'!$E8*('组合输入'!$F8-1),'组合输入'!$D8*'组合输入'!$E8*(1-(1+'参数'!$B$5+INDEX('利差假设'!$B$2:$B$9,MATCH(E$1,'利差假设'!$A$2:$A$9,0)))^-('组合输入'!$F8-1))/('参数'!$B$5+INDEX('利差假设'!$B$2:$B$9,MATCH(E$1,'利差假设'!$A$2:$A$9,0)))+'组合输入'!$D8*(1+'参数'!$B$5+INDEX('利差假设'!$B$2:$B$9,MATCH(E$1,'利差假设'!$A$2:$A$9,0)))^-('组合输入'!$F8-1)))))</f>
        <v/>
      </c>
      <c r="F8" s="12">
        <f>IF($C8="","",IF(F$1="D",'组合输入'!$D8*'组合输入'!$G8,IF('组合输入'!$F8&lt;=1,'组合输入'!$D8*(1+'组合输入'!$E8),'组合输入'!$D8*'组合输入'!$E8+IF('参数'!$B$5+INDEX('利差假设'!$B$2:$B$9,MATCH(F$1,'利差假设'!$A$2:$A$9,0))=0,'组合输入'!$D8+'组合输入'!$D8*'组合输入'!$E8*('组合输入'!$F8-1),'组合输入'!$D8*'组合输入'!$E8*(1-(1+'参数'!$B$5+INDEX('利差假设'!$B$2:$B$9,MATCH(F$1,'利差假设'!$A$2:$A$9,0)))^-('组合输入'!$F8-1))/('参数'!$B$5+INDEX('利差假设'!$B$2:$B$9,MATCH(F$1,'利差假设'!$A$2:$A$9,0)))+'组合输入'!$D8*(1+'参数'!$B$5+INDEX('利差假设'!$B$2:$B$9,MATCH(F$1,'利差假设'!$A$2:$A$9,0)))^-('组合输入'!$F8-1)))))</f>
        <v/>
      </c>
      <c r="G8" s="12">
        <f>IF($C8="","",IF(G$1="D",'组合输入'!$D8*'组合输入'!$G8,IF('组合输入'!$F8&lt;=1,'组合输入'!$D8*(1+'组合输入'!$E8),'组合输入'!$D8*'组合输入'!$E8+IF('参数'!$B$5+INDEX('利差假设'!$B$2:$B$9,MATCH(G$1,'利差假设'!$A$2:$A$9,0))=0,'组合输入'!$D8+'组合输入'!$D8*'组合输入'!$E8*('组合输入'!$F8-1),'组合输入'!$D8*'组合输入'!$E8*(1-(1+'参数'!$B$5+INDEX('利差假设'!$B$2:$B$9,MATCH(G$1,'利差假设'!$A$2:$A$9,0)))^-('组合输入'!$F8-1))/('参数'!$B$5+INDEX('利差假设'!$B$2:$B$9,MATCH(G$1,'利差假设'!$A$2:$A$9,0)))+'组合输入'!$D8*(1+'参数'!$B$5+INDEX('利差假设'!$B$2:$B$9,MATCH(G$1,'利差假设'!$A$2:$A$9,0)))^-('组合输入'!$F8-1)))))</f>
        <v/>
      </c>
      <c r="H8" s="12">
        <f>IF($C8="","",IF(H$1="D",'组合输入'!$D8*'组合输入'!$G8,IF('组合输入'!$F8&lt;=1,'组合输入'!$D8*(1+'组合输入'!$E8),'组合输入'!$D8*'组合输入'!$E8+IF('参数'!$B$5+INDEX('利差假设'!$B$2:$B$9,MATCH(H$1,'利差假设'!$A$2:$A$9,0))=0,'组合输入'!$D8+'组合输入'!$D8*'组合输入'!$E8*('组合输入'!$F8-1),'组合输入'!$D8*'组合输入'!$E8*(1-(1+'参数'!$B$5+INDEX('利差假设'!$B$2:$B$9,MATCH(H$1,'利差假设'!$A$2:$A$9,0)))^-('组合输入'!$F8-1))/('参数'!$B$5+INDEX('利差假设'!$B$2:$B$9,MATCH(H$1,'利差假设'!$A$2:$A$9,0)))+'组合输入'!$D8*(1+'参数'!$B$5+INDEX('利差假设'!$B$2:$B$9,MATCH(H$1,'利差假设'!$A$2:$A$9,0)))^-('组合输入'!$F8-1)))))</f>
        <v/>
      </c>
      <c r="I8" s="12">
        <f>IF($C8="","",IF(I$1="D",'组合输入'!$D8*'组合输入'!$G8,IF('组合输入'!$F8&lt;=1,'组合输入'!$D8*(1+'组合输入'!$E8),'组合输入'!$D8*'组合输入'!$E8+IF('参数'!$B$5+INDEX('利差假设'!$B$2:$B$9,MATCH(I$1,'利差假设'!$A$2:$A$9,0))=0,'组合输入'!$D8+'组合输入'!$D8*'组合输入'!$E8*('组合输入'!$F8-1),'组合输入'!$D8*'组合输入'!$E8*(1-(1+'参数'!$B$5+INDEX('利差假设'!$B$2:$B$9,MATCH(I$1,'利差假设'!$A$2:$A$9,0)))^-('组合输入'!$F8-1))/('参数'!$B$5+INDEX('利差假设'!$B$2:$B$9,MATCH(I$1,'利差假设'!$A$2:$A$9,0)))+'组合输入'!$D8*(1+'参数'!$B$5+INDEX('利差假设'!$B$2:$B$9,MATCH(I$1,'利差假设'!$A$2:$A$9,0)))^-('组合输入'!$F8-1)))))</f>
        <v/>
      </c>
      <c r="J8" s="12">
        <f>IF($C8="","",IF(J$1="D",'组合输入'!$D8*'组合输入'!$G8,IF('组合输入'!$F8&lt;=1,'组合输入'!$D8*(1+'组合输入'!$E8),'组合输入'!$D8*'组合输入'!$E8+IF('参数'!$B$5+INDEX('利差假设'!$B$2:$B$9,MATCH(J$1,'利差假设'!$A$2:$A$9,0))=0,'组合输入'!$D8+'组合输入'!$D8*'组合输入'!$E8*('组合输入'!$F8-1),'组合输入'!$D8*'组合输入'!$E8*(1-(1+'参数'!$B$5+INDEX('利差假设'!$B$2:$B$9,MATCH(J$1,'利差假设'!$A$2:$A$9,0)))^-('组合输入'!$F8-1))/('参数'!$B$5+INDEX('利差假设'!$B$2:$B$9,MATCH(J$1,'利差假设'!$A$2:$A$9,0)))+'组合输入'!$D8*(1+'参数'!$B$5+INDEX('利差假设'!$B$2:$B$9,MATCH(J$1,'利差假设'!$A$2:$A$9,0)))^-('组合输入'!$F8-1)))))</f>
        <v/>
      </c>
      <c r="K8" s="12">
        <f>IF($C8="","",IF(K$1="D",'组合输入'!$D8*'组合输入'!$G8,IF('组合输入'!$F8&lt;=1,'组合输入'!$D8*(1+'组合输入'!$E8),'组合输入'!$D8*'组合输入'!$E8+IF('参数'!$B$5+INDEX('利差假设'!$B$2:$B$9,MATCH(K$1,'利差假设'!$A$2:$A$9,0))=0,'组合输入'!$D8+'组合输入'!$D8*'组合输入'!$E8*('组合输入'!$F8-1),'组合输入'!$D8*'组合输入'!$E8*(1-(1+'参数'!$B$5+INDEX('利差假设'!$B$2:$B$9,MATCH(K$1,'利差假设'!$A$2:$A$9,0)))^-('组合输入'!$F8-1))/('参数'!$B$5+INDEX('利差假设'!$B$2:$B$9,MATCH(K$1,'利差假设'!$A$2:$A$9,0)))+'组合输入'!$D8*(1+'参数'!$B$5+INDEX('利差假设'!$B$2:$B$9,MATCH(K$1,'利差假设'!$A$2:$A$9,0)))^-('组合输入'!$F8-1)))))</f>
        <v/>
      </c>
      <c r="L8" s="12">
        <f>IF($C8="","",SUMPRODUCT(INDEX('评级迁移'!$B$2:$I$9,MATCH($C8,'评级迁移'!$A$2:$A$9,0),0),$D8:$K8))</f>
        <v/>
      </c>
      <c r="M8" s="12">
        <f>IF($C8="","",SQRT(SUMPRODUCT(INDEX('评级迁移'!$B$2:$I$9,MATCH($C8,'评级迁移'!$A$2:$A$9,0),0),($D8:$K8-$L8)*($D8:$K8-$L8))))</f>
        <v/>
      </c>
      <c r="N8" s="12">
        <f>IF($C8="","",'组合输入'!$J8-$L8)</f>
        <v/>
      </c>
      <c r="O8" s="12">
        <f>IF($C8="","",'组合输入'!$J8-MIN($D8:$K8))</f>
        <v/>
      </c>
    </row>
    <row r="9">
      <c r="A9" s="11">
        <f>'组合输入'!A9</f>
        <v/>
      </c>
      <c r="B9" s="11">
        <f>'组合输入'!B9</f>
        <v/>
      </c>
      <c r="C9" s="11">
        <f>'组合输入'!C9</f>
        <v/>
      </c>
      <c r="D9" s="12">
        <f>IF($C9="","",IF(D$1="D",'组合输入'!$D9*'组合输入'!$G9,IF('组合输入'!$F9&lt;=1,'组合输入'!$D9*(1+'组合输入'!$E9),'组合输入'!$D9*'组合输入'!$E9+IF('参数'!$B$5+INDEX('利差假设'!$B$2:$B$9,MATCH(D$1,'利差假设'!$A$2:$A$9,0))=0,'组合输入'!$D9+'组合输入'!$D9*'组合输入'!$E9*('组合输入'!$F9-1),'组合输入'!$D9*'组合输入'!$E9*(1-(1+'参数'!$B$5+INDEX('利差假设'!$B$2:$B$9,MATCH(D$1,'利差假设'!$A$2:$A$9,0)))^-('组合输入'!$F9-1))/('参数'!$B$5+INDEX('利差假设'!$B$2:$B$9,MATCH(D$1,'利差假设'!$A$2:$A$9,0)))+'组合输入'!$D9*(1+'参数'!$B$5+INDEX('利差假设'!$B$2:$B$9,MATCH(D$1,'利差假设'!$A$2:$A$9,0)))^-('组合输入'!$F9-1)))))</f>
        <v/>
      </c>
      <c r="E9" s="12">
        <f>IF($C9="","",IF(E$1="D",'组合输入'!$D9*'组合输入'!$G9,IF('组合输入'!$F9&lt;=1,'组合输入'!$D9*(1+'组合输入'!$E9),'组合输入'!$D9*'组合输入'!$E9+IF('参数'!$B$5+INDEX('利差假设'!$B$2:$B$9,MATCH(E$1,'利差假设'!$A$2:$A$9,0))=0,'组合输入'!$D9+'组合输入'!$D9*'组合输入'!$E9*('组合输入'!$F9-1),'组合输入'!$D9*'组合输入'!$E9*(1-(1+'参数'!$B$5+INDEX('利差假设'!$B$2:$B$9,MATCH(E$1,'利差假设'!$A$2:$A$9,0)))^-('组合输入'!$F9-1))/('参数'!$B$5+INDEX('利差假设'!$B$2:$B$9,MATCH(E$1,'利差假设'!$A$2:$A$9,0)))+'组合输入'!$D9*(1+'参数'!$B$5+INDEX('利差假设'!$B$2:$B$9,MATCH(E$1,'利差假设'!$A$2:$A$9,0)))^-('组合输入'!$F9-1)))))</f>
        <v/>
      </c>
      <c r="F9" s="12">
        <f>IF($C9="","",IF(F$1="D",'组合输入'!$D9*'组合输入'!$G9,IF('组合输入'!$F9&lt;=1,'组合输入'!$D9*(1+'组合输入'!$E9),'组合输入'!$D9*'组合输入'!$E9+IF('参数'!$B$5+INDEX('利差假设'!$B$2:$B$9,MATCH(F$1,'利差假设'!$A$2:$A$9,0))=0,'组合输入'!$D9+'组合输入'!$D9*'组合输入'!$E9*('组合输入'!$F9-1),'组合输入'!$D9*'组合输入'!$E9*(1-(1+'参数'!$B$5+INDEX('利差假设'!$B$2:$B$9,MATCH(F$1,'利差假设'!$A$2:$A$9,0)))^-('组合输入'!$F9-1))/('参数'!$B$5+INDEX('利差假设'!$B$2:$B$9,MATCH(F$1,'利差假设'!$A$2:$A$9,0)))+'组合输入'!$D9*(1+'参数'!$B$5+INDEX('利差假设'!$B$2:$B$9,MATCH(F$1,'利差假设'!$A$2:$A$9,0)))^-('组合输入'!$F9-1)))))</f>
        <v/>
      </c>
      <c r="G9" s="12">
        <f>IF($C9="","",IF(G$1="D",'组合输入'!$D9*'组合输入'!$G9,IF('组合输入'!$F9&lt;=1,'组合输入'!$D9*(1+'组合输入'!$E9),'组合输入'!$D9*'组合输入'!$E9+IF('参数'!$B$5+INDEX('利差假设'!$B$2:$B$9,MATCH(G$1,'利差假设'!$A$2:$A$9,0))=0,'组合输入'!$D9+'组合输入'!$D9*'组合输入'!$E9*('组合输入'!$F9-1),'组合输入'!$D9*'组合输入'!$E9*(1-(1+'参数'!$B$5+INDEX('利差假设'!$B$2:$B$9,MATCH(G$1,'利差假设'!$A$2:$A$9,0)))^-('组合输入'!$F9-1))/('参数'!$B$5+INDEX('利差假设'!$B$2:$B$9,MATCH(G$1,'利差假设'!$A$2:$A$9,0)))+'组合输入'!$D9*(1+'参数'!$B$5+INDEX('利差假设'!$B$2:$B$9,MATCH(G$1,'利差假设'!$A$2:$A$9,0)))^-('组合输入'!$F9-1)))))</f>
        <v/>
      </c>
      <c r="H9" s="12">
        <f>IF($C9="","",IF(H$1="D",'组合输入'!$D9*'组合输入'!$G9,IF('组合输入'!$F9&lt;=1,'组合输入'!$D9*(1+'组合输入'!$E9),'组合输入'!$D9*'组合输入'!$E9+IF('参数'!$B$5+INDEX('利差假设'!$B$2:$B$9,MATCH(H$1,'利差假设'!$A$2:$A$9,0))=0,'组合输入'!$D9+'组合输入'!$D9*'组合输入'!$E9*('组合输入'!$F9-1),'组合输入'!$D9*'组合输入'!$E9*(1-(1+'参数'!$B$5+INDEX('利差假设'!$B$2:$B$9,MATCH(H$1,'利差假设'!$A$2:$A$9,0)))^-('组合输入'!$F9-1))/('参数'!$B$5+INDEX('利差假设'!$B$2:$B$9,MATCH(H$1,'利差假设'!$A$2:$A$9,0)))+'组合输入'!$D9*(1+'参数'!$B$5+INDEX('利差假设'!$B$2:$B$9,MATCH(H$1,'利差假设'!$A$2:$A$9,0)))^-('组合输入'!$F9-1)))))</f>
        <v/>
      </c>
      <c r="I9" s="12">
        <f>IF($C9="","",IF(I$1="D",'组合输入'!$D9*'组合输入'!$G9,IF('组合输入'!$F9&lt;=1,'组合输入'!$D9*(1+'组合输入'!$E9),'组合输入'!$D9*'组合输入'!$E9+IF('参数'!$B$5+INDEX('利差假设'!$B$2:$B$9,MATCH(I$1,'利差假设'!$A$2:$A$9,0))=0,'组合输入'!$D9+'组合输入'!$D9*'组合输入'!$E9*('组合输入'!$F9-1),'组合输入'!$D9*'组合输入'!$E9*(1-(1+'参数'!$B$5+INDEX('利差假设'!$B$2:$B$9,MATCH(I$1,'利差假设'!$A$2:$A$9,0)))^-('组合输入'!$F9-1))/('参数'!$B$5+INDEX('利差假设'!$B$2:$B$9,MATCH(I$1,'利差假设'!$A$2:$A$9,0)))+'组合输入'!$D9*(1+'参数'!$B$5+INDEX('利差假设'!$B$2:$B$9,MATCH(I$1,'利差假设'!$A$2:$A$9,0)))^-('组合输入'!$F9-1)))))</f>
        <v/>
      </c>
      <c r="J9" s="12">
        <f>IF($C9="","",IF(J$1="D",'组合输入'!$D9*'组合输入'!$G9,IF('组合输入'!$F9&lt;=1,'组合输入'!$D9*(1+'组合输入'!$E9),'组合输入'!$D9*'组合输入'!$E9+IF('参数'!$B$5+INDEX('利差假设'!$B$2:$B$9,MATCH(J$1,'利差假设'!$A$2:$A$9,0))=0,'组合输入'!$D9+'组合输入'!$D9*'组合输入'!$E9*('组合输入'!$F9-1),'组合输入'!$D9*'组合输入'!$E9*(1-(1+'参数'!$B$5+INDEX('利差假设'!$B$2:$B$9,MATCH(J$1,'利差假设'!$A$2:$A$9,0)))^-('组合输入'!$F9-1))/('参数'!$B$5+INDEX('利差假设'!$B$2:$B$9,MATCH(J$1,'利差假设'!$A$2:$A$9,0)))+'组合输入'!$D9*(1+'参数'!$B$5+INDEX('利差假设'!$B$2:$B$9,MATCH(J$1,'利差假设'!$A$2:$A$9,0)))^-('组合输入'!$F9-1)))))</f>
        <v/>
      </c>
      <c r="K9" s="12">
        <f>IF($C9="","",IF(K$1="D",'组合输入'!$D9*'组合输入'!$G9,IF('组合输入'!$F9&lt;=1,'组合输入'!$D9*(1+'组合输入'!$E9),'组合输入'!$D9*'组合输入'!$E9+IF('参数'!$B$5+INDEX('利差假设'!$B$2:$B$9,MATCH(K$1,'利差假设'!$A$2:$A$9,0))=0,'组合输入'!$D9+'组合输入'!$D9*'组合输入'!$E9*('组合输入'!$F9-1),'组合输入'!$D9*'组合输入'!$E9*(1-(1+'参数'!$B$5+INDEX('利差假设'!$B$2:$B$9,MATCH(K$1,'利差假设'!$A$2:$A$9,0)))^-('组合输入'!$F9-1))/('参数'!$B$5+INDEX('利差假设'!$B$2:$B$9,MATCH(K$1,'利差假设'!$A$2:$A$9,0)))+'组合输入'!$D9*(1+'参数'!$B$5+INDEX('利差假设'!$B$2:$B$9,MATCH(K$1,'利差假设'!$A$2:$A$9,0)))^-('组合输入'!$F9-1)))))</f>
        <v/>
      </c>
      <c r="L9" s="12">
        <f>IF($C9="","",SUMPRODUCT(INDEX('评级迁移'!$B$2:$I$9,MATCH($C9,'评级迁移'!$A$2:$A$9,0),0),$D9:$K9))</f>
        <v/>
      </c>
      <c r="M9" s="12">
        <f>IF($C9="","",SQRT(SUMPRODUCT(INDEX('评级迁移'!$B$2:$I$9,MATCH($C9,'评级迁移'!$A$2:$A$9,0),0),($D9:$K9-$L9)*($D9:$K9-$L9))))</f>
        <v/>
      </c>
      <c r="N9" s="12">
        <f>IF($C9="","",'组合输入'!$J9-$L9)</f>
        <v/>
      </c>
      <c r="O9" s="12">
        <f>IF($C9="","",'组合输入'!$J9-MIN($D9:$K9))</f>
        <v/>
      </c>
    </row>
    <row r="10">
      <c r="A10" s="11">
        <f>'组合输入'!A10</f>
        <v/>
      </c>
      <c r="B10" s="11">
        <f>'组合输入'!B10</f>
        <v/>
      </c>
      <c r="C10" s="11">
        <f>'组合输入'!C10</f>
        <v/>
      </c>
      <c r="D10" s="12">
        <f>IF($C10="","",IF(D$1="D",'组合输入'!$D10*'组合输入'!$G10,IF('组合输入'!$F10&lt;=1,'组合输入'!$D10*(1+'组合输入'!$E10),'组合输入'!$D10*'组合输入'!$E10+IF('参数'!$B$5+INDEX('利差假设'!$B$2:$B$9,MATCH(D$1,'利差假设'!$A$2:$A$9,0))=0,'组合输入'!$D10+'组合输入'!$D10*'组合输入'!$E10*('组合输入'!$F10-1),'组合输入'!$D10*'组合输入'!$E10*(1-(1+'参数'!$B$5+INDEX('利差假设'!$B$2:$B$9,MATCH(D$1,'利差假设'!$A$2:$A$9,0)))^-('组合输入'!$F10-1))/('参数'!$B$5+INDEX('利差假设'!$B$2:$B$9,MATCH(D$1,'利差假设'!$A$2:$A$9,0)))+'组合输入'!$D10*(1+'参数'!$B$5+INDEX('利差假设'!$B$2:$B$9,MATCH(D$1,'利差假设'!$A$2:$A$9,0)))^-('组合输入'!$F10-1)))))</f>
        <v/>
      </c>
      <c r="E10" s="12">
        <f>IF($C10="","",IF(E$1="D",'组合输入'!$D10*'组合输入'!$G10,IF('组合输入'!$F10&lt;=1,'组合输入'!$D10*(1+'组合输入'!$E10),'组合输入'!$D10*'组合输入'!$E10+IF('参数'!$B$5+INDEX('利差假设'!$B$2:$B$9,MATCH(E$1,'利差假设'!$A$2:$A$9,0))=0,'组合输入'!$D10+'组合输入'!$D10*'组合输入'!$E10*('组合输入'!$F10-1),'组合输入'!$D10*'组合输入'!$E10*(1-(1+'参数'!$B$5+INDEX('利差假设'!$B$2:$B$9,MATCH(E$1,'利差假设'!$A$2:$A$9,0)))^-('组合输入'!$F10-1))/('参数'!$B$5+INDEX('利差假设'!$B$2:$B$9,MATCH(E$1,'利差假设'!$A$2:$A$9,0)))+'组合输入'!$D10*(1+'参数'!$B$5+INDEX('利差假设'!$B$2:$B$9,MATCH(E$1,'利差假设'!$A$2:$A$9,0)))^-('组合输入'!$F10-1)))))</f>
        <v/>
      </c>
      <c r="F10" s="12">
        <f>IF($C10="","",IF(F$1="D",'组合输入'!$D10*'组合输入'!$G10,IF('组合输入'!$F10&lt;=1,'组合输入'!$D10*(1+'组合输入'!$E10),'组合输入'!$D10*'组合输入'!$E10+IF('参数'!$B$5+INDEX('利差假设'!$B$2:$B$9,MATCH(F$1,'利差假设'!$A$2:$A$9,0))=0,'组合输入'!$D10+'组合输入'!$D10*'组合输入'!$E10*('组合输入'!$F10-1),'组合输入'!$D10*'组合输入'!$E10*(1-(1+'参数'!$B$5+INDEX('利差假设'!$B$2:$B$9,MATCH(F$1,'利差假设'!$A$2:$A$9,0)))^-('组合输入'!$F10-1))/('参数'!$B$5+INDEX('利差假设'!$B$2:$B$9,MATCH(F$1,'利差假设'!$A$2:$A$9,0)))+'组合输入'!$D10*(1+'参数'!$B$5+INDEX('利差假设'!$B$2:$B$9,MATCH(F$1,'利差假设'!$A$2:$A$9,0)))^-('组合输入'!$F10-1)))))</f>
        <v/>
      </c>
      <c r="G10" s="12">
        <f>IF($C10="","",IF(G$1="D",'组合输入'!$D10*'组合输入'!$G10,IF('组合输入'!$F10&lt;=1,'组合输入'!$D10*(1+'组合输入'!$E10),'组合输入'!$D10*'组合输入'!$E10+IF('参数'!$B$5+INDEX('利差假设'!$B$2:$B$9,MATCH(G$1,'利差假设'!$A$2:$A$9,0))=0,'组合输入'!$D10+'组合输入'!$D10*'组合输入'!$E10*('组合输入'!$F10-1),'组合输入'!$D10*'组合输入'!$E10*(1-(1+'参数'!$B$5+INDEX('利差假设'!$B$2:$B$9,MATCH(G$1,'利差假设'!$A$2:$A$9,0)))^-('组合输入'!$F10-1))/('参数'!$B$5+INDEX('利差假设'!$B$2:$B$9,MATCH(G$1,'利差假设'!$A$2:$A$9,0)))+'组合输入'!$D10*(1+'参数'!$B$5+INDEX('利差假设'!$B$2:$B$9,MATCH(G$1,'利差假设'!$A$2:$A$9,0)))^-('组合输入'!$F10-1)))))</f>
        <v/>
      </c>
      <c r="H10" s="12">
        <f>IF($C10="","",IF(H$1="D",'组合输入'!$D10*'组合输入'!$G10,IF('组合输入'!$F10&lt;=1,'组合输入'!$D10*(1+'组合输入'!$E10),'组合输入'!$D10*'组合输入'!$E10+IF('参数'!$B$5+INDEX('利差假设'!$B$2:$B$9,MATCH(H$1,'利差假设'!$A$2:$A$9,0))=0,'组合输入'!$D10+'组合输入'!$D10*'组合输入'!$E10*('组合输入'!$F10-1),'组合输入'!$D10*'组合输入'!$E10*(1-(1+'参数'!$B$5+INDEX('利差假设'!$B$2:$B$9,MATCH(H$1,'利差假设'!$A$2:$A$9,0)))^-('组合输入'!$F10-1))/('参数'!$B$5+INDEX('利差假设'!$B$2:$B$9,MATCH(H$1,'利差假设'!$A$2:$A$9,0)))+'组合输入'!$D10*(1+'参数'!$B$5+INDEX('利差假设'!$B$2:$B$9,MATCH(H$1,'利差假设'!$A$2:$A$9,0)))^-('组合输入'!$F10-1)))))</f>
        <v/>
      </c>
      <c r="I10" s="12">
        <f>IF($C10="","",IF(I$1="D",'组合输入'!$D10*'组合输入'!$G10,IF('组合输入'!$F10&lt;=1,'组合输入'!$D10*(1+'组合输入'!$E10),'组合输入'!$D10*'组合输入'!$E10+IF('参数'!$B$5+INDEX('利差假设'!$B$2:$B$9,MATCH(I$1,'利差假设'!$A$2:$A$9,0))=0,'组合输入'!$D10+'组合输入'!$D10*'组合输入'!$E10*('组合输入'!$F10-1),'组合输入'!$D10*'组合输入'!$E10*(1-(1+'参数'!$B$5+INDEX('利差假设'!$B$2:$B$9,MATCH(I$1,'利差假设'!$A$2:$A$9,0)))^-('组合输入'!$F10-1))/('参数'!$B$5+INDEX('利差假设'!$B$2:$B$9,MATCH(I$1,'利差假设'!$A$2:$A$9,0)))+'组合输入'!$D10*(1+'参数'!$B$5+INDEX('利差假设'!$B$2:$B$9,MATCH(I$1,'利差假设'!$A$2:$A$9,0)))^-('组合输入'!$F10-1)))))</f>
        <v/>
      </c>
      <c r="J10" s="12">
        <f>IF($C10="","",IF(J$1="D",'组合输入'!$D10*'组合输入'!$G10,IF('组合输入'!$F10&lt;=1,'组合输入'!$D10*(1+'组合输入'!$E10),'组合输入'!$D10*'组合输入'!$E10+IF('参数'!$B$5+INDEX('利差假设'!$B$2:$B$9,MATCH(J$1,'利差假设'!$A$2:$A$9,0))=0,'组合输入'!$D10+'组合输入'!$D10*'组合输入'!$E10*('组合输入'!$F10-1),'组合输入'!$D10*'组合输入'!$E10*(1-(1+'参数'!$B$5+INDEX('利差假设'!$B$2:$B$9,MATCH(J$1,'利差假设'!$A$2:$A$9,0)))^-('组合输入'!$F10-1))/('参数'!$B$5+INDEX('利差假设'!$B$2:$B$9,MATCH(J$1,'利差假设'!$A$2:$A$9,0)))+'组合输入'!$D10*(1+'参数'!$B$5+INDEX('利差假设'!$B$2:$B$9,MATCH(J$1,'利差假设'!$A$2:$A$9,0)))^-('组合输入'!$F10-1)))))</f>
        <v/>
      </c>
      <c r="K10" s="12">
        <f>IF($C10="","",IF(K$1="D",'组合输入'!$D10*'组合输入'!$G10,IF('组合输入'!$F10&lt;=1,'组合输入'!$D10*(1+'组合输入'!$E10),'组合输入'!$D10*'组合输入'!$E10+IF('参数'!$B$5+INDEX('利差假设'!$B$2:$B$9,MATCH(K$1,'利差假设'!$A$2:$A$9,0))=0,'组合输入'!$D10+'组合输入'!$D10*'组合输入'!$E10*('组合输入'!$F10-1),'组合输入'!$D10*'组合输入'!$E10*(1-(1+'参数'!$B$5+INDEX('利差假设'!$B$2:$B$9,MATCH(K$1,'利差假设'!$A$2:$A$9,0)))^-('组合输入'!$F10-1))/('参数'!$B$5+INDEX('利差假设'!$B$2:$B$9,MATCH(K$1,'利差假设'!$A$2:$A$9,0)))+'组合输入'!$D10*(1+'参数'!$B$5+INDEX('利差假设'!$B$2:$B$9,MATCH(K$1,'利差假设'!$A$2:$A$9,0)))^-('组合输入'!$F10-1)))))</f>
        <v/>
      </c>
      <c r="L10" s="12">
        <f>IF($C10="","",SUMPRODUCT(INDEX('评级迁移'!$B$2:$I$9,MATCH($C10,'评级迁移'!$A$2:$A$9,0),0),$D10:$K10))</f>
        <v/>
      </c>
      <c r="M10" s="12">
        <f>IF($C10="","",SQRT(SUMPRODUCT(INDEX('评级迁移'!$B$2:$I$9,MATCH($C10,'评级迁移'!$A$2:$A$9,0),0),($D10:$K10-$L10)*($D10:$K10-$L10))))</f>
        <v/>
      </c>
      <c r="N10" s="12">
        <f>IF($C10="","",'组合输入'!$J10-$L10)</f>
        <v/>
      </c>
      <c r="O10" s="12">
        <f>IF($C10="","",'组合输入'!$J10-MIN($D10:$K10))</f>
        <v/>
      </c>
    </row>
    <row r="11">
      <c r="A11" s="11">
        <f>'组合输入'!A11</f>
        <v/>
      </c>
      <c r="B11" s="11">
        <f>'组合输入'!B11</f>
        <v/>
      </c>
      <c r="C11" s="11">
        <f>'组合输入'!C11</f>
        <v/>
      </c>
      <c r="D11" s="12">
        <f>IF($C11="","",IF(D$1="D",'组合输入'!$D11*'组合输入'!$G11,IF('组合输入'!$F11&lt;=1,'组合输入'!$D11*(1+'组合输入'!$E11),'组合输入'!$D11*'组合输入'!$E11+IF('参数'!$B$5+INDEX('利差假设'!$B$2:$B$9,MATCH(D$1,'利差假设'!$A$2:$A$9,0))=0,'组合输入'!$D11+'组合输入'!$D11*'组合输入'!$E11*('组合输入'!$F11-1),'组合输入'!$D11*'组合输入'!$E11*(1-(1+'参数'!$B$5+INDEX('利差假设'!$B$2:$B$9,MATCH(D$1,'利差假设'!$A$2:$A$9,0)))^-('组合输入'!$F11-1))/('参数'!$B$5+INDEX('利差假设'!$B$2:$B$9,MATCH(D$1,'利差假设'!$A$2:$A$9,0)))+'组合输入'!$D11*(1+'参数'!$B$5+INDEX('利差假设'!$B$2:$B$9,MATCH(D$1,'利差假设'!$A$2:$A$9,0)))^-('组合输入'!$F11-1)))))</f>
        <v/>
      </c>
      <c r="E11" s="12">
        <f>IF($C11="","",IF(E$1="D",'组合输入'!$D11*'组合输入'!$G11,IF('组合输入'!$F11&lt;=1,'组合输入'!$D11*(1+'组合输入'!$E11),'组合输入'!$D11*'组合输入'!$E11+IF('参数'!$B$5+INDEX('利差假设'!$B$2:$B$9,MATCH(E$1,'利差假设'!$A$2:$A$9,0))=0,'组合输入'!$D11+'组合输入'!$D11*'组合输入'!$E11*('组合输入'!$F11-1),'组合输入'!$D11*'组合输入'!$E11*(1-(1+'参数'!$B$5+INDEX('利差假设'!$B$2:$B$9,MATCH(E$1,'利差假设'!$A$2:$A$9,0)))^-('组合输入'!$F11-1))/('参数'!$B$5+INDEX('利差假设'!$B$2:$B$9,MATCH(E$1,'利差假设'!$A$2:$A$9,0)))+'组合输入'!$D11*(1+'参数'!$B$5+INDEX('利差假设'!$B$2:$B$9,MATCH(E$1,'利差假设'!$A$2:$A$9,0)))^-('组合输入'!$F11-1)))))</f>
        <v/>
      </c>
      <c r="F11" s="12">
        <f>IF($C11="","",IF(F$1="D",'组合输入'!$D11*'组合输入'!$G11,IF('组合输入'!$F11&lt;=1,'组合输入'!$D11*(1+'组合输入'!$E11),'组合输入'!$D11*'组合输入'!$E11+IF('参数'!$B$5+INDEX('利差假设'!$B$2:$B$9,MATCH(F$1,'利差假设'!$A$2:$A$9,0))=0,'组合输入'!$D11+'组合输入'!$D11*'组合输入'!$E11*('组合输入'!$F11-1),'组合输入'!$D11*'组合输入'!$E11*(1-(1+'参数'!$B$5+INDEX('利差假设'!$B$2:$B$9,MATCH(F$1,'利差假设'!$A$2:$A$9,0)))^-('组合输入'!$F11-1))/('参数'!$B$5+INDEX('利差假设'!$B$2:$B$9,MATCH(F$1,'利差假设'!$A$2:$A$9,0)))+'组合输入'!$D11*(1+'参数'!$B$5+INDEX('利差假设'!$B$2:$B$9,MATCH(F$1,'利差假设'!$A$2:$A$9,0)))^-('组合输入'!$F11-1)))))</f>
        <v/>
      </c>
      <c r="G11" s="12">
        <f>IF($C11="","",IF(G$1="D",'组合输入'!$D11*'组合输入'!$G11,IF('组合输入'!$F11&lt;=1,'组合输入'!$D11*(1+'组合输入'!$E11),'组合输入'!$D11*'组合输入'!$E11+IF('参数'!$B$5+INDEX('利差假设'!$B$2:$B$9,MATCH(G$1,'利差假设'!$A$2:$A$9,0))=0,'组合输入'!$D11+'组合输入'!$D11*'组合输入'!$E11*('组合输入'!$F11-1),'组合输入'!$D11*'组合输入'!$E11*(1-(1+'参数'!$B$5+INDEX('利差假设'!$B$2:$B$9,MATCH(G$1,'利差假设'!$A$2:$A$9,0)))^-('组合输入'!$F11-1))/('参数'!$B$5+INDEX('利差假设'!$B$2:$B$9,MATCH(G$1,'利差假设'!$A$2:$A$9,0)))+'组合输入'!$D11*(1+'参数'!$B$5+INDEX('利差假设'!$B$2:$B$9,MATCH(G$1,'利差假设'!$A$2:$A$9,0)))^-('组合输入'!$F11-1)))))</f>
        <v/>
      </c>
      <c r="H11" s="12">
        <f>IF($C11="","",IF(H$1="D",'组合输入'!$D11*'组合输入'!$G11,IF('组合输入'!$F11&lt;=1,'组合输入'!$D11*(1+'组合输入'!$E11),'组合输入'!$D11*'组合输入'!$E11+IF('参数'!$B$5+INDEX('利差假设'!$B$2:$B$9,MATCH(H$1,'利差假设'!$A$2:$A$9,0))=0,'组合输入'!$D11+'组合输入'!$D11*'组合输入'!$E11*('组合输入'!$F11-1),'组合输入'!$D11*'组合输入'!$E11*(1-(1+'参数'!$B$5+INDEX('利差假设'!$B$2:$B$9,MATCH(H$1,'利差假设'!$A$2:$A$9,0)))^-('组合输入'!$F11-1))/('参数'!$B$5+INDEX('利差假设'!$B$2:$B$9,MATCH(H$1,'利差假设'!$A$2:$A$9,0)))+'组合输入'!$D11*(1+'参数'!$B$5+INDEX('利差假设'!$B$2:$B$9,MATCH(H$1,'利差假设'!$A$2:$A$9,0)))^-('组合输入'!$F11-1)))))</f>
        <v/>
      </c>
      <c r="I11" s="12">
        <f>IF($C11="","",IF(I$1="D",'组合输入'!$D11*'组合输入'!$G11,IF('组合输入'!$F11&lt;=1,'组合输入'!$D11*(1+'组合输入'!$E11),'组合输入'!$D11*'组合输入'!$E11+IF('参数'!$B$5+INDEX('利差假设'!$B$2:$B$9,MATCH(I$1,'利差假设'!$A$2:$A$9,0))=0,'组合输入'!$D11+'组合输入'!$D11*'组合输入'!$E11*('组合输入'!$F11-1),'组合输入'!$D11*'组合输入'!$E11*(1-(1+'参数'!$B$5+INDEX('利差假设'!$B$2:$B$9,MATCH(I$1,'利差假设'!$A$2:$A$9,0)))^-('组合输入'!$F11-1))/('参数'!$B$5+INDEX('利差假设'!$B$2:$B$9,MATCH(I$1,'利差假设'!$A$2:$A$9,0)))+'组合输入'!$D11*(1+'参数'!$B$5+INDEX('利差假设'!$B$2:$B$9,MATCH(I$1,'利差假设'!$A$2:$A$9,0)))^-('组合输入'!$F11-1)))))</f>
        <v/>
      </c>
      <c r="J11" s="12">
        <f>IF($C11="","",IF(J$1="D",'组合输入'!$D11*'组合输入'!$G11,IF('组合输入'!$F11&lt;=1,'组合输入'!$D11*(1+'组合输入'!$E11),'组合输入'!$D11*'组合输入'!$E11+IF('参数'!$B$5+INDEX('利差假设'!$B$2:$B$9,MATCH(J$1,'利差假设'!$A$2:$A$9,0))=0,'组合输入'!$D11+'组合输入'!$D11*'组合输入'!$E11*('组合输入'!$F11-1),'组合输入'!$D11*'组合输入'!$E11*(1-(1+'参数'!$B$5+INDEX('利差假设'!$B$2:$B$9,MATCH(J$1,'利差假设'!$A$2:$A$9,0)))^-('组合输入'!$F11-1))/('参数'!$B$5+INDEX('利差假设'!$B$2:$B$9,MATCH(J$1,'利差假设'!$A$2:$A$9,0)))+'组合输入'!$D11*(1+'参数'!$B$5+INDEX('利差假设'!$B$2:$B$9,MATCH(J$1,'利差假设'!$A$2:$A$9,0)))^-('组合输入'!$F11-1)))))</f>
        <v/>
      </c>
      <c r="K11" s="12">
        <f>IF($C11="","",IF(K$1="D",'组合输入'!$D11*'组合输入'!$G11,IF('组合输入'!$F11&lt;=1,'组合输入'!$D11*(1+'组合输入'!$E11),'组合输入'!$D11*'组合输入'!$E11+IF('参数'!$B$5+INDEX('利差假设'!$B$2:$B$9,MATCH(K$1,'利差假设'!$A$2:$A$9,0))=0,'组合输入'!$D11+'组合输入'!$D11*'组合输入'!$E11*('组合输入'!$F11-1),'组合输入'!$D11*'组合输入'!$E11*(1-(1+'参数'!$B$5+INDEX('利差假设'!$B$2:$B$9,MATCH(K$1,'利差假设'!$A$2:$A$9,0)))^-('组合输入'!$F11-1))/('参数'!$B$5+INDEX('利差假设'!$B$2:$B$9,MATCH(K$1,'利差假设'!$A$2:$A$9,0)))+'组合输入'!$D11*(1+'参数'!$B$5+INDEX('利差假设'!$B$2:$B$9,MATCH(K$1,'利差假设'!$A$2:$A$9,0)))^-('组合输入'!$F11-1)))))</f>
        <v/>
      </c>
      <c r="L11" s="12">
        <f>IF($C11="","",SUMPRODUCT(INDEX('评级迁移'!$B$2:$I$9,MATCH($C11,'评级迁移'!$A$2:$A$9,0),0),$D11:$K11))</f>
        <v/>
      </c>
      <c r="M11" s="12">
        <f>IF($C11="","",SQRT(SUMPRODUCT(INDEX('评级迁移'!$B$2:$I$9,MATCH($C11,'评级迁移'!$A$2:$A$9,0),0),($D11:$K11-$L11)*($D11:$K11-$L11))))</f>
        <v/>
      </c>
      <c r="N11" s="12">
        <f>IF($C11="","",'组合输入'!$J11-$L11)</f>
        <v/>
      </c>
      <c r="O11" s="12">
        <f>IF($C11="","",'组合输入'!$J11-MIN($D11:$K11))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4" customWidth="1" min="22" max="22"/>
    <col width="11" customWidth="1" min="23" max="23"/>
    <col width="11" customWidth="1" min="24" max="24"/>
    <col width="11" customWidth="1" min="25" max="25"/>
    <col width="11" customWidth="1" min="26" max="26"/>
    <col width="14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  <col width="11" customWidth="1" min="33" max="33"/>
    <col width="11" customWidth="1" min="34" max="34"/>
    <col width="11" customWidth="1" min="35" max="35"/>
    <col width="11" customWidth="1" min="36" max="36"/>
    <col width="14" customWidth="1" min="37" max="37"/>
    <col width="11" customWidth="1" min="38" max="38"/>
    <col width="11" customWidth="1" min="39" max="39"/>
    <col width="11" customWidth="1" min="40" max="40"/>
    <col width="11" customWidth="1" min="41" max="41"/>
    <col width="14" customWidth="1" min="42" max="42"/>
    <col width="11" customWidth="1" min="43" max="43"/>
    <col width="11" customWidth="1" min="44" max="44"/>
    <col width="11" customWidth="1" min="45" max="45"/>
    <col width="11" customWidth="1" min="46" max="46"/>
    <col width="14" customWidth="1" min="47" max="47"/>
    <col width="11" customWidth="1" min="48" max="48"/>
    <col width="11" customWidth="1" min="49" max="49"/>
    <col width="11" customWidth="1" min="50" max="50"/>
    <col width="11" customWidth="1" min="51" max="51"/>
    <col width="14" customWidth="1" min="52" max="52"/>
    <col width="14" customWidth="1" min="53" max="53"/>
    <col width="14" customWidth="1" min="54" max="54"/>
  </cols>
  <sheetData>
    <row r="1">
      <c r="A1" s="4" t="inlineStr">
        <is>
          <t>场景</t>
        </is>
      </c>
      <c r="B1" s="4" t="inlineStr">
        <is>
          <t>系统因子</t>
        </is>
      </c>
      <c r="C1" s="4" t="inlineStr">
        <is>
          <t>债项1_个体因子</t>
        </is>
      </c>
      <c r="D1" s="4" t="inlineStr">
        <is>
          <t>债项1_资产回报</t>
        </is>
      </c>
      <c r="E1" s="4" t="inlineStr">
        <is>
          <t>债项1_百分位</t>
        </is>
      </c>
      <c r="F1" s="4" t="inlineStr">
        <is>
          <t>债项1_迁移评级</t>
        </is>
      </c>
      <c r="G1" s="4" t="inlineStr">
        <is>
          <t>债项1_价值</t>
        </is>
      </c>
      <c r="H1" s="4" t="inlineStr">
        <is>
          <t>债项2_个体因子</t>
        </is>
      </c>
      <c r="I1" s="4" t="inlineStr">
        <is>
          <t>债项2_资产回报</t>
        </is>
      </c>
      <c r="J1" s="4" t="inlineStr">
        <is>
          <t>债项2_百分位</t>
        </is>
      </c>
      <c r="K1" s="4" t="inlineStr">
        <is>
          <t>债项2_迁移评级</t>
        </is>
      </c>
      <c r="L1" s="4" t="inlineStr">
        <is>
          <t>债项2_价值</t>
        </is>
      </c>
      <c r="M1" s="4" t="inlineStr">
        <is>
          <t>债项3_个体因子</t>
        </is>
      </c>
      <c r="N1" s="4" t="inlineStr">
        <is>
          <t>债项3_资产回报</t>
        </is>
      </c>
      <c r="O1" s="4" t="inlineStr">
        <is>
          <t>债项3_百分位</t>
        </is>
      </c>
      <c r="P1" s="4" t="inlineStr">
        <is>
          <t>债项3_迁移评级</t>
        </is>
      </c>
      <c r="Q1" s="4" t="inlineStr">
        <is>
          <t>债项3_价值</t>
        </is>
      </c>
      <c r="R1" s="4" t="inlineStr">
        <is>
          <t>债项4_个体因子</t>
        </is>
      </c>
      <c r="S1" s="4" t="inlineStr">
        <is>
          <t>债项4_资产回报</t>
        </is>
      </c>
      <c r="T1" s="4" t="inlineStr">
        <is>
          <t>债项4_百分位</t>
        </is>
      </c>
      <c r="U1" s="4" t="inlineStr">
        <is>
          <t>债项4_迁移评级</t>
        </is>
      </c>
      <c r="V1" s="4" t="inlineStr">
        <is>
          <t>债项4_价值</t>
        </is>
      </c>
      <c r="W1" s="4" t="inlineStr">
        <is>
          <t>债项5_个体因子</t>
        </is>
      </c>
      <c r="X1" s="4" t="inlineStr">
        <is>
          <t>债项5_资产回报</t>
        </is>
      </c>
      <c r="Y1" s="4" t="inlineStr">
        <is>
          <t>债项5_百分位</t>
        </is>
      </c>
      <c r="Z1" s="4" t="inlineStr">
        <is>
          <t>债项5_迁移评级</t>
        </is>
      </c>
      <c r="AA1" s="4" t="inlineStr">
        <is>
          <t>债项5_价值</t>
        </is>
      </c>
      <c r="AB1" s="4" t="inlineStr">
        <is>
          <t>债项6_个体因子</t>
        </is>
      </c>
      <c r="AC1" s="4" t="inlineStr">
        <is>
          <t>债项6_资产回报</t>
        </is>
      </c>
      <c r="AD1" s="4" t="inlineStr">
        <is>
          <t>债项6_百分位</t>
        </is>
      </c>
      <c r="AE1" s="4" t="inlineStr">
        <is>
          <t>债项6_迁移评级</t>
        </is>
      </c>
      <c r="AF1" s="4" t="inlineStr">
        <is>
          <t>债项6_价值</t>
        </is>
      </c>
      <c r="AG1" s="4" t="inlineStr">
        <is>
          <t>债项7_个体因子</t>
        </is>
      </c>
      <c r="AH1" s="4" t="inlineStr">
        <is>
          <t>债项7_资产回报</t>
        </is>
      </c>
      <c r="AI1" s="4" t="inlineStr">
        <is>
          <t>债项7_百分位</t>
        </is>
      </c>
      <c r="AJ1" s="4" t="inlineStr">
        <is>
          <t>债项7_迁移评级</t>
        </is>
      </c>
      <c r="AK1" s="4" t="inlineStr">
        <is>
          <t>债项7_价值</t>
        </is>
      </c>
      <c r="AL1" s="4" t="inlineStr">
        <is>
          <t>债项8_个体因子</t>
        </is>
      </c>
      <c r="AM1" s="4" t="inlineStr">
        <is>
          <t>债项8_资产回报</t>
        </is>
      </c>
      <c r="AN1" s="4" t="inlineStr">
        <is>
          <t>债项8_百分位</t>
        </is>
      </c>
      <c r="AO1" s="4" t="inlineStr">
        <is>
          <t>债项8_迁移评级</t>
        </is>
      </c>
      <c r="AP1" s="4" t="inlineStr">
        <is>
          <t>债项8_价值</t>
        </is>
      </c>
      <c r="AQ1" s="4" t="inlineStr">
        <is>
          <t>债项9_个体因子</t>
        </is>
      </c>
      <c r="AR1" s="4" t="inlineStr">
        <is>
          <t>债项9_资产回报</t>
        </is>
      </c>
      <c r="AS1" s="4" t="inlineStr">
        <is>
          <t>债项9_百分位</t>
        </is>
      </c>
      <c r="AT1" s="4" t="inlineStr">
        <is>
          <t>债项9_迁移评级</t>
        </is>
      </c>
      <c r="AU1" s="4" t="inlineStr">
        <is>
          <t>债项9_价值</t>
        </is>
      </c>
      <c r="AV1" s="4" t="inlineStr">
        <is>
          <t>债项10_个体因子</t>
        </is>
      </c>
      <c r="AW1" s="4" t="inlineStr">
        <is>
          <t>债项10_资产回报</t>
        </is>
      </c>
      <c r="AX1" s="4" t="inlineStr">
        <is>
          <t>债项10_百分位</t>
        </is>
      </c>
      <c r="AY1" s="4" t="inlineStr">
        <is>
          <t>债项10_迁移评级</t>
        </is>
      </c>
      <c r="AZ1" s="4" t="inlineStr">
        <is>
          <t>债项10_价值</t>
        </is>
      </c>
      <c r="BA1" s="4" t="inlineStr">
        <is>
          <t>组合价值</t>
        </is>
      </c>
      <c r="BB1" s="4" t="inlineStr">
        <is>
          <t>组合损失</t>
        </is>
      </c>
    </row>
    <row r="2">
      <c r="A2" s="11" t="n">
        <v>1</v>
      </c>
      <c r="B2" s="14">
        <f>NORM.S.INV(RAND())</f>
        <v/>
      </c>
      <c r="C2" s="14">
        <f>NORM.S.INV(RAND())</f>
        <v/>
      </c>
      <c r="D2" s="15">
        <f>IF('组合输入'!$C2="","",'组合输入'!$H2*$B2+SQRT(1-'组合输入'!$H2^2)*C2)</f>
        <v/>
      </c>
      <c r="E2" s="7">
        <f>IF(D2="","",NORM.S.DIST(D2,TRUE))</f>
        <v/>
      </c>
      <c r="F2" s="13">
        <f>IF(E2="","",IF(E2&lt;='组合输入'!$K2,"AAA",IF(E2&lt;='组合输入'!$L2,"AA",IF(E2&lt;='组合输入'!$M2,"A",IF(E2&lt;='组合输入'!$N2,"BBB",IF(E2&lt;='组合输入'!$O2,"BB",IF(E2&lt;='组合输入'!$P2,"B",IF(E2&lt;='组合输入'!$Q2,"CCC","D")))))))</f>
        <v/>
      </c>
      <c r="G2" s="12">
        <f>IF(F2="","",INDEX('状态价值'!$D2:$K2,MATCH(F2,'状态价值'!$D$1:$K$1,0)))</f>
        <v/>
      </c>
      <c r="H2" s="15">
        <f>NORM.S.INV(RAND())</f>
        <v/>
      </c>
      <c r="I2" s="15">
        <f>IF('组合输入'!$C3="","",'组合输入'!$H3*$B2+SQRT(1-'组合输入'!$H3^2)*H2)</f>
        <v/>
      </c>
      <c r="J2" s="7">
        <f>IF(I2="","",NORM.S.DIST(I2,TRUE))</f>
        <v/>
      </c>
      <c r="K2" s="13">
        <f>IF(J2="","",IF(J2&lt;='组合输入'!$K3,"AAA",IF(J2&lt;='组合输入'!$L3,"AA",IF(J2&lt;='组合输入'!$M3,"A",IF(J2&lt;='组合输入'!$N3,"BBB",IF(J2&lt;='组合输入'!$O3,"BB",IF(J2&lt;='组合输入'!$P3,"B",IF(J2&lt;='组合输入'!$Q3,"CCC","D")))))))</f>
        <v/>
      </c>
      <c r="L2" s="12">
        <f>IF(K2="","",INDEX('状态价值'!$D3:$K3,MATCH(K2,'状态价值'!$D$1:$K$1,0)))</f>
        <v/>
      </c>
      <c r="M2" s="15">
        <f>NORM.S.INV(RAND())</f>
        <v/>
      </c>
      <c r="N2" s="15">
        <f>IF('组合输入'!$C4="","",'组合输入'!$H4*$B2+SQRT(1-'组合输入'!$H4^2)*M2)</f>
        <v/>
      </c>
      <c r="O2" s="7">
        <f>IF(N2="","",NORM.S.DIST(N2,TRUE))</f>
        <v/>
      </c>
      <c r="P2" s="13">
        <f>IF(O2="","",IF(O2&lt;='组合输入'!$K4,"AAA",IF(O2&lt;='组合输入'!$L4,"AA",IF(O2&lt;='组合输入'!$M4,"A",IF(O2&lt;='组合输入'!$N4,"BBB",IF(O2&lt;='组合输入'!$O4,"BB",IF(O2&lt;='组合输入'!$P4,"B",IF(O2&lt;='组合输入'!$Q4,"CCC","D")))))))</f>
        <v/>
      </c>
      <c r="Q2" s="12">
        <f>IF(P2="","",INDEX('状态价值'!$D4:$K4,MATCH(P2,'状态价值'!$D$1:$K$1,0)))</f>
        <v/>
      </c>
      <c r="R2" s="15">
        <f>NORM.S.INV(RAND())</f>
        <v/>
      </c>
      <c r="S2" s="15">
        <f>IF('组合输入'!$C5="","",'组合输入'!$H5*$B2+SQRT(1-'组合输入'!$H5^2)*R2)</f>
        <v/>
      </c>
      <c r="T2" s="7">
        <f>IF(S2="","",NORM.S.DIST(S2,TRUE))</f>
        <v/>
      </c>
      <c r="U2" s="13">
        <f>IF(T2="","",IF(T2&lt;='组合输入'!$K5,"AAA",IF(T2&lt;='组合输入'!$L5,"AA",IF(T2&lt;='组合输入'!$M5,"A",IF(T2&lt;='组合输入'!$N5,"BBB",IF(T2&lt;='组合输入'!$O5,"BB",IF(T2&lt;='组合输入'!$P5,"B",IF(T2&lt;='组合输入'!$Q5,"CCC","D")))))))</f>
        <v/>
      </c>
      <c r="V2" s="12">
        <f>IF(U2="","",INDEX('状态价值'!$D5:$K5,MATCH(U2,'状态价值'!$D$1:$K$1,0)))</f>
        <v/>
      </c>
      <c r="W2" s="15">
        <f>NORM.S.INV(RAND())</f>
        <v/>
      </c>
      <c r="X2" s="15">
        <f>IF('组合输入'!$C6="","",'组合输入'!$H6*$B2+SQRT(1-'组合输入'!$H6^2)*W2)</f>
        <v/>
      </c>
      <c r="Y2" s="7">
        <f>IF(X2="","",NORM.S.DIST(X2,TRUE))</f>
        <v/>
      </c>
      <c r="Z2" s="13">
        <f>IF(Y2="","",IF(Y2&lt;='组合输入'!$K6,"AAA",IF(Y2&lt;='组合输入'!$L6,"AA",IF(Y2&lt;='组合输入'!$M6,"A",IF(Y2&lt;='组合输入'!$N6,"BBB",IF(Y2&lt;='组合输入'!$O6,"BB",IF(Y2&lt;='组合输入'!$P6,"B",IF(Y2&lt;='组合输入'!$Q6,"CCC","D")))))))</f>
        <v/>
      </c>
      <c r="AA2" s="12">
        <f>IF(Z2="","",INDEX('状态价值'!$D6:$K6,MATCH(Z2,'状态价值'!$D$1:$K$1,0)))</f>
        <v/>
      </c>
      <c r="AB2" s="15">
        <f>NORM.S.INV(RAND())</f>
        <v/>
      </c>
      <c r="AC2" s="15">
        <f>IF('组合输入'!$C7="","",'组合输入'!$H7*$B2+SQRT(1-'组合输入'!$H7^2)*AB2)</f>
        <v/>
      </c>
      <c r="AD2" s="7">
        <f>IF(AC2="","",NORM.S.DIST(AC2,TRUE))</f>
        <v/>
      </c>
      <c r="AE2" s="13">
        <f>IF(AD2="","",IF(AD2&lt;='组合输入'!$K7,"AAA",IF(AD2&lt;='组合输入'!$L7,"AA",IF(AD2&lt;='组合输入'!$M7,"A",IF(AD2&lt;='组合输入'!$N7,"BBB",IF(AD2&lt;='组合输入'!$O7,"BB",IF(AD2&lt;='组合输入'!$P7,"B",IF(AD2&lt;='组合输入'!$Q7,"CCC","D")))))))</f>
        <v/>
      </c>
      <c r="AF2" s="12">
        <f>IF(AE2="","",INDEX('状态价值'!$D7:$K7,MATCH(AE2,'状态价值'!$D$1:$K$1,0)))</f>
        <v/>
      </c>
      <c r="AG2" s="15">
        <f>NORM.S.INV(RAND())</f>
        <v/>
      </c>
      <c r="AH2" s="15">
        <f>IF('组合输入'!$C8="","",'组合输入'!$H8*$B2+SQRT(1-'组合输入'!$H8^2)*AG2)</f>
        <v/>
      </c>
      <c r="AI2" s="7">
        <f>IF(AH2="","",NORM.S.DIST(AH2,TRUE))</f>
        <v/>
      </c>
      <c r="AJ2" s="13">
        <f>IF(AI2="","",IF(AI2&lt;='组合输入'!$K8,"AAA",IF(AI2&lt;='组合输入'!$L8,"AA",IF(AI2&lt;='组合输入'!$M8,"A",IF(AI2&lt;='组合输入'!$N8,"BBB",IF(AI2&lt;='组合输入'!$O8,"BB",IF(AI2&lt;='组合输入'!$P8,"B",IF(AI2&lt;='组合输入'!$Q8,"CCC","D")))))))</f>
        <v/>
      </c>
      <c r="AK2" s="12">
        <f>IF(AJ2="","",INDEX('状态价值'!$D8:$K8,MATCH(AJ2,'状态价值'!$D$1:$K$1,0)))</f>
        <v/>
      </c>
      <c r="AL2" s="15">
        <f>NORM.S.INV(RAND())</f>
        <v/>
      </c>
      <c r="AM2" s="15">
        <f>IF('组合输入'!$C9="","",'组合输入'!$H9*$B2+SQRT(1-'组合输入'!$H9^2)*AL2)</f>
        <v/>
      </c>
      <c r="AN2" s="7">
        <f>IF(AM2="","",NORM.S.DIST(AM2,TRUE))</f>
        <v/>
      </c>
      <c r="AO2" s="13">
        <f>IF(AN2="","",IF(AN2&lt;='组合输入'!$K9,"AAA",IF(AN2&lt;='组合输入'!$L9,"AA",IF(AN2&lt;='组合输入'!$M9,"A",IF(AN2&lt;='组合输入'!$N9,"BBB",IF(AN2&lt;='组合输入'!$O9,"BB",IF(AN2&lt;='组合输入'!$P9,"B",IF(AN2&lt;='组合输入'!$Q9,"CCC","D")))))))</f>
        <v/>
      </c>
      <c r="AP2" s="12">
        <f>IF(AO2="","",INDEX('状态价值'!$D9:$K9,MATCH(AO2,'状态价值'!$D$1:$K$1,0)))</f>
        <v/>
      </c>
      <c r="AQ2" s="15">
        <f>NORM.S.INV(RAND())</f>
        <v/>
      </c>
      <c r="AR2" s="15">
        <f>IF('组合输入'!$C10="","",'组合输入'!$H10*$B2+SQRT(1-'组合输入'!$H10^2)*AQ2)</f>
        <v/>
      </c>
      <c r="AS2" s="7">
        <f>IF(AR2="","",NORM.S.DIST(AR2,TRUE))</f>
        <v/>
      </c>
      <c r="AT2" s="13">
        <f>IF(AS2="","",IF(AS2&lt;='组合输入'!$K10,"AAA",IF(AS2&lt;='组合输入'!$L10,"AA",IF(AS2&lt;='组合输入'!$M10,"A",IF(AS2&lt;='组合输入'!$N10,"BBB",IF(AS2&lt;='组合输入'!$O10,"BB",IF(AS2&lt;='组合输入'!$P10,"B",IF(AS2&lt;='组合输入'!$Q10,"CCC","D")))))))</f>
        <v/>
      </c>
      <c r="AU2" s="12">
        <f>IF(AT2="","",INDEX('状态价值'!$D10:$K10,MATCH(AT2,'状态价值'!$D$1:$K$1,0)))</f>
        <v/>
      </c>
      <c r="AV2" s="15">
        <f>NORM.S.INV(RAND())</f>
        <v/>
      </c>
      <c r="AW2" s="15">
        <f>IF('组合输入'!$C11="","",'组合输入'!$H11*$B2+SQRT(1-'组合输入'!$H11^2)*AV2)</f>
        <v/>
      </c>
      <c r="AX2" s="7">
        <f>IF(AW2="","",NORM.S.DIST(AW2,TRUE))</f>
        <v/>
      </c>
      <c r="AY2" s="13">
        <f>IF(AX2="","",IF(AX2&lt;='组合输入'!$K11,"AAA",IF(AX2&lt;='组合输入'!$L11,"AA",IF(AX2&lt;='组合输入'!$M11,"A",IF(AX2&lt;='组合输入'!$N11,"BBB",IF(AX2&lt;='组合输入'!$O11,"BB",IF(AX2&lt;='组合输入'!$P11,"B",IF(AX2&lt;='组合输入'!$Q11,"CCC","D")))))))</f>
        <v/>
      </c>
      <c r="AZ2" s="12">
        <f>IF(AY2="","",INDEX('状态价值'!$D11:$K11,MATCH(AY2,'状态价值'!$D$1:$K$1,0)))</f>
        <v/>
      </c>
      <c r="BA2" s="12">
        <f>G2+L2+Q2+V2+AA2+AF2+AK2+AP2+AU2+AZ2</f>
        <v/>
      </c>
      <c r="BB2" s="12">
        <f>SUM('组合输入'!$J$2:$J$11)-BA2</f>
        <v/>
      </c>
    </row>
    <row r="3">
      <c r="A3" s="11" t="n">
        <v>2</v>
      </c>
      <c r="B3" s="14">
        <f>NORM.S.INV(RAND())</f>
        <v/>
      </c>
      <c r="C3" s="14">
        <f>NORM.S.INV(RAND())</f>
        <v/>
      </c>
      <c r="D3" s="15">
        <f>IF('组合输入'!$C2="","",'组合输入'!$H2*$B3+SQRT(1-'组合输入'!$H2^2)*C3)</f>
        <v/>
      </c>
      <c r="E3" s="7">
        <f>IF(D3="","",NORM.S.DIST(D3,TRUE))</f>
        <v/>
      </c>
      <c r="F3" s="13">
        <f>IF(E3="","",IF(E3&lt;='组合输入'!$K2,"AAA",IF(E3&lt;='组合输入'!$L2,"AA",IF(E3&lt;='组合输入'!$M2,"A",IF(E3&lt;='组合输入'!$N2,"BBB",IF(E3&lt;='组合输入'!$O2,"BB",IF(E3&lt;='组合输入'!$P2,"B",IF(E3&lt;='组合输入'!$Q2,"CCC","D")))))))</f>
        <v/>
      </c>
      <c r="G3" s="12">
        <f>IF(F3="","",INDEX('状态价值'!$D2:$K2,MATCH(F3,'状态价值'!$D$1:$K$1,0)))</f>
        <v/>
      </c>
      <c r="H3" s="15">
        <f>NORM.S.INV(RAND())</f>
        <v/>
      </c>
      <c r="I3" s="15">
        <f>IF('组合输入'!$C3="","",'组合输入'!$H3*$B3+SQRT(1-'组合输入'!$H3^2)*H3)</f>
        <v/>
      </c>
      <c r="J3" s="7">
        <f>IF(I3="","",NORM.S.DIST(I3,TRUE))</f>
        <v/>
      </c>
      <c r="K3" s="13">
        <f>IF(J3="","",IF(J3&lt;='组合输入'!$K3,"AAA",IF(J3&lt;='组合输入'!$L3,"AA",IF(J3&lt;='组合输入'!$M3,"A",IF(J3&lt;='组合输入'!$N3,"BBB",IF(J3&lt;='组合输入'!$O3,"BB",IF(J3&lt;='组合输入'!$P3,"B",IF(J3&lt;='组合输入'!$Q3,"CCC","D")))))))</f>
        <v/>
      </c>
      <c r="L3" s="12">
        <f>IF(K3="","",INDEX('状态价值'!$D3:$K3,MATCH(K3,'状态价值'!$D$1:$K$1,0)))</f>
        <v/>
      </c>
      <c r="M3" s="15">
        <f>NORM.S.INV(RAND())</f>
        <v/>
      </c>
      <c r="N3" s="15">
        <f>IF('组合输入'!$C4="","",'组合输入'!$H4*$B3+SQRT(1-'组合输入'!$H4^2)*M3)</f>
        <v/>
      </c>
      <c r="O3" s="7">
        <f>IF(N3="","",NORM.S.DIST(N3,TRUE))</f>
        <v/>
      </c>
      <c r="P3" s="13">
        <f>IF(O3="","",IF(O3&lt;='组合输入'!$K4,"AAA",IF(O3&lt;='组合输入'!$L4,"AA",IF(O3&lt;='组合输入'!$M4,"A",IF(O3&lt;='组合输入'!$N4,"BBB",IF(O3&lt;='组合输入'!$O4,"BB",IF(O3&lt;='组合输入'!$P4,"B",IF(O3&lt;='组合输入'!$Q4,"CCC","D")))))))</f>
        <v/>
      </c>
      <c r="Q3" s="12">
        <f>IF(P3="","",INDEX('状态价值'!$D4:$K4,MATCH(P3,'状态价值'!$D$1:$K$1,0)))</f>
        <v/>
      </c>
      <c r="R3" s="15">
        <f>NORM.S.INV(RAND())</f>
        <v/>
      </c>
      <c r="S3" s="15">
        <f>IF('组合输入'!$C5="","",'组合输入'!$H5*$B3+SQRT(1-'组合输入'!$H5^2)*R3)</f>
        <v/>
      </c>
      <c r="T3" s="7">
        <f>IF(S3="","",NORM.S.DIST(S3,TRUE))</f>
        <v/>
      </c>
      <c r="U3" s="13">
        <f>IF(T3="","",IF(T3&lt;='组合输入'!$K5,"AAA",IF(T3&lt;='组合输入'!$L5,"AA",IF(T3&lt;='组合输入'!$M5,"A",IF(T3&lt;='组合输入'!$N5,"BBB",IF(T3&lt;='组合输入'!$O5,"BB",IF(T3&lt;='组合输入'!$P5,"B",IF(T3&lt;='组合输入'!$Q5,"CCC","D")))))))</f>
        <v/>
      </c>
      <c r="V3" s="12">
        <f>IF(U3="","",INDEX('状态价值'!$D5:$K5,MATCH(U3,'状态价值'!$D$1:$K$1,0)))</f>
        <v/>
      </c>
      <c r="W3" s="15">
        <f>NORM.S.INV(RAND())</f>
        <v/>
      </c>
      <c r="X3" s="15">
        <f>IF('组合输入'!$C6="","",'组合输入'!$H6*$B3+SQRT(1-'组合输入'!$H6^2)*W3)</f>
        <v/>
      </c>
      <c r="Y3" s="7">
        <f>IF(X3="","",NORM.S.DIST(X3,TRUE))</f>
        <v/>
      </c>
      <c r="Z3" s="13">
        <f>IF(Y3="","",IF(Y3&lt;='组合输入'!$K6,"AAA",IF(Y3&lt;='组合输入'!$L6,"AA",IF(Y3&lt;='组合输入'!$M6,"A",IF(Y3&lt;='组合输入'!$N6,"BBB",IF(Y3&lt;='组合输入'!$O6,"BB",IF(Y3&lt;='组合输入'!$P6,"B",IF(Y3&lt;='组合输入'!$Q6,"CCC","D")))))))</f>
        <v/>
      </c>
      <c r="AA3" s="12">
        <f>IF(Z3="","",INDEX('状态价值'!$D6:$K6,MATCH(Z3,'状态价值'!$D$1:$K$1,0)))</f>
        <v/>
      </c>
      <c r="AB3" s="15">
        <f>NORM.S.INV(RAND())</f>
        <v/>
      </c>
      <c r="AC3" s="15">
        <f>IF('组合输入'!$C7="","",'组合输入'!$H7*$B3+SQRT(1-'组合输入'!$H7^2)*AB3)</f>
        <v/>
      </c>
      <c r="AD3" s="7">
        <f>IF(AC3="","",NORM.S.DIST(AC3,TRUE))</f>
        <v/>
      </c>
      <c r="AE3" s="13">
        <f>IF(AD3="","",IF(AD3&lt;='组合输入'!$K7,"AAA",IF(AD3&lt;='组合输入'!$L7,"AA",IF(AD3&lt;='组合输入'!$M7,"A",IF(AD3&lt;='组合输入'!$N7,"BBB",IF(AD3&lt;='组合输入'!$O7,"BB",IF(AD3&lt;='组合输入'!$P7,"B",IF(AD3&lt;='组合输入'!$Q7,"CCC","D")))))))</f>
        <v/>
      </c>
      <c r="AF3" s="12">
        <f>IF(AE3="","",INDEX('状态价值'!$D7:$K7,MATCH(AE3,'状态价值'!$D$1:$K$1,0)))</f>
        <v/>
      </c>
      <c r="AG3" s="15">
        <f>NORM.S.INV(RAND())</f>
        <v/>
      </c>
      <c r="AH3" s="15">
        <f>IF('组合输入'!$C8="","",'组合输入'!$H8*$B3+SQRT(1-'组合输入'!$H8^2)*AG3)</f>
        <v/>
      </c>
      <c r="AI3" s="7">
        <f>IF(AH3="","",NORM.S.DIST(AH3,TRUE))</f>
        <v/>
      </c>
      <c r="AJ3" s="13">
        <f>IF(AI3="","",IF(AI3&lt;='组合输入'!$K8,"AAA",IF(AI3&lt;='组合输入'!$L8,"AA",IF(AI3&lt;='组合输入'!$M8,"A",IF(AI3&lt;='组合输入'!$N8,"BBB",IF(AI3&lt;='组合输入'!$O8,"BB",IF(AI3&lt;='组合输入'!$P8,"B",IF(AI3&lt;='组合输入'!$Q8,"CCC","D")))))))</f>
        <v/>
      </c>
      <c r="AK3" s="12">
        <f>IF(AJ3="","",INDEX('状态价值'!$D8:$K8,MATCH(AJ3,'状态价值'!$D$1:$K$1,0)))</f>
        <v/>
      </c>
      <c r="AL3" s="15">
        <f>NORM.S.INV(RAND())</f>
        <v/>
      </c>
      <c r="AM3" s="15">
        <f>IF('组合输入'!$C9="","",'组合输入'!$H9*$B3+SQRT(1-'组合输入'!$H9^2)*AL3)</f>
        <v/>
      </c>
      <c r="AN3" s="7">
        <f>IF(AM3="","",NORM.S.DIST(AM3,TRUE))</f>
        <v/>
      </c>
      <c r="AO3" s="13">
        <f>IF(AN3="","",IF(AN3&lt;='组合输入'!$K9,"AAA",IF(AN3&lt;='组合输入'!$L9,"AA",IF(AN3&lt;='组合输入'!$M9,"A",IF(AN3&lt;='组合输入'!$N9,"BBB",IF(AN3&lt;='组合输入'!$O9,"BB",IF(AN3&lt;='组合输入'!$P9,"B",IF(AN3&lt;='组合输入'!$Q9,"CCC","D")))))))</f>
        <v/>
      </c>
      <c r="AP3" s="12">
        <f>IF(AO3="","",INDEX('状态价值'!$D9:$K9,MATCH(AO3,'状态价值'!$D$1:$K$1,0)))</f>
        <v/>
      </c>
      <c r="AQ3" s="15">
        <f>NORM.S.INV(RAND())</f>
        <v/>
      </c>
      <c r="AR3" s="15">
        <f>IF('组合输入'!$C10="","",'组合输入'!$H10*$B3+SQRT(1-'组合输入'!$H10^2)*AQ3)</f>
        <v/>
      </c>
      <c r="AS3" s="7">
        <f>IF(AR3="","",NORM.S.DIST(AR3,TRUE))</f>
        <v/>
      </c>
      <c r="AT3" s="13">
        <f>IF(AS3="","",IF(AS3&lt;='组合输入'!$K10,"AAA",IF(AS3&lt;='组合输入'!$L10,"AA",IF(AS3&lt;='组合输入'!$M10,"A",IF(AS3&lt;='组合输入'!$N10,"BBB",IF(AS3&lt;='组合输入'!$O10,"BB",IF(AS3&lt;='组合输入'!$P10,"B",IF(AS3&lt;='组合输入'!$Q10,"CCC","D")))))))</f>
        <v/>
      </c>
      <c r="AU3" s="12">
        <f>IF(AT3="","",INDEX('状态价值'!$D10:$K10,MATCH(AT3,'状态价值'!$D$1:$K$1,0)))</f>
        <v/>
      </c>
      <c r="AV3" s="15">
        <f>NORM.S.INV(RAND())</f>
        <v/>
      </c>
      <c r="AW3" s="15">
        <f>IF('组合输入'!$C11="","",'组合输入'!$H11*$B3+SQRT(1-'组合输入'!$H11^2)*AV3)</f>
        <v/>
      </c>
      <c r="AX3" s="7">
        <f>IF(AW3="","",NORM.S.DIST(AW3,TRUE))</f>
        <v/>
      </c>
      <c r="AY3" s="13">
        <f>IF(AX3="","",IF(AX3&lt;='组合输入'!$K11,"AAA",IF(AX3&lt;='组合输入'!$L11,"AA",IF(AX3&lt;='组合输入'!$M11,"A",IF(AX3&lt;='组合输入'!$N11,"BBB",IF(AX3&lt;='组合输入'!$O11,"BB",IF(AX3&lt;='组合输入'!$P11,"B",IF(AX3&lt;='组合输入'!$Q11,"CCC","D")))))))</f>
        <v/>
      </c>
      <c r="AZ3" s="12">
        <f>IF(AY3="","",INDEX('状态价值'!$D11:$K11,MATCH(AY3,'状态价值'!$D$1:$K$1,0)))</f>
        <v/>
      </c>
      <c r="BA3" s="12">
        <f>G3+L3+Q3+V3+AA3+AF3+AK3+AP3+AU3+AZ3</f>
        <v/>
      </c>
      <c r="BB3" s="12">
        <f>SUM('组合输入'!$J$2:$J$11)-BA3</f>
        <v/>
      </c>
    </row>
    <row r="4">
      <c r="A4" s="11" t="n">
        <v>3</v>
      </c>
      <c r="B4" s="14">
        <f>NORM.S.INV(RAND())</f>
        <v/>
      </c>
      <c r="C4" s="14">
        <f>NORM.S.INV(RAND())</f>
        <v/>
      </c>
      <c r="D4" s="15">
        <f>IF('组合输入'!$C2="","",'组合输入'!$H2*$B4+SQRT(1-'组合输入'!$H2^2)*C4)</f>
        <v/>
      </c>
      <c r="E4" s="7">
        <f>IF(D4="","",NORM.S.DIST(D4,TRUE))</f>
        <v/>
      </c>
      <c r="F4" s="13">
        <f>IF(E4="","",IF(E4&lt;='组合输入'!$K2,"AAA",IF(E4&lt;='组合输入'!$L2,"AA",IF(E4&lt;='组合输入'!$M2,"A",IF(E4&lt;='组合输入'!$N2,"BBB",IF(E4&lt;='组合输入'!$O2,"BB",IF(E4&lt;='组合输入'!$P2,"B",IF(E4&lt;='组合输入'!$Q2,"CCC","D")))))))</f>
        <v/>
      </c>
      <c r="G4" s="12">
        <f>IF(F4="","",INDEX('状态价值'!$D2:$K2,MATCH(F4,'状态价值'!$D$1:$K$1,0)))</f>
        <v/>
      </c>
      <c r="H4" s="15">
        <f>NORM.S.INV(RAND())</f>
        <v/>
      </c>
      <c r="I4" s="15">
        <f>IF('组合输入'!$C3="","",'组合输入'!$H3*$B4+SQRT(1-'组合输入'!$H3^2)*H4)</f>
        <v/>
      </c>
      <c r="J4" s="7">
        <f>IF(I4="","",NORM.S.DIST(I4,TRUE))</f>
        <v/>
      </c>
      <c r="K4" s="13">
        <f>IF(J4="","",IF(J4&lt;='组合输入'!$K3,"AAA",IF(J4&lt;='组合输入'!$L3,"AA",IF(J4&lt;='组合输入'!$M3,"A",IF(J4&lt;='组合输入'!$N3,"BBB",IF(J4&lt;='组合输入'!$O3,"BB",IF(J4&lt;='组合输入'!$P3,"B",IF(J4&lt;='组合输入'!$Q3,"CCC","D")))))))</f>
        <v/>
      </c>
      <c r="L4" s="12">
        <f>IF(K4="","",INDEX('状态价值'!$D3:$K3,MATCH(K4,'状态价值'!$D$1:$K$1,0)))</f>
        <v/>
      </c>
      <c r="M4" s="15">
        <f>NORM.S.INV(RAND())</f>
        <v/>
      </c>
      <c r="N4" s="15">
        <f>IF('组合输入'!$C4="","",'组合输入'!$H4*$B4+SQRT(1-'组合输入'!$H4^2)*M4)</f>
        <v/>
      </c>
      <c r="O4" s="7">
        <f>IF(N4="","",NORM.S.DIST(N4,TRUE))</f>
        <v/>
      </c>
      <c r="P4" s="13">
        <f>IF(O4="","",IF(O4&lt;='组合输入'!$K4,"AAA",IF(O4&lt;='组合输入'!$L4,"AA",IF(O4&lt;='组合输入'!$M4,"A",IF(O4&lt;='组合输入'!$N4,"BBB",IF(O4&lt;='组合输入'!$O4,"BB",IF(O4&lt;='组合输入'!$P4,"B",IF(O4&lt;='组合输入'!$Q4,"CCC","D")))))))</f>
        <v/>
      </c>
      <c r="Q4" s="12">
        <f>IF(P4="","",INDEX('状态价值'!$D4:$K4,MATCH(P4,'状态价值'!$D$1:$K$1,0)))</f>
        <v/>
      </c>
      <c r="R4" s="15">
        <f>NORM.S.INV(RAND())</f>
        <v/>
      </c>
      <c r="S4" s="15">
        <f>IF('组合输入'!$C5="","",'组合输入'!$H5*$B4+SQRT(1-'组合输入'!$H5^2)*R4)</f>
        <v/>
      </c>
      <c r="T4" s="7">
        <f>IF(S4="","",NORM.S.DIST(S4,TRUE))</f>
        <v/>
      </c>
      <c r="U4" s="13">
        <f>IF(T4="","",IF(T4&lt;='组合输入'!$K5,"AAA",IF(T4&lt;='组合输入'!$L5,"AA",IF(T4&lt;='组合输入'!$M5,"A",IF(T4&lt;='组合输入'!$N5,"BBB",IF(T4&lt;='组合输入'!$O5,"BB",IF(T4&lt;='组合输入'!$P5,"B",IF(T4&lt;='组合输入'!$Q5,"CCC","D")))))))</f>
        <v/>
      </c>
      <c r="V4" s="12">
        <f>IF(U4="","",INDEX('状态价值'!$D5:$K5,MATCH(U4,'状态价值'!$D$1:$K$1,0)))</f>
        <v/>
      </c>
      <c r="W4" s="15">
        <f>NORM.S.INV(RAND())</f>
        <v/>
      </c>
      <c r="X4" s="15">
        <f>IF('组合输入'!$C6="","",'组合输入'!$H6*$B4+SQRT(1-'组合输入'!$H6^2)*W4)</f>
        <v/>
      </c>
      <c r="Y4" s="7">
        <f>IF(X4="","",NORM.S.DIST(X4,TRUE))</f>
        <v/>
      </c>
      <c r="Z4" s="13">
        <f>IF(Y4="","",IF(Y4&lt;='组合输入'!$K6,"AAA",IF(Y4&lt;='组合输入'!$L6,"AA",IF(Y4&lt;='组合输入'!$M6,"A",IF(Y4&lt;='组合输入'!$N6,"BBB",IF(Y4&lt;='组合输入'!$O6,"BB",IF(Y4&lt;='组合输入'!$P6,"B",IF(Y4&lt;='组合输入'!$Q6,"CCC","D")))))))</f>
        <v/>
      </c>
      <c r="AA4" s="12">
        <f>IF(Z4="","",INDEX('状态价值'!$D6:$K6,MATCH(Z4,'状态价值'!$D$1:$K$1,0)))</f>
        <v/>
      </c>
      <c r="AB4" s="15">
        <f>NORM.S.INV(RAND())</f>
        <v/>
      </c>
      <c r="AC4" s="15">
        <f>IF('组合输入'!$C7="","",'组合输入'!$H7*$B4+SQRT(1-'组合输入'!$H7^2)*AB4)</f>
        <v/>
      </c>
      <c r="AD4" s="7">
        <f>IF(AC4="","",NORM.S.DIST(AC4,TRUE))</f>
        <v/>
      </c>
      <c r="AE4" s="13">
        <f>IF(AD4="","",IF(AD4&lt;='组合输入'!$K7,"AAA",IF(AD4&lt;='组合输入'!$L7,"AA",IF(AD4&lt;='组合输入'!$M7,"A",IF(AD4&lt;='组合输入'!$N7,"BBB",IF(AD4&lt;='组合输入'!$O7,"BB",IF(AD4&lt;='组合输入'!$P7,"B",IF(AD4&lt;='组合输入'!$Q7,"CCC","D")))))))</f>
        <v/>
      </c>
      <c r="AF4" s="12">
        <f>IF(AE4="","",INDEX('状态价值'!$D7:$K7,MATCH(AE4,'状态价值'!$D$1:$K$1,0)))</f>
        <v/>
      </c>
      <c r="AG4" s="15">
        <f>NORM.S.INV(RAND())</f>
        <v/>
      </c>
      <c r="AH4" s="15">
        <f>IF('组合输入'!$C8="","",'组合输入'!$H8*$B4+SQRT(1-'组合输入'!$H8^2)*AG4)</f>
        <v/>
      </c>
      <c r="AI4" s="7">
        <f>IF(AH4="","",NORM.S.DIST(AH4,TRUE))</f>
        <v/>
      </c>
      <c r="AJ4" s="13">
        <f>IF(AI4="","",IF(AI4&lt;='组合输入'!$K8,"AAA",IF(AI4&lt;='组合输入'!$L8,"AA",IF(AI4&lt;='组合输入'!$M8,"A",IF(AI4&lt;='组合输入'!$N8,"BBB",IF(AI4&lt;='组合输入'!$O8,"BB",IF(AI4&lt;='组合输入'!$P8,"B",IF(AI4&lt;='组合输入'!$Q8,"CCC","D")))))))</f>
        <v/>
      </c>
      <c r="AK4" s="12">
        <f>IF(AJ4="","",INDEX('状态价值'!$D8:$K8,MATCH(AJ4,'状态价值'!$D$1:$K$1,0)))</f>
        <v/>
      </c>
      <c r="AL4" s="15">
        <f>NORM.S.INV(RAND())</f>
        <v/>
      </c>
      <c r="AM4" s="15">
        <f>IF('组合输入'!$C9="","",'组合输入'!$H9*$B4+SQRT(1-'组合输入'!$H9^2)*AL4)</f>
        <v/>
      </c>
      <c r="AN4" s="7">
        <f>IF(AM4="","",NORM.S.DIST(AM4,TRUE))</f>
        <v/>
      </c>
      <c r="AO4" s="13">
        <f>IF(AN4="","",IF(AN4&lt;='组合输入'!$K9,"AAA",IF(AN4&lt;='组合输入'!$L9,"AA",IF(AN4&lt;='组合输入'!$M9,"A",IF(AN4&lt;='组合输入'!$N9,"BBB",IF(AN4&lt;='组合输入'!$O9,"BB",IF(AN4&lt;='组合输入'!$P9,"B",IF(AN4&lt;='组合输入'!$Q9,"CCC","D")))))))</f>
        <v/>
      </c>
      <c r="AP4" s="12">
        <f>IF(AO4="","",INDEX('状态价值'!$D9:$K9,MATCH(AO4,'状态价值'!$D$1:$K$1,0)))</f>
        <v/>
      </c>
      <c r="AQ4" s="15">
        <f>NORM.S.INV(RAND())</f>
        <v/>
      </c>
      <c r="AR4" s="15">
        <f>IF('组合输入'!$C10="","",'组合输入'!$H10*$B4+SQRT(1-'组合输入'!$H10^2)*AQ4)</f>
        <v/>
      </c>
      <c r="AS4" s="7">
        <f>IF(AR4="","",NORM.S.DIST(AR4,TRUE))</f>
        <v/>
      </c>
      <c r="AT4" s="13">
        <f>IF(AS4="","",IF(AS4&lt;='组合输入'!$K10,"AAA",IF(AS4&lt;='组合输入'!$L10,"AA",IF(AS4&lt;='组合输入'!$M10,"A",IF(AS4&lt;='组合输入'!$N10,"BBB",IF(AS4&lt;='组合输入'!$O10,"BB",IF(AS4&lt;='组合输入'!$P10,"B",IF(AS4&lt;='组合输入'!$Q10,"CCC","D")))))))</f>
        <v/>
      </c>
      <c r="AU4" s="12">
        <f>IF(AT4="","",INDEX('状态价值'!$D10:$K10,MATCH(AT4,'状态价值'!$D$1:$K$1,0)))</f>
        <v/>
      </c>
      <c r="AV4" s="15">
        <f>NORM.S.INV(RAND())</f>
        <v/>
      </c>
      <c r="AW4" s="15">
        <f>IF('组合输入'!$C11="","",'组合输入'!$H11*$B4+SQRT(1-'组合输入'!$H11^2)*AV4)</f>
        <v/>
      </c>
      <c r="AX4" s="7">
        <f>IF(AW4="","",NORM.S.DIST(AW4,TRUE))</f>
        <v/>
      </c>
      <c r="AY4" s="13">
        <f>IF(AX4="","",IF(AX4&lt;='组合输入'!$K11,"AAA",IF(AX4&lt;='组合输入'!$L11,"AA",IF(AX4&lt;='组合输入'!$M11,"A",IF(AX4&lt;='组合输入'!$N11,"BBB",IF(AX4&lt;='组合输入'!$O11,"BB",IF(AX4&lt;='组合输入'!$P11,"B",IF(AX4&lt;='组合输入'!$Q11,"CCC","D")))))))</f>
        <v/>
      </c>
      <c r="AZ4" s="12">
        <f>IF(AY4="","",INDEX('状态价值'!$D11:$K11,MATCH(AY4,'状态价值'!$D$1:$K$1,0)))</f>
        <v/>
      </c>
      <c r="BA4" s="12">
        <f>G4+L4+Q4+V4+AA4+AF4+AK4+AP4+AU4+AZ4</f>
        <v/>
      </c>
      <c r="BB4" s="12">
        <f>SUM('组合输入'!$J$2:$J$11)-BA4</f>
        <v/>
      </c>
    </row>
    <row r="5">
      <c r="A5" s="11" t="n">
        <v>4</v>
      </c>
      <c r="B5" s="14">
        <f>NORM.S.INV(RAND())</f>
        <v/>
      </c>
      <c r="C5" s="14">
        <f>NORM.S.INV(RAND())</f>
        <v/>
      </c>
      <c r="D5" s="15">
        <f>IF('组合输入'!$C2="","",'组合输入'!$H2*$B5+SQRT(1-'组合输入'!$H2^2)*C5)</f>
        <v/>
      </c>
      <c r="E5" s="7">
        <f>IF(D5="","",NORM.S.DIST(D5,TRUE))</f>
        <v/>
      </c>
      <c r="F5" s="13">
        <f>IF(E5="","",IF(E5&lt;='组合输入'!$K2,"AAA",IF(E5&lt;='组合输入'!$L2,"AA",IF(E5&lt;='组合输入'!$M2,"A",IF(E5&lt;='组合输入'!$N2,"BBB",IF(E5&lt;='组合输入'!$O2,"BB",IF(E5&lt;='组合输入'!$P2,"B",IF(E5&lt;='组合输入'!$Q2,"CCC","D")))))))</f>
        <v/>
      </c>
      <c r="G5" s="12">
        <f>IF(F5="","",INDEX('状态价值'!$D2:$K2,MATCH(F5,'状态价值'!$D$1:$K$1,0)))</f>
        <v/>
      </c>
      <c r="H5" s="15">
        <f>NORM.S.INV(RAND())</f>
        <v/>
      </c>
      <c r="I5" s="15">
        <f>IF('组合输入'!$C3="","",'组合输入'!$H3*$B5+SQRT(1-'组合输入'!$H3^2)*H5)</f>
        <v/>
      </c>
      <c r="J5" s="7">
        <f>IF(I5="","",NORM.S.DIST(I5,TRUE))</f>
        <v/>
      </c>
      <c r="K5" s="13">
        <f>IF(J5="","",IF(J5&lt;='组合输入'!$K3,"AAA",IF(J5&lt;='组合输入'!$L3,"AA",IF(J5&lt;='组合输入'!$M3,"A",IF(J5&lt;='组合输入'!$N3,"BBB",IF(J5&lt;='组合输入'!$O3,"BB",IF(J5&lt;='组合输入'!$P3,"B",IF(J5&lt;='组合输入'!$Q3,"CCC","D")))))))</f>
        <v/>
      </c>
      <c r="L5" s="12">
        <f>IF(K5="","",INDEX('状态价值'!$D3:$K3,MATCH(K5,'状态价值'!$D$1:$K$1,0)))</f>
        <v/>
      </c>
      <c r="M5" s="15">
        <f>NORM.S.INV(RAND())</f>
        <v/>
      </c>
      <c r="N5" s="15">
        <f>IF('组合输入'!$C4="","",'组合输入'!$H4*$B5+SQRT(1-'组合输入'!$H4^2)*M5)</f>
        <v/>
      </c>
      <c r="O5" s="7">
        <f>IF(N5="","",NORM.S.DIST(N5,TRUE))</f>
        <v/>
      </c>
      <c r="P5" s="13">
        <f>IF(O5="","",IF(O5&lt;='组合输入'!$K4,"AAA",IF(O5&lt;='组合输入'!$L4,"AA",IF(O5&lt;='组合输入'!$M4,"A",IF(O5&lt;='组合输入'!$N4,"BBB",IF(O5&lt;='组合输入'!$O4,"BB",IF(O5&lt;='组合输入'!$P4,"B",IF(O5&lt;='组合输入'!$Q4,"CCC","D")))))))</f>
        <v/>
      </c>
      <c r="Q5" s="12">
        <f>IF(P5="","",INDEX('状态价值'!$D4:$K4,MATCH(P5,'状态价值'!$D$1:$K$1,0)))</f>
        <v/>
      </c>
      <c r="R5" s="15">
        <f>NORM.S.INV(RAND())</f>
        <v/>
      </c>
      <c r="S5" s="15">
        <f>IF('组合输入'!$C5="","",'组合输入'!$H5*$B5+SQRT(1-'组合输入'!$H5^2)*R5)</f>
        <v/>
      </c>
      <c r="T5" s="7">
        <f>IF(S5="","",NORM.S.DIST(S5,TRUE))</f>
        <v/>
      </c>
      <c r="U5" s="13">
        <f>IF(T5="","",IF(T5&lt;='组合输入'!$K5,"AAA",IF(T5&lt;='组合输入'!$L5,"AA",IF(T5&lt;='组合输入'!$M5,"A",IF(T5&lt;='组合输入'!$N5,"BBB",IF(T5&lt;='组合输入'!$O5,"BB",IF(T5&lt;='组合输入'!$P5,"B",IF(T5&lt;='组合输入'!$Q5,"CCC","D")))))))</f>
        <v/>
      </c>
      <c r="V5" s="12">
        <f>IF(U5="","",INDEX('状态价值'!$D5:$K5,MATCH(U5,'状态价值'!$D$1:$K$1,0)))</f>
        <v/>
      </c>
      <c r="W5" s="15">
        <f>NORM.S.INV(RAND())</f>
        <v/>
      </c>
      <c r="X5" s="15">
        <f>IF('组合输入'!$C6="","",'组合输入'!$H6*$B5+SQRT(1-'组合输入'!$H6^2)*W5)</f>
        <v/>
      </c>
      <c r="Y5" s="7">
        <f>IF(X5="","",NORM.S.DIST(X5,TRUE))</f>
        <v/>
      </c>
      <c r="Z5" s="13">
        <f>IF(Y5="","",IF(Y5&lt;='组合输入'!$K6,"AAA",IF(Y5&lt;='组合输入'!$L6,"AA",IF(Y5&lt;='组合输入'!$M6,"A",IF(Y5&lt;='组合输入'!$N6,"BBB",IF(Y5&lt;='组合输入'!$O6,"BB",IF(Y5&lt;='组合输入'!$P6,"B",IF(Y5&lt;='组合输入'!$Q6,"CCC","D")))))))</f>
        <v/>
      </c>
      <c r="AA5" s="12">
        <f>IF(Z5="","",INDEX('状态价值'!$D6:$K6,MATCH(Z5,'状态价值'!$D$1:$K$1,0)))</f>
        <v/>
      </c>
      <c r="AB5" s="15">
        <f>NORM.S.INV(RAND())</f>
        <v/>
      </c>
      <c r="AC5" s="15">
        <f>IF('组合输入'!$C7="","",'组合输入'!$H7*$B5+SQRT(1-'组合输入'!$H7^2)*AB5)</f>
        <v/>
      </c>
      <c r="AD5" s="7">
        <f>IF(AC5="","",NORM.S.DIST(AC5,TRUE))</f>
        <v/>
      </c>
      <c r="AE5" s="13">
        <f>IF(AD5="","",IF(AD5&lt;='组合输入'!$K7,"AAA",IF(AD5&lt;='组合输入'!$L7,"AA",IF(AD5&lt;='组合输入'!$M7,"A",IF(AD5&lt;='组合输入'!$N7,"BBB",IF(AD5&lt;='组合输入'!$O7,"BB",IF(AD5&lt;='组合输入'!$P7,"B",IF(AD5&lt;='组合输入'!$Q7,"CCC","D")))))))</f>
        <v/>
      </c>
      <c r="AF5" s="12">
        <f>IF(AE5="","",INDEX('状态价值'!$D7:$K7,MATCH(AE5,'状态价值'!$D$1:$K$1,0)))</f>
        <v/>
      </c>
      <c r="AG5" s="15">
        <f>NORM.S.INV(RAND())</f>
        <v/>
      </c>
      <c r="AH5" s="15">
        <f>IF('组合输入'!$C8="","",'组合输入'!$H8*$B5+SQRT(1-'组合输入'!$H8^2)*AG5)</f>
        <v/>
      </c>
      <c r="AI5" s="7">
        <f>IF(AH5="","",NORM.S.DIST(AH5,TRUE))</f>
        <v/>
      </c>
      <c r="AJ5" s="13">
        <f>IF(AI5="","",IF(AI5&lt;='组合输入'!$K8,"AAA",IF(AI5&lt;='组合输入'!$L8,"AA",IF(AI5&lt;='组合输入'!$M8,"A",IF(AI5&lt;='组合输入'!$N8,"BBB",IF(AI5&lt;='组合输入'!$O8,"BB",IF(AI5&lt;='组合输入'!$P8,"B",IF(AI5&lt;='组合输入'!$Q8,"CCC","D")))))))</f>
        <v/>
      </c>
      <c r="AK5" s="12">
        <f>IF(AJ5="","",INDEX('状态价值'!$D8:$K8,MATCH(AJ5,'状态价值'!$D$1:$K$1,0)))</f>
        <v/>
      </c>
      <c r="AL5" s="15">
        <f>NORM.S.INV(RAND())</f>
        <v/>
      </c>
      <c r="AM5" s="15">
        <f>IF('组合输入'!$C9="","",'组合输入'!$H9*$B5+SQRT(1-'组合输入'!$H9^2)*AL5)</f>
        <v/>
      </c>
      <c r="AN5" s="7">
        <f>IF(AM5="","",NORM.S.DIST(AM5,TRUE))</f>
        <v/>
      </c>
      <c r="AO5" s="13">
        <f>IF(AN5="","",IF(AN5&lt;='组合输入'!$K9,"AAA",IF(AN5&lt;='组合输入'!$L9,"AA",IF(AN5&lt;='组合输入'!$M9,"A",IF(AN5&lt;='组合输入'!$N9,"BBB",IF(AN5&lt;='组合输入'!$O9,"BB",IF(AN5&lt;='组合输入'!$P9,"B",IF(AN5&lt;='组合输入'!$Q9,"CCC","D")))))))</f>
        <v/>
      </c>
      <c r="AP5" s="12">
        <f>IF(AO5="","",INDEX('状态价值'!$D9:$K9,MATCH(AO5,'状态价值'!$D$1:$K$1,0)))</f>
        <v/>
      </c>
      <c r="AQ5" s="15">
        <f>NORM.S.INV(RAND())</f>
        <v/>
      </c>
      <c r="AR5" s="15">
        <f>IF('组合输入'!$C10="","",'组合输入'!$H10*$B5+SQRT(1-'组合输入'!$H10^2)*AQ5)</f>
        <v/>
      </c>
      <c r="AS5" s="7">
        <f>IF(AR5="","",NORM.S.DIST(AR5,TRUE))</f>
        <v/>
      </c>
      <c r="AT5" s="13">
        <f>IF(AS5="","",IF(AS5&lt;='组合输入'!$K10,"AAA",IF(AS5&lt;='组合输入'!$L10,"AA",IF(AS5&lt;='组合输入'!$M10,"A",IF(AS5&lt;='组合输入'!$N10,"BBB",IF(AS5&lt;='组合输入'!$O10,"BB",IF(AS5&lt;='组合输入'!$P10,"B",IF(AS5&lt;='组合输入'!$Q10,"CCC","D")))))))</f>
        <v/>
      </c>
      <c r="AU5" s="12">
        <f>IF(AT5="","",INDEX('状态价值'!$D10:$K10,MATCH(AT5,'状态价值'!$D$1:$K$1,0)))</f>
        <v/>
      </c>
      <c r="AV5" s="15">
        <f>NORM.S.INV(RAND())</f>
        <v/>
      </c>
      <c r="AW5" s="15">
        <f>IF('组合输入'!$C11="","",'组合输入'!$H11*$B5+SQRT(1-'组合输入'!$H11^2)*AV5)</f>
        <v/>
      </c>
      <c r="AX5" s="7">
        <f>IF(AW5="","",NORM.S.DIST(AW5,TRUE))</f>
        <v/>
      </c>
      <c r="AY5" s="13">
        <f>IF(AX5="","",IF(AX5&lt;='组合输入'!$K11,"AAA",IF(AX5&lt;='组合输入'!$L11,"AA",IF(AX5&lt;='组合输入'!$M11,"A",IF(AX5&lt;='组合输入'!$N11,"BBB",IF(AX5&lt;='组合输入'!$O11,"BB",IF(AX5&lt;='组合输入'!$P11,"B",IF(AX5&lt;='组合输入'!$Q11,"CCC","D")))))))</f>
        <v/>
      </c>
      <c r="AZ5" s="12">
        <f>IF(AY5="","",INDEX('状态价值'!$D11:$K11,MATCH(AY5,'状态价值'!$D$1:$K$1,0)))</f>
        <v/>
      </c>
      <c r="BA5" s="12">
        <f>G5+L5+Q5+V5+AA5+AF5+AK5+AP5+AU5+AZ5</f>
        <v/>
      </c>
      <c r="BB5" s="12">
        <f>SUM('组合输入'!$J$2:$J$11)-BA5</f>
        <v/>
      </c>
    </row>
    <row r="6">
      <c r="A6" s="11" t="n">
        <v>5</v>
      </c>
      <c r="B6" s="14">
        <f>NORM.S.INV(RAND())</f>
        <v/>
      </c>
      <c r="C6" s="14">
        <f>NORM.S.INV(RAND())</f>
        <v/>
      </c>
      <c r="D6" s="15">
        <f>IF('组合输入'!$C2="","",'组合输入'!$H2*$B6+SQRT(1-'组合输入'!$H2^2)*C6)</f>
        <v/>
      </c>
      <c r="E6" s="7">
        <f>IF(D6="","",NORM.S.DIST(D6,TRUE))</f>
        <v/>
      </c>
      <c r="F6" s="13">
        <f>IF(E6="","",IF(E6&lt;='组合输入'!$K2,"AAA",IF(E6&lt;='组合输入'!$L2,"AA",IF(E6&lt;='组合输入'!$M2,"A",IF(E6&lt;='组合输入'!$N2,"BBB",IF(E6&lt;='组合输入'!$O2,"BB",IF(E6&lt;='组合输入'!$P2,"B",IF(E6&lt;='组合输入'!$Q2,"CCC","D")))))))</f>
        <v/>
      </c>
      <c r="G6" s="12">
        <f>IF(F6="","",INDEX('状态价值'!$D2:$K2,MATCH(F6,'状态价值'!$D$1:$K$1,0)))</f>
        <v/>
      </c>
      <c r="H6" s="15">
        <f>NORM.S.INV(RAND())</f>
        <v/>
      </c>
      <c r="I6" s="15">
        <f>IF('组合输入'!$C3="","",'组合输入'!$H3*$B6+SQRT(1-'组合输入'!$H3^2)*H6)</f>
        <v/>
      </c>
      <c r="J6" s="7">
        <f>IF(I6="","",NORM.S.DIST(I6,TRUE))</f>
        <v/>
      </c>
      <c r="K6" s="13">
        <f>IF(J6="","",IF(J6&lt;='组合输入'!$K3,"AAA",IF(J6&lt;='组合输入'!$L3,"AA",IF(J6&lt;='组合输入'!$M3,"A",IF(J6&lt;='组合输入'!$N3,"BBB",IF(J6&lt;='组合输入'!$O3,"BB",IF(J6&lt;='组合输入'!$P3,"B",IF(J6&lt;='组合输入'!$Q3,"CCC","D")))))))</f>
        <v/>
      </c>
      <c r="L6" s="12">
        <f>IF(K6="","",INDEX('状态价值'!$D3:$K3,MATCH(K6,'状态价值'!$D$1:$K$1,0)))</f>
        <v/>
      </c>
      <c r="M6" s="15">
        <f>NORM.S.INV(RAND())</f>
        <v/>
      </c>
      <c r="N6" s="15">
        <f>IF('组合输入'!$C4="","",'组合输入'!$H4*$B6+SQRT(1-'组合输入'!$H4^2)*M6)</f>
        <v/>
      </c>
      <c r="O6" s="7">
        <f>IF(N6="","",NORM.S.DIST(N6,TRUE))</f>
        <v/>
      </c>
      <c r="P6" s="13">
        <f>IF(O6="","",IF(O6&lt;='组合输入'!$K4,"AAA",IF(O6&lt;='组合输入'!$L4,"AA",IF(O6&lt;='组合输入'!$M4,"A",IF(O6&lt;='组合输入'!$N4,"BBB",IF(O6&lt;='组合输入'!$O4,"BB",IF(O6&lt;='组合输入'!$P4,"B",IF(O6&lt;='组合输入'!$Q4,"CCC","D")))))))</f>
        <v/>
      </c>
      <c r="Q6" s="12">
        <f>IF(P6="","",INDEX('状态价值'!$D4:$K4,MATCH(P6,'状态价值'!$D$1:$K$1,0)))</f>
        <v/>
      </c>
      <c r="R6" s="15">
        <f>NORM.S.INV(RAND())</f>
        <v/>
      </c>
      <c r="S6" s="15">
        <f>IF('组合输入'!$C5="","",'组合输入'!$H5*$B6+SQRT(1-'组合输入'!$H5^2)*R6)</f>
        <v/>
      </c>
      <c r="T6" s="7">
        <f>IF(S6="","",NORM.S.DIST(S6,TRUE))</f>
        <v/>
      </c>
      <c r="U6" s="13">
        <f>IF(T6="","",IF(T6&lt;='组合输入'!$K5,"AAA",IF(T6&lt;='组合输入'!$L5,"AA",IF(T6&lt;='组合输入'!$M5,"A",IF(T6&lt;='组合输入'!$N5,"BBB",IF(T6&lt;='组合输入'!$O5,"BB",IF(T6&lt;='组合输入'!$P5,"B",IF(T6&lt;='组合输入'!$Q5,"CCC","D")))))))</f>
        <v/>
      </c>
      <c r="V6" s="12">
        <f>IF(U6="","",INDEX('状态价值'!$D5:$K5,MATCH(U6,'状态价值'!$D$1:$K$1,0)))</f>
        <v/>
      </c>
      <c r="W6" s="15">
        <f>NORM.S.INV(RAND())</f>
        <v/>
      </c>
      <c r="X6" s="15">
        <f>IF('组合输入'!$C6="","",'组合输入'!$H6*$B6+SQRT(1-'组合输入'!$H6^2)*W6)</f>
        <v/>
      </c>
      <c r="Y6" s="7">
        <f>IF(X6="","",NORM.S.DIST(X6,TRUE))</f>
        <v/>
      </c>
      <c r="Z6" s="13">
        <f>IF(Y6="","",IF(Y6&lt;='组合输入'!$K6,"AAA",IF(Y6&lt;='组合输入'!$L6,"AA",IF(Y6&lt;='组合输入'!$M6,"A",IF(Y6&lt;='组合输入'!$N6,"BBB",IF(Y6&lt;='组合输入'!$O6,"BB",IF(Y6&lt;='组合输入'!$P6,"B",IF(Y6&lt;='组合输入'!$Q6,"CCC","D")))))))</f>
        <v/>
      </c>
      <c r="AA6" s="12">
        <f>IF(Z6="","",INDEX('状态价值'!$D6:$K6,MATCH(Z6,'状态价值'!$D$1:$K$1,0)))</f>
        <v/>
      </c>
      <c r="AB6" s="15">
        <f>NORM.S.INV(RAND())</f>
        <v/>
      </c>
      <c r="AC6" s="15">
        <f>IF('组合输入'!$C7="","",'组合输入'!$H7*$B6+SQRT(1-'组合输入'!$H7^2)*AB6)</f>
        <v/>
      </c>
      <c r="AD6" s="7">
        <f>IF(AC6="","",NORM.S.DIST(AC6,TRUE))</f>
        <v/>
      </c>
      <c r="AE6" s="13">
        <f>IF(AD6="","",IF(AD6&lt;='组合输入'!$K7,"AAA",IF(AD6&lt;='组合输入'!$L7,"AA",IF(AD6&lt;='组合输入'!$M7,"A",IF(AD6&lt;='组合输入'!$N7,"BBB",IF(AD6&lt;='组合输入'!$O7,"BB",IF(AD6&lt;='组合输入'!$P7,"B",IF(AD6&lt;='组合输入'!$Q7,"CCC","D")))))))</f>
        <v/>
      </c>
      <c r="AF6" s="12">
        <f>IF(AE6="","",INDEX('状态价值'!$D7:$K7,MATCH(AE6,'状态价值'!$D$1:$K$1,0)))</f>
        <v/>
      </c>
      <c r="AG6" s="15">
        <f>NORM.S.INV(RAND())</f>
        <v/>
      </c>
      <c r="AH6" s="15">
        <f>IF('组合输入'!$C8="","",'组合输入'!$H8*$B6+SQRT(1-'组合输入'!$H8^2)*AG6)</f>
        <v/>
      </c>
      <c r="AI6" s="7">
        <f>IF(AH6="","",NORM.S.DIST(AH6,TRUE))</f>
        <v/>
      </c>
      <c r="AJ6" s="13">
        <f>IF(AI6="","",IF(AI6&lt;='组合输入'!$K8,"AAA",IF(AI6&lt;='组合输入'!$L8,"AA",IF(AI6&lt;='组合输入'!$M8,"A",IF(AI6&lt;='组合输入'!$N8,"BBB",IF(AI6&lt;='组合输入'!$O8,"BB",IF(AI6&lt;='组合输入'!$P8,"B",IF(AI6&lt;='组合输入'!$Q8,"CCC","D")))))))</f>
        <v/>
      </c>
      <c r="AK6" s="12">
        <f>IF(AJ6="","",INDEX('状态价值'!$D8:$K8,MATCH(AJ6,'状态价值'!$D$1:$K$1,0)))</f>
        <v/>
      </c>
      <c r="AL6" s="15">
        <f>NORM.S.INV(RAND())</f>
        <v/>
      </c>
      <c r="AM6" s="15">
        <f>IF('组合输入'!$C9="","",'组合输入'!$H9*$B6+SQRT(1-'组合输入'!$H9^2)*AL6)</f>
        <v/>
      </c>
      <c r="AN6" s="7">
        <f>IF(AM6="","",NORM.S.DIST(AM6,TRUE))</f>
        <v/>
      </c>
      <c r="AO6" s="13">
        <f>IF(AN6="","",IF(AN6&lt;='组合输入'!$K9,"AAA",IF(AN6&lt;='组合输入'!$L9,"AA",IF(AN6&lt;='组合输入'!$M9,"A",IF(AN6&lt;='组合输入'!$N9,"BBB",IF(AN6&lt;='组合输入'!$O9,"BB",IF(AN6&lt;='组合输入'!$P9,"B",IF(AN6&lt;='组合输入'!$Q9,"CCC","D")))))))</f>
        <v/>
      </c>
      <c r="AP6" s="12">
        <f>IF(AO6="","",INDEX('状态价值'!$D9:$K9,MATCH(AO6,'状态价值'!$D$1:$K$1,0)))</f>
        <v/>
      </c>
      <c r="AQ6" s="15">
        <f>NORM.S.INV(RAND())</f>
        <v/>
      </c>
      <c r="AR6" s="15">
        <f>IF('组合输入'!$C10="","",'组合输入'!$H10*$B6+SQRT(1-'组合输入'!$H10^2)*AQ6)</f>
        <v/>
      </c>
      <c r="AS6" s="7">
        <f>IF(AR6="","",NORM.S.DIST(AR6,TRUE))</f>
        <v/>
      </c>
      <c r="AT6" s="13">
        <f>IF(AS6="","",IF(AS6&lt;='组合输入'!$K10,"AAA",IF(AS6&lt;='组合输入'!$L10,"AA",IF(AS6&lt;='组合输入'!$M10,"A",IF(AS6&lt;='组合输入'!$N10,"BBB",IF(AS6&lt;='组合输入'!$O10,"BB",IF(AS6&lt;='组合输入'!$P10,"B",IF(AS6&lt;='组合输入'!$Q10,"CCC","D")))))))</f>
        <v/>
      </c>
      <c r="AU6" s="12">
        <f>IF(AT6="","",INDEX('状态价值'!$D10:$K10,MATCH(AT6,'状态价值'!$D$1:$K$1,0)))</f>
        <v/>
      </c>
      <c r="AV6" s="15">
        <f>NORM.S.INV(RAND())</f>
        <v/>
      </c>
      <c r="AW6" s="15">
        <f>IF('组合输入'!$C11="","",'组合输入'!$H11*$B6+SQRT(1-'组合输入'!$H11^2)*AV6)</f>
        <v/>
      </c>
      <c r="AX6" s="7">
        <f>IF(AW6="","",NORM.S.DIST(AW6,TRUE))</f>
        <v/>
      </c>
      <c r="AY6" s="13">
        <f>IF(AX6="","",IF(AX6&lt;='组合输入'!$K11,"AAA",IF(AX6&lt;='组合输入'!$L11,"AA",IF(AX6&lt;='组合输入'!$M11,"A",IF(AX6&lt;='组合输入'!$N11,"BBB",IF(AX6&lt;='组合输入'!$O11,"BB",IF(AX6&lt;='组合输入'!$P11,"B",IF(AX6&lt;='组合输入'!$Q11,"CCC","D")))))))</f>
        <v/>
      </c>
      <c r="AZ6" s="12">
        <f>IF(AY6="","",INDEX('状态价值'!$D11:$K11,MATCH(AY6,'状态价值'!$D$1:$K$1,0)))</f>
        <v/>
      </c>
      <c r="BA6" s="12">
        <f>G6+L6+Q6+V6+AA6+AF6+AK6+AP6+AU6+AZ6</f>
        <v/>
      </c>
      <c r="BB6" s="12">
        <f>SUM('组合输入'!$J$2:$J$11)-BA6</f>
        <v/>
      </c>
    </row>
    <row r="7">
      <c r="A7" s="11" t="n">
        <v>6</v>
      </c>
      <c r="B7" s="14">
        <f>NORM.S.INV(RAND())</f>
        <v/>
      </c>
      <c r="C7" s="14">
        <f>NORM.S.INV(RAND())</f>
        <v/>
      </c>
      <c r="D7" s="15">
        <f>IF('组合输入'!$C2="","",'组合输入'!$H2*$B7+SQRT(1-'组合输入'!$H2^2)*C7)</f>
        <v/>
      </c>
      <c r="E7" s="7">
        <f>IF(D7="","",NORM.S.DIST(D7,TRUE))</f>
        <v/>
      </c>
      <c r="F7" s="13">
        <f>IF(E7="","",IF(E7&lt;='组合输入'!$K2,"AAA",IF(E7&lt;='组合输入'!$L2,"AA",IF(E7&lt;='组合输入'!$M2,"A",IF(E7&lt;='组合输入'!$N2,"BBB",IF(E7&lt;='组合输入'!$O2,"BB",IF(E7&lt;='组合输入'!$P2,"B",IF(E7&lt;='组合输入'!$Q2,"CCC","D")))))))</f>
        <v/>
      </c>
      <c r="G7" s="12">
        <f>IF(F7="","",INDEX('状态价值'!$D2:$K2,MATCH(F7,'状态价值'!$D$1:$K$1,0)))</f>
        <v/>
      </c>
      <c r="H7" s="15">
        <f>NORM.S.INV(RAND())</f>
        <v/>
      </c>
      <c r="I7" s="15">
        <f>IF('组合输入'!$C3="","",'组合输入'!$H3*$B7+SQRT(1-'组合输入'!$H3^2)*H7)</f>
        <v/>
      </c>
      <c r="J7" s="7">
        <f>IF(I7="","",NORM.S.DIST(I7,TRUE))</f>
        <v/>
      </c>
      <c r="K7" s="13">
        <f>IF(J7="","",IF(J7&lt;='组合输入'!$K3,"AAA",IF(J7&lt;='组合输入'!$L3,"AA",IF(J7&lt;='组合输入'!$M3,"A",IF(J7&lt;='组合输入'!$N3,"BBB",IF(J7&lt;='组合输入'!$O3,"BB",IF(J7&lt;='组合输入'!$P3,"B",IF(J7&lt;='组合输入'!$Q3,"CCC","D")))))))</f>
        <v/>
      </c>
      <c r="L7" s="12">
        <f>IF(K7="","",INDEX('状态价值'!$D3:$K3,MATCH(K7,'状态价值'!$D$1:$K$1,0)))</f>
        <v/>
      </c>
      <c r="M7" s="15">
        <f>NORM.S.INV(RAND())</f>
        <v/>
      </c>
      <c r="N7" s="15">
        <f>IF('组合输入'!$C4="","",'组合输入'!$H4*$B7+SQRT(1-'组合输入'!$H4^2)*M7)</f>
        <v/>
      </c>
      <c r="O7" s="7">
        <f>IF(N7="","",NORM.S.DIST(N7,TRUE))</f>
        <v/>
      </c>
      <c r="P7" s="13">
        <f>IF(O7="","",IF(O7&lt;='组合输入'!$K4,"AAA",IF(O7&lt;='组合输入'!$L4,"AA",IF(O7&lt;='组合输入'!$M4,"A",IF(O7&lt;='组合输入'!$N4,"BBB",IF(O7&lt;='组合输入'!$O4,"BB",IF(O7&lt;='组合输入'!$P4,"B",IF(O7&lt;='组合输入'!$Q4,"CCC","D")))))))</f>
        <v/>
      </c>
      <c r="Q7" s="12">
        <f>IF(P7="","",INDEX('状态价值'!$D4:$K4,MATCH(P7,'状态价值'!$D$1:$K$1,0)))</f>
        <v/>
      </c>
      <c r="R7" s="15">
        <f>NORM.S.INV(RAND())</f>
        <v/>
      </c>
      <c r="S7" s="15">
        <f>IF('组合输入'!$C5="","",'组合输入'!$H5*$B7+SQRT(1-'组合输入'!$H5^2)*R7)</f>
        <v/>
      </c>
      <c r="T7" s="7">
        <f>IF(S7="","",NORM.S.DIST(S7,TRUE))</f>
        <v/>
      </c>
      <c r="U7" s="13">
        <f>IF(T7="","",IF(T7&lt;='组合输入'!$K5,"AAA",IF(T7&lt;='组合输入'!$L5,"AA",IF(T7&lt;='组合输入'!$M5,"A",IF(T7&lt;='组合输入'!$N5,"BBB",IF(T7&lt;='组合输入'!$O5,"BB",IF(T7&lt;='组合输入'!$P5,"B",IF(T7&lt;='组合输入'!$Q5,"CCC","D")))))))</f>
        <v/>
      </c>
      <c r="V7" s="12">
        <f>IF(U7="","",INDEX('状态价值'!$D5:$K5,MATCH(U7,'状态价值'!$D$1:$K$1,0)))</f>
        <v/>
      </c>
      <c r="W7" s="15">
        <f>NORM.S.INV(RAND())</f>
        <v/>
      </c>
      <c r="X7" s="15">
        <f>IF('组合输入'!$C6="","",'组合输入'!$H6*$B7+SQRT(1-'组合输入'!$H6^2)*W7)</f>
        <v/>
      </c>
      <c r="Y7" s="7">
        <f>IF(X7="","",NORM.S.DIST(X7,TRUE))</f>
        <v/>
      </c>
      <c r="Z7" s="13">
        <f>IF(Y7="","",IF(Y7&lt;='组合输入'!$K6,"AAA",IF(Y7&lt;='组合输入'!$L6,"AA",IF(Y7&lt;='组合输入'!$M6,"A",IF(Y7&lt;='组合输入'!$N6,"BBB",IF(Y7&lt;='组合输入'!$O6,"BB",IF(Y7&lt;='组合输入'!$P6,"B",IF(Y7&lt;='组合输入'!$Q6,"CCC","D")))))))</f>
        <v/>
      </c>
      <c r="AA7" s="12">
        <f>IF(Z7="","",INDEX('状态价值'!$D6:$K6,MATCH(Z7,'状态价值'!$D$1:$K$1,0)))</f>
        <v/>
      </c>
      <c r="AB7" s="15">
        <f>NORM.S.INV(RAND())</f>
        <v/>
      </c>
      <c r="AC7" s="15">
        <f>IF('组合输入'!$C7="","",'组合输入'!$H7*$B7+SQRT(1-'组合输入'!$H7^2)*AB7)</f>
        <v/>
      </c>
      <c r="AD7" s="7">
        <f>IF(AC7="","",NORM.S.DIST(AC7,TRUE))</f>
        <v/>
      </c>
      <c r="AE7" s="13">
        <f>IF(AD7="","",IF(AD7&lt;='组合输入'!$K7,"AAA",IF(AD7&lt;='组合输入'!$L7,"AA",IF(AD7&lt;='组合输入'!$M7,"A",IF(AD7&lt;='组合输入'!$N7,"BBB",IF(AD7&lt;='组合输入'!$O7,"BB",IF(AD7&lt;='组合输入'!$P7,"B",IF(AD7&lt;='组合输入'!$Q7,"CCC","D")))))))</f>
        <v/>
      </c>
      <c r="AF7" s="12">
        <f>IF(AE7="","",INDEX('状态价值'!$D7:$K7,MATCH(AE7,'状态价值'!$D$1:$K$1,0)))</f>
        <v/>
      </c>
      <c r="AG7" s="15">
        <f>NORM.S.INV(RAND())</f>
        <v/>
      </c>
      <c r="AH7" s="15">
        <f>IF('组合输入'!$C8="","",'组合输入'!$H8*$B7+SQRT(1-'组合输入'!$H8^2)*AG7)</f>
        <v/>
      </c>
      <c r="AI7" s="7">
        <f>IF(AH7="","",NORM.S.DIST(AH7,TRUE))</f>
        <v/>
      </c>
      <c r="AJ7" s="13">
        <f>IF(AI7="","",IF(AI7&lt;='组合输入'!$K8,"AAA",IF(AI7&lt;='组合输入'!$L8,"AA",IF(AI7&lt;='组合输入'!$M8,"A",IF(AI7&lt;='组合输入'!$N8,"BBB",IF(AI7&lt;='组合输入'!$O8,"BB",IF(AI7&lt;='组合输入'!$P8,"B",IF(AI7&lt;='组合输入'!$Q8,"CCC","D")))))))</f>
        <v/>
      </c>
      <c r="AK7" s="12">
        <f>IF(AJ7="","",INDEX('状态价值'!$D8:$K8,MATCH(AJ7,'状态价值'!$D$1:$K$1,0)))</f>
        <v/>
      </c>
      <c r="AL7" s="15">
        <f>NORM.S.INV(RAND())</f>
        <v/>
      </c>
      <c r="AM7" s="15">
        <f>IF('组合输入'!$C9="","",'组合输入'!$H9*$B7+SQRT(1-'组合输入'!$H9^2)*AL7)</f>
        <v/>
      </c>
      <c r="AN7" s="7">
        <f>IF(AM7="","",NORM.S.DIST(AM7,TRUE))</f>
        <v/>
      </c>
      <c r="AO7" s="13">
        <f>IF(AN7="","",IF(AN7&lt;='组合输入'!$K9,"AAA",IF(AN7&lt;='组合输入'!$L9,"AA",IF(AN7&lt;='组合输入'!$M9,"A",IF(AN7&lt;='组合输入'!$N9,"BBB",IF(AN7&lt;='组合输入'!$O9,"BB",IF(AN7&lt;='组合输入'!$P9,"B",IF(AN7&lt;='组合输入'!$Q9,"CCC","D")))))))</f>
        <v/>
      </c>
      <c r="AP7" s="12">
        <f>IF(AO7="","",INDEX('状态价值'!$D9:$K9,MATCH(AO7,'状态价值'!$D$1:$K$1,0)))</f>
        <v/>
      </c>
      <c r="AQ7" s="15">
        <f>NORM.S.INV(RAND())</f>
        <v/>
      </c>
      <c r="AR7" s="15">
        <f>IF('组合输入'!$C10="","",'组合输入'!$H10*$B7+SQRT(1-'组合输入'!$H10^2)*AQ7)</f>
        <v/>
      </c>
      <c r="AS7" s="7">
        <f>IF(AR7="","",NORM.S.DIST(AR7,TRUE))</f>
        <v/>
      </c>
      <c r="AT7" s="13">
        <f>IF(AS7="","",IF(AS7&lt;='组合输入'!$K10,"AAA",IF(AS7&lt;='组合输入'!$L10,"AA",IF(AS7&lt;='组合输入'!$M10,"A",IF(AS7&lt;='组合输入'!$N10,"BBB",IF(AS7&lt;='组合输入'!$O10,"BB",IF(AS7&lt;='组合输入'!$P10,"B",IF(AS7&lt;='组合输入'!$Q10,"CCC","D")))))))</f>
        <v/>
      </c>
      <c r="AU7" s="12">
        <f>IF(AT7="","",INDEX('状态价值'!$D10:$K10,MATCH(AT7,'状态价值'!$D$1:$K$1,0)))</f>
        <v/>
      </c>
      <c r="AV7" s="15">
        <f>NORM.S.INV(RAND())</f>
        <v/>
      </c>
      <c r="AW7" s="15">
        <f>IF('组合输入'!$C11="","",'组合输入'!$H11*$B7+SQRT(1-'组合输入'!$H11^2)*AV7)</f>
        <v/>
      </c>
      <c r="AX7" s="7">
        <f>IF(AW7="","",NORM.S.DIST(AW7,TRUE))</f>
        <v/>
      </c>
      <c r="AY7" s="13">
        <f>IF(AX7="","",IF(AX7&lt;='组合输入'!$K11,"AAA",IF(AX7&lt;='组合输入'!$L11,"AA",IF(AX7&lt;='组合输入'!$M11,"A",IF(AX7&lt;='组合输入'!$N11,"BBB",IF(AX7&lt;='组合输入'!$O11,"BB",IF(AX7&lt;='组合输入'!$P11,"B",IF(AX7&lt;='组合输入'!$Q11,"CCC","D")))))))</f>
        <v/>
      </c>
      <c r="AZ7" s="12">
        <f>IF(AY7="","",INDEX('状态价值'!$D11:$K11,MATCH(AY7,'状态价值'!$D$1:$K$1,0)))</f>
        <v/>
      </c>
      <c r="BA7" s="12">
        <f>G7+L7+Q7+V7+AA7+AF7+AK7+AP7+AU7+AZ7</f>
        <v/>
      </c>
      <c r="BB7" s="12">
        <f>SUM('组合输入'!$J$2:$J$11)-BA7</f>
        <v/>
      </c>
    </row>
    <row r="8">
      <c r="A8" s="11" t="n">
        <v>7</v>
      </c>
      <c r="B8" s="14">
        <f>NORM.S.INV(RAND())</f>
        <v/>
      </c>
      <c r="C8" s="14">
        <f>NORM.S.INV(RAND())</f>
        <v/>
      </c>
      <c r="D8" s="15">
        <f>IF('组合输入'!$C2="","",'组合输入'!$H2*$B8+SQRT(1-'组合输入'!$H2^2)*C8)</f>
        <v/>
      </c>
      <c r="E8" s="7">
        <f>IF(D8="","",NORM.S.DIST(D8,TRUE))</f>
        <v/>
      </c>
      <c r="F8" s="13">
        <f>IF(E8="","",IF(E8&lt;='组合输入'!$K2,"AAA",IF(E8&lt;='组合输入'!$L2,"AA",IF(E8&lt;='组合输入'!$M2,"A",IF(E8&lt;='组合输入'!$N2,"BBB",IF(E8&lt;='组合输入'!$O2,"BB",IF(E8&lt;='组合输入'!$P2,"B",IF(E8&lt;='组合输入'!$Q2,"CCC","D")))))))</f>
        <v/>
      </c>
      <c r="G8" s="12">
        <f>IF(F8="","",INDEX('状态价值'!$D2:$K2,MATCH(F8,'状态价值'!$D$1:$K$1,0)))</f>
        <v/>
      </c>
      <c r="H8" s="15">
        <f>NORM.S.INV(RAND())</f>
        <v/>
      </c>
      <c r="I8" s="15">
        <f>IF('组合输入'!$C3="","",'组合输入'!$H3*$B8+SQRT(1-'组合输入'!$H3^2)*H8)</f>
        <v/>
      </c>
      <c r="J8" s="7">
        <f>IF(I8="","",NORM.S.DIST(I8,TRUE))</f>
        <v/>
      </c>
      <c r="K8" s="13">
        <f>IF(J8="","",IF(J8&lt;='组合输入'!$K3,"AAA",IF(J8&lt;='组合输入'!$L3,"AA",IF(J8&lt;='组合输入'!$M3,"A",IF(J8&lt;='组合输入'!$N3,"BBB",IF(J8&lt;='组合输入'!$O3,"BB",IF(J8&lt;='组合输入'!$P3,"B",IF(J8&lt;='组合输入'!$Q3,"CCC","D")))))))</f>
        <v/>
      </c>
      <c r="L8" s="12">
        <f>IF(K8="","",INDEX('状态价值'!$D3:$K3,MATCH(K8,'状态价值'!$D$1:$K$1,0)))</f>
        <v/>
      </c>
      <c r="M8" s="15">
        <f>NORM.S.INV(RAND())</f>
        <v/>
      </c>
      <c r="N8" s="15">
        <f>IF('组合输入'!$C4="","",'组合输入'!$H4*$B8+SQRT(1-'组合输入'!$H4^2)*M8)</f>
        <v/>
      </c>
      <c r="O8" s="7">
        <f>IF(N8="","",NORM.S.DIST(N8,TRUE))</f>
        <v/>
      </c>
      <c r="P8" s="13">
        <f>IF(O8="","",IF(O8&lt;='组合输入'!$K4,"AAA",IF(O8&lt;='组合输入'!$L4,"AA",IF(O8&lt;='组合输入'!$M4,"A",IF(O8&lt;='组合输入'!$N4,"BBB",IF(O8&lt;='组合输入'!$O4,"BB",IF(O8&lt;='组合输入'!$P4,"B",IF(O8&lt;='组合输入'!$Q4,"CCC","D")))))))</f>
        <v/>
      </c>
      <c r="Q8" s="12">
        <f>IF(P8="","",INDEX('状态价值'!$D4:$K4,MATCH(P8,'状态价值'!$D$1:$K$1,0)))</f>
        <v/>
      </c>
      <c r="R8" s="15">
        <f>NORM.S.INV(RAND())</f>
        <v/>
      </c>
      <c r="S8" s="15">
        <f>IF('组合输入'!$C5="","",'组合输入'!$H5*$B8+SQRT(1-'组合输入'!$H5^2)*R8)</f>
        <v/>
      </c>
      <c r="T8" s="7">
        <f>IF(S8="","",NORM.S.DIST(S8,TRUE))</f>
        <v/>
      </c>
      <c r="U8" s="13">
        <f>IF(T8="","",IF(T8&lt;='组合输入'!$K5,"AAA",IF(T8&lt;='组合输入'!$L5,"AA",IF(T8&lt;='组合输入'!$M5,"A",IF(T8&lt;='组合输入'!$N5,"BBB",IF(T8&lt;='组合输入'!$O5,"BB",IF(T8&lt;='组合输入'!$P5,"B",IF(T8&lt;='组合输入'!$Q5,"CCC","D")))))))</f>
        <v/>
      </c>
      <c r="V8" s="12">
        <f>IF(U8="","",INDEX('状态价值'!$D5:$K5,MATCH(U8,'状态价值'!$D$1:$K$1,0)))</f>
        <v/>
      </c>
      <c r="W8" s="15">
        <f>NORM.S.INV(RAND())</f>
        <v/>
      </c>
      <c r="X8" s="15">
        <f>IF('组合输入'!$C6="","",'组合输入'!$H6*$B8+SQRT(1-'组合输入'!$H6^2)*W8)</f>
        <v/>
      </c>
      <c r="Y8" s="7">
        <f>IF(X8="","",NORM.S.DIST(X8,TRUE))</f>
        <v/>
      </c>
      <c r="Z8" s="13">
        <f>IF(Y8="","",IF(Y8&lt;='组合输入'!$K6,"AAA",IF(Y8&lt;='组合输入'!$L6,"AA",IF(Y8&lt;='组合输入'!$M6,"A",IF(Y8&lt;='组合输入'!$N6,"BBB",IF(Y8&lt;='组合输入'!$O6,"BB",IF(Y8&lt;='组合输入'!$P6,"B",IF(Y8&lt;='组合输入'!$Q6,"CCC","D")))))))</f>
        <v/>
      </c>
      <c r="AA8" s="12">
        <f>IF(Z8="","",INDEX('状态价值'!$D6:$K6,MATCH(Z8,'状态价值'!$D$1:$K$1,0)))</f>
        <v/>
      </c>
      <c r="AB8" s="15">
        <f>NORM.S.INV(RAND())</f>
        <v/>
      </c>
      <c r="AC8" s="15">
        <f>IF('组合输入'!$C7="","",'组合输入'!$H7*$B8+SQRT(1-'组合输入'!$H7^2)*AB8)</f>
        <v/>
      </c>
      <c r="AD8" s="7">
        <f>IF(AC8="","",NORM.S.DIST(AC8,TRUE))</f>
        <v/>
      </c>
      <c r="AE8" s="13">
        <f>IF(AD8="","",IF(AD8&lt;='组合输入'!$K7,"AAA",IF(AD8&lt;='组合输入'!$L7,"AA",IF(AD8&lt;='组合输入'!$M7,"A",IF(AD8&lt;='组合输入'!$N7,"BBB",IF(AD8&lt;='组合输入'!$O7,"BB",IF(AD8&lt;='组合输入'!$P7,"B",IF(AD8&lt;='组合输入'!$Q7,"CCC","D")))))))</f>
        <v/>
      </c>
      <c r="AF8" s="12">
        <f>IF(AE8="","",INDEX('状态价值'!$D7:$K7,MATCH(AE8,'状态价值'!$D$1:$K$1,0)))</f>
        <v/>
      </c>
      <c r="AG8" s="15">
        <f>NORM.S.INV(RAND())</f>
        <v/>
      </c>
      <c r="AH8" s="15">
        <f>IF('组合输入'!$C8="","",'组合输入'!$H8*$B8+SQRT(1-'组合输入'!$H8^2)*AG8)</f>
        <v/>
      </c>
      <c r="AI8" s="7">
        <f>IF(AH8="","",NORM.S.DIST(AH8,TRUE))</f>
        <v/>
      </c>
      <c r="AJ8" s="13">
        <f>IF(AI8="","",IF(AI8&lt;='组合输入'!$K8,"AAA",IF(AI8&lt;='组合输入'!$L8,"AA",IF(AI8&lt;='组合输入'!$M8,"A",IF(AI8&lt;='组合输入'!$N8,"BBB",IF(AI8&lt;='组合输入'!$O8,"BB",IF(AI8&lt;='组合输入'!$P8,"B",IF(AI8&lt;='组合输入'!$Q8,"CCC","D")))))))</f>
        <v/>
      </c>
      <c r="AK8" s="12">
        <f>IF(AJ8="","",INDEX('状态价值'!$D8:$K8,MATCH(AJ8,'状态价值'!$D$1:$K$1,0)))</f>
        <v/>
      </c>
      <c r="AL8" s="15">
        <f>NORM.S.INV(RAND())</f>
        <v/>
      </c>
      <c r="AM8" s="15">
        <f>IF('组合输入'!$C9="","",'组合输入'!$H9*$B8+SQRT(1-'组合输入'!$H9^2)*AL8)</f>
        <v/>
      </c>
      <c r="AN8" s="7">
        <f>IF(AM8="","",NORM.S.DIST(AM8,TRUE))</f>
        <v/>
      </c>
      <c r="AO8" s="13">
        <f>IF(AN8="","",IF(AN8&lt;='组合输入'!$K9,"AAA",IF(AN8&lt;='组合输入'!$L9,"AA",IF(AN8&lt;='组合输入'!$M9,"A",IF(AN8&lt;='组合输入'!$N9,"BBB",IF(AN8&lt;='组合输入'!$O9,"BB",IF(AN8&lt;='组合输入'!$P9,"B",IF(AN8&lt;='组合输入'!$Q9,"CCC","D")))))))</f>
        <v/>
      </c>
      <c r="AP8" s="12">
        <f>IF(AO8="","",INDEX('状态价值'!$D9:$K9,MATCH(AO8,'状态价值'!$D$1:$K$1,0)))</f>
        <v/>
      </c>
      <c r="AQ8" s="15">
        <f>NORM.S.INV(RAND())</f>
        <v/>
      </c>
      <c r="AR8" s="15">
        <f>IF('组合输入'!$C10="","",'组合输入'!$H10*$B8+SQRT(1-'组合输入'!$H10^2)*AQ8)</f>
        <v/>
      </c>
      <c r="AS8" s="7">
        <f>IF(AR8="","",NORM.S.DIST(AR8,TRUE))</f>
        <v/>
      </c>
      <c r="AT8" s="13">
        <f>IF(AS8="","",IF(AS8&lt;='组合输入'!$K10,"AAA",IF(AS8&lt;='组合输入'!$L10,"AA",IF(AS8&lt;='组合输入'!$M10,"A",IF(AS8&lt;='组合输入'!$N10,"BBB",IF(AS8&lt;='组合输入'!$O10,"BB",IF(AS8&lt;='组合输入'!$P10,"B",IF(AS8&lt;='组合输入'!$Q10,"CCC","D")))))))</f>
        <v/>
      </c>
      <c r="AU8" s="12">
        <f>IF(AT8="","",INDEX('状态价值'!$D10:$K10,MATCH(AT8,'状态价值'!$D$1:$K$1,0)))</f>
        <v/>
      </c>
      <c r="AV8" s="15">
        <f>NORM.S.INV(RAND())</f>
        <v/>
      </c>
      <c r="AW8" s="15">
        <f>IF('组合输入'!$C11="","",'组合输入'!$H11*$B8+SQRT(1-'组合输入'!$H11^2)*AV8)</f>
        <v/>
      </c>
      <c r="AX8" s="7">
        <f>IF(AW8="","",NORM.S.DIST(AW8,TRUE))</f>
        <v/>
      </c>
      <c r="AY8" s="13">
        <f>IF(AX8="","",IF(AX8&lt;='组合输入'!$K11,"AAA",IF(AX8&lt;='组合输入'!$L11,"AA",IF(AX8&lt;='组合输入'!$M11,"A",IF(AX8&lt;='组合输入'!$N11,"BBB",IF(AX8&lt;='组合输入'!$O11,"BB",IF(AX8&lt;='组合输入'!$P11,"B",IF(AX8&lt;='组合输入'!$Q11,"CCC","D")))))))</f>
        <v/>
      </c>
      <c r="AZ8" s="12">
        <f>IF(AY8="","",INDEX('状态价值'!$D11:$K11,MATCH(AY8,'状态价值'!$D$1:$K$1,0)))</f>
        <v/>
      </c>
      <c r="BA8" s="12">
        <f>G8+L8+Q8+V8+AA8+AF8+AK8+AP8+AU8+AZ8</f>
        <v/>
      </c>
      <c r="BB8" s="12">
        <f>SUM('组合输入'!$J$2:$J$11)-BA8</f>
        <v/>
      </c>
    </row>
    <row r="9">
      <c r="A9" s="11" t="n">
        <v>8</v>
      </c>
      <c r="B9" s="14">
        <f>NORM.S.INV(RAND())</f>
        <v/>
      </c>
      <c r="C9" s="14">
        <f>NORM.S.INV(RAND())</f>
        <v/>
      </c>
      <c r="D9" s="15">
        <f>IF('组合输入'!$C2="","",'组合输入'!$H2*$B9+SQRT(1-'组合输入'!$H2^2)*C9)</f>
        <v/>
      </c>
      <c r="E9" s="7">
        <f>IF(D9="","",NORM.S.DIST(D9,TRUE))</f>
        <v/>
      </c>
      <c r="F9" s="13">
        <f>IF(E9="","",IF(E9&lt;='组合输入'!$K2,"AAA",IF(E9&lt;='组合输入'!$L2,"AA",IF(E9&lt;='组合输入'!$M2,"A",IF(E9&lt;='组合输入'!$N2,"BBB",IF(E9&lt;='组合输入'!$O2,"BB",IF(E9&lt;='组合输入'!$P2,"B",IF(E9&lt;='组合输入'!$Q2,"CCC","D")))))))</f>
        <v/>
      </c>
      <c r="G9" s="12">
        <f>IF(F9="","",INDEX('状态价值'!$D2:$K2,MATCH(F9,'状态价值'!$D$1:$K$1,0)))</f>
        <v/>
      </c>
      <c r="H9" s="15">
        <f>NORM.S.INV(RAND())</f>
        <v/>
      </c>
      <c r="I9" s="15">
        <f>IF('组合输入'!$C3="","",'组合输入'!$H3*$B9+SQRT(1-'组合输入'!$H3^2)*H9)</f>
        <v/>
      </c>
      <c r="J9" s="7">
        <f>IF(I9="","",NORM.S.DIST(I9,TRUE))</f>
        <v/>
      </c>
      <c r="K9" s="13">
        <f>IF(J9="","",IF(J9&lt;='组合输入'!$K3,"AAA",IF(J9&lt;='组合输入'!$L3,"AA",IF(J9&lt;='组合输入'!$M3,"A",IF(J9&lt;='组合输入'!$N3,"BBB",IF(J9&lt;='组合输入'!$O3,"BB",IF(J9&lt;='组合输入'!$P3,"B",IF(J9&lt;='组合输入'!$Q3,"CCC","D")))))))</f>
        <v/>
      </c>
      <c r="L9" s="12">
        <f>IF(K9="","",INDEX('状态价值'!$D3:$K3,MATCH(K9,'状态价值'!$D$1:$K$1,0)))</f>
        <v/>
      </c>
      <c r="M9" s="15">
        <f>NORM.S.INV(RAND())</f>
        <v/>
      </c>
      <c r="N9" s="15">
        <f>IF('组合输入'!$C4="","",'组合输入'!$H4*$B9+SQRT(1-'组合输入'!$H4^2)*M9)</f>
        <v/>
      </c>
      <c r="O9" s="7">
        <f>IF(N9="","",NORM.S.DIST(N9,TRUE))</f>
        <v/>
      </c>
      <c r="P9" s="13">
        <f>IF(O9="","",IF(O9&lt;='组合输入'!$K4,"AAA",IF(O9&lt;='组合输入'!$L4,"AA",IF(O9&lt;='组合输入'!$M4,"A",IF(O9&lt;='组合输入'!$N4,"BBB",IF(O9&lt;='组合输入'!$O4,"BB",IF(O9&lt;='组合输入'!$P4,"B",IF(O9&lt;='组合输入'!$Q4,"CCC","D")))))))</f>
        <v/>
      </c>
      <c r="Q9" s="12">
        <f>IF(P9="","",INDEX('状态价值'!$D4:$K4,MATCH(P9,'状态价值'!$D$1:$K$1,0)))</f>
        <v/>
      </c>
      <c r="R9" s="15">
        <f>NORM.S.INV(RAND())</f>
        <v/>
      </c>
      <c r="S9" s="15">
        <f>IF('组合输入'!$C5="","",'组合输入'!$H5*$B9+SQRT(1-'组合输入'!$H5^2)*R9)</f>
        <v/>
      </c>
      <c r="T9" s="7">
        <f>IF(S9="","",NORM.S.DIST(S9,TRUE))</f>
        <v/>
      </c>
      <c r="U9" s="13">
        <f>IF(T9="","",IF(T9&lt;='组合输入'!$K5,"AAA",IF(T9&lt;='组合输入'!$L5,"AA",IF(T9&lt;='组合输入'!$M5,"A",IF(T9&lt;='组合输入'!$N5,"BBB",IF(T9&lt;='组合输入'!$O5,"BB",IF(T9&lt;='组合输入'!$P5,"B",IF(T9&lt;='组合输入'!$Q5,"CCC","D")))))))</f>
        <v/>
      </c>
      <c r="V9" s="12">
        <f>IF(U9="","",INDEX('状态价值'!$D5:$K5,MATCH(U9,'状态价值'!$D$1:$K$1,0)))</f>
        <v/>
      </c>
      <c r="W9" s="15">
        <f>NORM.S.INV(RAND())</f>
        <v/>
      </c>
      <c r="X9" s="15">
        <f>IF('组合输入'!$C6="","",'组合输入'!$H6*$B9+SQRT(1-'组合输入'!$H6^2)*W9)</f>
        <v/>
      </c>
      <c r="Y9" s="7">
        <f>IF(X9="","",NORM.S.DIST(X9,TRUE))</f>
        <v/>
      </c>
      <c r="Z9" s="13">
        <f>IF(Y9="","",IF(Y9&lt;='组合输入'!$K6,"AAA",IF(Y9&lt;='组合输入'!$L6,"AA",IF(Y9&lt;='组合输入'!$M6,"A",IF(Y9&lt;='组合输入'!$N6,"BBB",IF(Y9&lt;='组合输入'!$O6,"BB",IF(Y9&lt;='组合输入'!$P6,"B",IF(Y9&lt;='组合输入'!$Q6,"CCC","D")))))))</f>
        <v/>
      </c>
      <c r="AA9" s="12">
        <f>IF(Z9="","",INDEX('状态价值'!$D6:$K6,MATCH(Z9,'状态价值'!$D$1:$K$1,0)))</f>
        <v/>
      </c>
      <c r="AB9" s="15">
        <f>NORM.S.INV(RAND())</f>
        <v/>
      </c>
      <c r="AC9" s="15">
        <f>IF('组合输入'!$C7="","",'组合输入'!$H7*$B9+SQRT(1-'组合输入'!$H7^2)*AB9)</f>
        <v/>
      </c>
      <c r="AD9" s="7">
        <f>IF(AC9="","",NORM.S.DIST(AC9,TRUE))</f>
        <v/>
      </c>
      <c r="AE9" s="13">
        <f>IF(AD9="","",IF(AD9&lt;='组合输入'!$K7,"AAA",IF(AD9&lt;='组合输入'!$L7,"AA",IF(AD9&lt;='组合输入'!$M7,"A",IF(AD9&lt;='组合输入'!$N7,"BBB",IF(AD9&lt;='组合输入'!$O7,"BB",IF(AD9&lt;='组合输入'!$P7,"B",IF(AD9&lt;='组合输入'!$Q7,"CCC","D")))))))</f>
        <v/>
      </c>
      <c r="AF9" s="12">
        <f>IF(AE9="","",INDEX('状态价值'!$D7:$K7,MATCH(AE9,'状态价值'!$D$1:$K$1,0)))</f>
        <v/>
      </c>
      <c r="AG9" s="15">
        <f>NORM.S.INV(RAND())</f>
        <v/>
      </c>
      <c r="AH9" s="15">
        <f>IF('组合输入'!$C8="","",'组合输入'!$H8*$B9+SQRT(1-'组合输入'!$H8^2)*AG9)</f>
        <v/>
      </c>
      <c r="AI9" s="7">
        <f>IF(AH9="","",NORM.S.DIST(AH9,TRUE))</f>
        <v/>
      </c>
      <c r="AJ9" s="13">
        <f>IF(AI9="","",IF(AI9&lt;='组合输入'!$K8,"AAA",IF(AI9&lt;='组合输入'!$L8,"AA",IF(AI9&lt;='组合输入'!$M8,"A",IF(AI9&lt;='组合输入'!$N8,"BBB",IF(AI9&lt;='组合输入'!$O8,"BB",IF(AI9&lt;='组合输入'!$P8,"B",IF(AI9&lt;='组合输入'!$Q8,"CCC","D")))))))</f>
        <v/>
      </c>
      <c r="AK9" s="12">
        <f>IF(AJ9="","",INDEX('状态价值'!$D8:$K8,MATCH(AJ9,'状态价值'!$D$1:$K$1,0)))</f>
        <v/>
      </c>
      <c r="AL9" s="15">
        <f>NORM.S.INV(RAND())</f>
        <v/>
      </c>
      <c r="AM9" s="15">
        <f>IF('组合输入'!$C9="","",'组合输入'!$H9*$B9+SQRT(1-'组合输入'!$H9^2)*AL9)</f>
        <v/>
      </c>
      <c r="AN9" s="7">
        <f>IF(AM9="","",NORM.S.DIST(AM9,TRUE))</f>
        <v/>
      </c>
      <c r="AO9" s="13">
        <f>IF(AN9="","",IF(AN9&lt;='组合输入'!$K9,"AAA",IF(AN9&lt;='组合输入'!$L9,"AA",IF(AN9&lt;='组合输入'!$M9,"A",IF(AN9&lt;='组合输入'!$N9,"BBB",IF(AN9&lt;='组合输入'!$O9,"BB",IF(AN9&lt;='组合输入'!$P9,"B",IF(AN9&lt;='组合输入'!$Q9,"CCC","D")))))))</f>
        <v/>
      </c>
      <c r="AP9" s="12">
        <f>IF(AO9="","",INDEX('状态价值'!$D9:$K9,MATCH(AO9,'状态价值'!$D$1:$K$1,0)))</f>
        <v/>
      </c>
      <c r="AQ9" s="15">
        <f>NORM.S.INV(RAND())</f>
        <v/>
      </c>
      <c r="AR9" s="15">
        <f>IF('组合输入'!$C10="","",'组合输入'!$H10*$B9+SQRT(1-'组合输入'!$H10^2)*AQ9)</f>
        <v/>
      </c>
      <c r="AS9" s="7">
        <f>IF(AR9="","",NORM.S.DIST(AR9,TRUE))</f>
        <v/>
      </c>
      <c r="AT9" s="13">
        <f>IF(AS9="","",IF(AS9&lt;='组合输入'!$K10,"AAA",IF(AS9&lt;='组合输入'!$L10,"AA",IF(AS9&lt;='组合输入'!$M10,"A",IF(AS9&lt;='组合输入'!$N10,"BBB",IF(AS9&lt;='组合输入'!$O10,"BB",IF(AS9&lt;='组合输入'!$P10,"B",IF(AS9&lt;='组合输入'!$Q10,"CCC","D")))))))</f>
        <v/>
      </c>
      <c r="AU9" s="12">
        <f>IF(AT9="","",INDEX('状态价值'!$D10:$K10,MATCH(AT9,'状态价值'!$D$1:$K$1,0)))</f>
        <v/>
      </c>
      <c r="AV9" s="15">
        <f>NORM.S.INV(RAND())</f>
        <v/>
      </c>
      <c r="AW9" s="15">
        <f>IF('组合输入'!$C11="","",'组合输入'!$H11*$B9+SQRT(1-'组合输入'!$H11^2)*AV9)</f>
        <v/>
      </c>
      <c r="AX9" s="7">
        <f>IF(AW9="","",NORM.S.DIST(AW9,TRUE))</f>
        <v/>
      </c>
      <c r="AY9" s="13">
        <f>IF(AX9="","",IF(AX9&lt;='组合输入'!$K11,"AAA",IF(AX9&lt;='组合输入'!$L11,"AA",IF(AX9&lt;='组合输入'!$M11,"A",IF(AX9&lt;='组合输入'!$N11,"BBB",IF(AX9&lt;='组合输入'!$O11,"BB",IF(AX9&lt;='组合输入'!$P11,"B",IF(AX9&lt;='组合输入'!$Q11,"CCC","D")))))))</f>
        <v/>
      </c>
      <c r="AZ9" s="12">
        <f>IF(AY9="","",INDEX('状态价值'!$D11:$K11,MATCH(AY9,'状态价值'!$D$1:$K$1,0)))</f>
        <v/>
      </c>
      <c r="BA9" s="12">
        <f>G9+L9+Q9+V9+AA9+AF9+AK9+AP9+AU9+AZ9</f>
        <v/>
      </c>
      <c r="BB9" s="12">
        <f>SUM('组合输入'!$J$2:$J$11)-BA9</f>
        <v/>
      </c>
    </row>
    <row r="10">
      <c r="A10" s="11" t="n">
        <v>9</v>
      </c>
      <c r="B10" s="14">
        <f>NORM.S.INV(RAND())</f>
        <v/>
      </c>
      <c r="C10" s="14">
        <f>NORM.S.INV(RAND())</f>
        <v/>
      </c>
      <c r="D10" s="15">
        <f>IF('组合输入'!$C2="","",'组合输入'!$H2*$B10+SQRT(1-'组合输入'!$H2^2)*C10)</f>
        <v/>
      </c>
      <c r="E10" s="7">
        <f>IF(D10="","",NORM.S.DIST(D10,TRUE))</f>
        <v/>
      </c>
      <c r="F10" s="13">
        <f>IF(E10="","",IF(E10&lt;='组合输入'!$K2,"AAA",IF(E10&lt;='组合输入'!$L2,"AA",IF(E10&lt;='组合输入'!$M2,"A",IF(E10&lt;='组合输入'!$N2,"BBB",IF(E10&lt;='组合输入'!$O2,"BB",IF(E10&lt;='组合输入'!$P2,"B",IF(E10&lt;='组合输入'!$Q2,"CCC","D")))))))</f>
        <v/>
      </c>
      <c r="G10" s="12">
        <f>IF(F10="","",INDEX('状态价值'!$D2:$K2,MATCH(F10,'状态价值'!$D$1:$K$1,0)))</f>
        <v/>
      </c>
      <c r="H10" s="15">
        <f>NORM.S.INV(RAND())</f>
        <v/>
      </c>
      <c r="I10" s="15">
        <f>IF('组合输入'!$C3="","",'组合输入'!$H3*$B10+SQRT(1-'组合输入'!$H3^2)*H10)</f>
        <v/>
      </c>
      <c r="J10" s="7">
        <f>IF(I10="","",NORM.S.DIST(I10,TRUE))</f>
        <v/>
      </c>
      <c r="K10" s="13">
        <f>IF(J10="","",IF(J10&lt;='组合输入'!$K3,"AAA",IF(J10&lt;='组合输入'!$L3,"AA",IF(J10&lt;='组合输入'!$M3,"A",IF(J10&lt;='组合输入'!$N3,"BBB",IF(J10&lt;='组合输入'!$O3,"BB",IF(J10&lt;='组合输入'!$P3,"B",IF(J10&lt;='组合输入'!$Q3,"CCC","D")))))))</f>
        <v/>
      </c>
      <c r="L10" s="12">
        <f>IF(K10="","",INDEX('状态价值'!$D3:$K3,MATCH(K10,'状态价值'!$D$1:$K$1,0)))</f>
        <v/>
      </c>
      <c r="M10" s="15">
        <f>NORM.S.INV(RAND())</f>
        <v/>
      </c>
      <c r="N10" s="15">
        <f>IF('组合输入'!$C4="","",'组合输入'!$H4*$B10+SQRT(1-'组合输入'!$H4^2)*M10)</f>
        <v/>
      </c>
      <c r="O10" s="7">
        <f>IF(N10="","",NORM.S.DIST(N10,TRUE))</f>
        <v/>
      </c>
      <c r="P10" s="13">
        <f>IF(O10="","",IF(O10&lt;='组合输入'!$K4,"AAA",IF(O10&lt;='组合输入'!$L4,"AA",IF(O10&lt;='组合输入'!$M4,"A",IF(O10&lt;='组合输入'!$N4,"BBB",IF(O10&lt;='组合输入'!$O4,"BB",IF(O10&lt;='组合输入'!$P4,"B",IF(O10&lt;='组合输入'!$Q4,"CCC","D")))))))</f>
        <v/>
      </c>
      <c r="Q10" s="12">
        <f>IF(P10="","",INDEX('状态价值'!$D4:$K4,MATCH(P10,'状态价值'!$D$1:$K$1,0)))</f>
        <v/>
      </c>
      <c r="R10" s="15">
        <f>NORM.S.INV(RAND())</f>
        <v/>
      </c>
      <c r="S10" s="15">
        <f>IF('组合输入'!$C5="","",'组合输入'!$H5*$B10+SQRT(1-'组合输入'!$H5^2)*R10)</f>
        <v/>
      </c>
      <c r="T10" s="7">
        <f>IF(S10="","",NORM.S.DIST(S10,TRUE))</f>
        <v/>
      </c>
      <c r="U10" s="13">
        <f>IF(T10="","",IF(T10&lt;='组合输入'!$K5,"AAA",IF(T10&lt;='组合输入'!$L5,"AA",IF(T10&lt;='组合输入'!$M5,"A",IF(T10&lt;='组合输入'!$N5,"BBB",IF(T10&lt;='组合输入'!$O5,"BB",IF(T10&lt;='组合输入'!$P5,"B",IF(T10&lt;='组合输入'!$Q5,"CCC","D")))))))</f>
        <v/>
      </c>
      <c r="V10" s="12">
        <f>IF(U10="","",INDEX('状态价值'!$D5:$K5,MATCH(U10,'状态价值'!$D$1:$K$1,0)))</f>
        <v/>
      </c>
      <c r="W10" s="15">
        <f>NORM.S.INV(RAND())</f>
        <v/>
      </c>
      <c r="X10" s="15">
        <f>IF('组合输入'!$C6="","",'组合输入'!$H6*$B10+SQRT(1-'组合输入'!$H6^2)*W10)</f>
        <v/>
      </c>
      <c r="Y10" s="7">
        <f>IF(X10="","",NORM.S.DIST(X10,TRUE))</f>
        <v/>
      </c>
      <c r="Z10" s="13">
        <f>IF(Y10="","",IF(Y10&lt;='组合输入'!$K6,"AAA",IF(Y10&lt;='组合输入'!$L6,"AA",IF(Y10&lt;='组合输入'!$M6,"A",IF(Y10&lt;='组合输入'!$N6,"BBB",IF(Y10&lt;='组合输入'!$O6,"BB",IF(Y10&lt;='组合输入'!$P6,"B",IF(Y10&lt;='组合输入'!$Q6,"CCC","D")))))))</f>
        <v/>
      </c>
      <c r="AA10" s="12">
        <f>IF(Z10="","",INDEX('状态价值'!$D6:$K6,MATCH(Z10,'状态价值'!$D$1:$K$1,0)))</f>
        <v/>
      </c>
      <c r="AB10" s="15">
        <f>NORM.S.INV(RAND())</f>
        <v/>
      </c>
      <c r="AC10" s="15">
        <f>IF('组合输入'!$C7="","",'组合输入'!$H7*$B10+SQRT(1-'组合输入'!$H7^2)*AB10)</f>
        <v/>
      </c>
      <c r="AD10" s="7">
        <f>IF(AC10="","",NORM.S.DIST(AC10,TRUE))</f>
        <v/>
      </c>
      <c r="AE10" s="13">
        <f>IF(AD10="","",IF(AD10&lt;='组合输入'!$K7,"AAA",IF(AD10&lt;='组合输入'!$L7,"AA",IF(AD10&lt;='组合输入'!$M7,"A",IF(AD10&lt;='组合输入'!$N7,"BBB",IF(AD10&lt;='组合输入'!$O7,"BB",IF(AD10&lt;='组合输入'!$P7,"B",IF(AD10&lt;='组合输入'!$Q7,"CCC","D")))))))</f>
        <v/>
      </c>
      <c r="AF10" s="12">
        <f>IF(AE10="","",INDEX('状态价值'!$D7:$K7,MATCH(AE10,'状态价值'!$D$1:$K$1,0)))</f>
        <v/>
      </c>
      <c r="AG10" s="15">
        <f>NORM.S.INV(RAND())</f>
        <v/>
      </c>
      <c r="AH10" s="15">
        <f>IF('组合输入'!$C8="","",'组合输入'!$H8*$B10+SQRT(1-'组合输入'!$H8^2)*AG10)</f>
        <v/>
      </c>
      <c r="AI10" s="7">
        <f>IF(AH10="","",NORM.S.DIST(AH10,TRUE))</f>
        <v/>
      </c>
      <c r="AJ10" s="13">
        <f>IF(AI10="","",IF(AI10&lt;='组合输入'!$K8,"AAA",IF(AI10&lt;='组合输入'!$L8,"AA",IF(AI10&lt;='组合输入'!$M8,"A",IF(AI10&lt;='组合输入'!$N8,"BBB",IF(AI10&lt;='组合输入'!$O8,"BB",IF(AI10&lt;='组合输入'!$P8,"B",IF(AI10&lt;='组合输入'!$Q8,"CCC","D")))))))</f>
        <v/>
      </c>
      <c r="AK10" s="12">
        <f>IF(AJ10="","",INDEX('状态价值'!$D8:$K8,MATCH(AJ10,'状态价值'!$D$1:$K$1,0)))</f>
        <v/>
      </c>
      <c r="AL10" s="15">
        <f>NORM.S.INV(RAND())</f>
        <v/>
      </c>
      <c r="AM10" s="15">
        <f>IF('组合输入'!$C9="","",'组合输入'!$H9*$B10+SQRT(1-'组合输入'!$H9^2)*AL10)</f>
        <v/>
      </c>
      <c r="AN10" s="7">
        <f>IF(AM10="","",NORM.S.DIST(AM10,TRUE))</f>
        <v/>
      </c>
      <c r="AO10" s="13">
        <f>IF(AN10="","",IF(AN10&lt;='组合输入'!$K9,"AAA",IF(AN10&lt;='组合输入'!$L9,"AA",IF(AN10&lt;='组合输入'!$M9,"A",IF(AN10&lt;='组合输入'!$N9,"BBB",IF(AN10&lt;='组合输入'!$O9,"BB",IF(AN10&lt;='组合输入'!$P9,"B",IF(AN10&lt;='组合输入'!$Q9,"CCC","D")))))))</f>
        <v/>
      </c>
      <c r="AP10" s="12">
        <f>IF(AO10="","",INDEX('状态价值'!$D9:$K9,MATCH(AO10,'状态价值'!$D$1:$K$1,0)))</f>
        <v/>
      </c>
      <c r="AQ10" s="15">
        <f>NORM.S.INV(RAND())</f>
        <v/>
      </c>
      <c r="AR10" s="15">
        <f>IF('组合输入'!$C10="","",'组合输入'!$H10*$B10+SQRT(1-'组合输入'!$H10^2)*AQ10)</f>
        <v/>
      </c>
      <c r="AS10" s="7">
        <f>IF(AR10="","",NORM.S.DIST(AR10,TRUE))</f>
        <v/>
      </c>
      <c r="AT10" s="13">
        <f>IF(AS10="","",IF(AS10&lt;='组合输入'!$K10,"AAA",IF(AS10&lt;='组合输入'!$L10,"AA",IF(AS10&lt;='组合输入'!$M10,"A",IF(AS10&lt;='组合输入'!$N10,"BBB",IF(AS10&lt;='组合输入'!$O10,"BB",IF(AS10&lt;='组合输入'!$P10,"B",IF(AS10&lt;='组合输入'!$Q10,"CCC","D")))))))</f>
        <v/>
      </c>
      <c r="AU10" s="12">
        <f>IF(AT10="","",INDEX('状态价值'!$D10:$K10,MATCH(AT10,'状态价值'!$D$1:$K$1,0)))</f>
        <v/>
      </c>
      <c r="AV10" s="15">
        <f>NORM.S.INV(RAND())</f>
        <v/>
      </c>
      <c r="AW10" s="15">
        <f>IF('组合输入'!$C11="","",'组合输入'!$H11*$B10+SQRT(1-'组合输入'!$H11^2)*AV10)</f>
        <v/>
      </c>
      <c r="AX10" s="7">
        <f>IF(AW10="","",NORM.S.DIST(AW10,TRUE))</f>
        <v/>
      </c>
      <c r="AY10" s="13">
        <f>IF(AX10="","",IF(AX10&lt;='组合输入'!$K11,"AAA",IF(AX10&lt;='组合输入'!$L11,"AA",IF(AX10&lt;='组合输入'!$M11,"A",IF(AX10&lt;='组合输入'!$N11,"BBB",IF(AX10&lt;='组合输入'!$O11,"BB",IF(AX10&lt;='组合输入'!$P11,"B",IF(AX10&lt;='组合输入'!$Q11,"CCC","D")))))))</f>
        <v/>
      </c>
      <c r="AZ10" s="12">
        <f>IF(AY10="","",INDEX('状态价值'!$D11:$K11,MATCH(AY10,'状态价值'!$D$1:$K$1,0)))</f>
        <v/>
      </c>
      <c r="BA10" s="12">
        <f>G10+L10+Q10+V10+AA10+AF10+AK10+AP10+AU10+AZ10</f>
        <v/>
      </c>
      <c r="BB10" s="12">
        <f>SUM('组合输入'!$J$2:$J$11)-BA10</f>
        <v/>
      </c>
    </row>
    <row r="11">
      <c r="A11" s="11" t="n">
        <v>10</v>
      </c>
      <c r="B11" s="14">
        <f>NORM.S.INV(RAND())</f>
        <v/>
      </c>
      <c r="C11" s="14">
        <f>NORM.S.INV(RAND())</f>
        <v/>
      </c>
      <c r="D11" s="15">
        <f>IF('组合输入'!$C2="","",'组合输入'!$H2*$B11+SQRT(1-'组合输入'!$H2^2)*C11)</f>
        <v/>
      </c>
      <c r="E11" s="7">
        <f>IF(D11="","",NORM.S.DIST(D11,TRUE))</f>
        <v/>
      </c>
      <c r="F11" s="13">
        <f>IF(E11="","",IF(E11&lt;='组合输入'!$K2,"AAA",IF(E11&lt;='组合输入'!$L2,"AA",IF(E11&lt;='组合输入'!$M2,"A",IF(E11&lt;='组合输入'!$N2,"BBB",IF(E11&lt;='组合输入'!$O2,"BB",IF(E11&lt;='组合输入'!$P2,"B",IF(E11&lt;='组合输入'!$Q2,"CCC","D")))))))</f>
        <v/>
      </c>
      <c r="G11" s="12">
        <f>IF(F11="","",INDEX('状态价值'!$D2:$K2,MATCH(F11,'状态价值'!$D$1:$K$1,0)))</f>
        <v/>
      </c>
      <c r="H11" s="15">
        <f>NORM.S.INV(RAND())</f>
        <v/>
      </c>
      <c r="I11" s="15">
        <f>IF('组合输入'!$C3="","",'组合输入'!$H3*$B11+SQRT(1-'组合输入'!$H3^2)*H11)</f>
        <v/>
      </c>
      <c r="J11" s="7">
        <f>IF(I11="","",NORM.S.DIST(I11,TRUE))</f>
        <v/>
      </c>
      <c r="K11" s="13">
        <f>IF(J11="","",IF(J11&lt;='组合输入'!$K3,"AAA",IF(J11&lt;='组合输入'!$L3,"AA",IF(J11&lt;='组合输入'!$M3,"A",IF(J11&lt;='组合输入'!$N3,"BBB",IF(J11&lt;='组合输入'!$O3,"BB",IF(J11&lt;='组合输入'!$P3,"B",IF(J11&lt;='组合输入'!$Q3,"CCC","D")))))))</f>
        <v/>
      </c>
      <c r="L11" s="12">
        <f>IF(K11="","",INDEX('状态价值'!$D3:$K3,MATCH(K11,'状态价值'!$D$1:$K$1,0)))</f>
        <v/>
      </c>
      <c r="M11" s="15">
        <f>NORM.S.INV(RAND())</f>
        <v/>
      </c>
      <c r="N11" s="15">
        <f>IF('组合输入'!$C4="","",'组合输入'!$H4*$B11+SQRT(1-'组合输入'!$H4^2)*M11)</f>
        <v/>
      </c>
      <c r="O11" s="7">
        <f>IF(N11="","",NORM.S.DIST(N11,TRUE))</f>
        <v/>
      </c>
      <c r="P11" s="13">
        <f>IF(O11="","",IF(O11&lt;='组合输入'!$K4,"AAA",IF(O11&lt;='组合输入'!$L4,"AA",IF(O11&lt;='组合输入'!$M4,"A",IF(O11&lt;='组合输入'!$N4,"BBB",IF(O11&lt;='组合输入'!$O4,"BB",IF(O11&lt;='组合输入'!$P4,"B",IF(O11&lt;='组合输入'!$Q4,"CCC","D")))))))</f>
        <v/>
      </c>
      <c r="Q11" s="12">
        <f>IF(P11="","",INDEX('状态价值'!$D4:$K4,MATCH(P11,'状态价值'!$D$1:$K$1,0)))</f>
        <v/>
      </c>
      <c r="R11" s="15">
        <f>NORM.S.INV(RAND())</f>
        <v/>
      </c>
      <c r="S11" s="15">
        <f>IF('组合输入'!$C5="","",'组合输入'!$H5*$B11+SQRT(1-'组合输入'!$H5^2)*R11)</f>
        <v/>
      </c>
      <c r="T11" s="7">
        <f>IF(S11="","",NORM.S.DIST(S11,TRUE))</f>
        <v/>
      </c>
      <c r="U11" s="13">
        <f>IF(T11="","",IF(T11&lt;='组合输入'!$K5,"AAA",IF(T11&lt;='组合输入'!$L5,"AA",IF(T11&lt;='组合输入'!$M5,"A",IF(T11&lt;='组合输入'!$N5,"BBB",IF(T11&lt;='组合输入'!$O5,"BB",IF(T11&lt;='组合输入'!$P5,"B",IF(T11&lt;='组合输入'!$Q5,"CCC","D")))))))</f>
        <v/>
      </c>
      <c r="V11" s="12">
        <f>IF(U11="","",INDEX('状态价值'!$D5:$K5,MATCH(U11,'状态价值'!$D$1:$K$1,0)))</f>
        <v/>
      </c>
      <c r="W11" s="15">
        <f>NORM.S.INV(RAND())</f>
        <v/>
      </c>
      <c r="X11" s="15">
        <f>IF('组合输入'!$C6="","",'组合输入'!$H6*$B11+SQRT(1-'组合输入'!$H6^2)*W11)</f>
        <v/>
      </c>
      <c r="Y11" s="7">
        <f>IF(X11="","",NORM.S.DIST(X11,TRUE))</f>
        <v/>
      </c>
      <c r="Z11" s="13">
        <f>IF(Y11="","",IF(Y11&lt;='组合输入'!$K6,"AAA",IF(Y11&lt;='组合输入'!$L6,"AA",IF(Y11&lt;='组合输入'!$M6,"A",IF(Y11&lt;='组合输入'!$N6,"BBB",IF(Y11&lt;='组合输入'!$O6,"BB",IF(Y11&lt;='组合输入'!$P6,"B",IF(Y11&lt;='组合输入'!$Q6,"CCC","D")))))))</f>
        <v/>
      </c>
      <c r="AA11" s="12">
        <f>IF(Z11="","",INDEX('状态价值'!$D6:$K6,MATCH(Z11,'状态价值'!$D$1:$K$1,0)))</f>
        <v/>
      </c>
      <c r="AB11" s="15">
        <f>NORM.S.INV(RAND())</f>
        <v/>
      </c>
      <c r="AC11" s="15">
        <f>IF('组合输入'!$C7="","",'组合输入'!$H7*$B11+SQRT(1-'组合输入'!$H7^2)*AB11)</f>
        <v/>
      </c>
      <c r="AD11" s="7">
        <f>IF(AC11="","",NORM.S.DIST(AC11,TRUE))</f>
        <v/>
      </c>
      <c r="AE11" s="13">
        <f>IF(AD11="","",IF(AD11&lt;='组合输入'!$K7,"AAA",IF(AD11&lt;='组合输入'!$L7,"AA",IF(AD11&lt;='组合输入'!$M7,"A",IF(AD11&lt;='组合输入'!$N7,"BBB",IF(AD11&lt;='组合输入'!$O7,"BB",IF(AD11&lt;='组合输入'!$P7,"B",IF(AD11&lt;='组合输入'!$Q7,"CCC","D")))))))</f>
        <v/>
      </c>
      <c r="AF11" s="12">
        <f>IF(AE11="","",INDEX('状态价值'!$D7:$K7,MATCH(AE11,'状态价值'!$D$1:$K$1,0)))</f>
        <v/>
      </c>
      <c r="AG11" s="15">
        <f>NORM.S.INV(RAND())</f>
        <v/>
      </c>
      <c r="AH11" s="15">
        <f>IF('组合输入'!$C8="","",'组合输入'!$H8*$B11+SQRT(1-'组合输入'!$H8^2)*AG11)</f>
        <v/>
      </c>
      <c r="AI11" s="7">
        <f>IF(AH11="","",NORM.S.DIST(AH11,TRUE))</f>
        <v/>
      </c>
      <c r="AJ11" s="13">
        <f>IF(AI11="","",IF(AI11&lt;='组合输入'!$K8,"AAA",IF(AI11&lt;='组合输入'!$L8,"AA",IF(AI11&lt;='组合输入'!$M8,"A",IF(AI11&lt;='组合输入'!$N8,"BBB",IF(AI11&lt;='组合输入'!$O8,"BB",IF(AI11&lt;='组合输入'!$P8,"B",IF(AI11&lt;='组合输入'!$Q8,"CCC","D")))))))</f>
        <v/>
      </c>
      <c r="AK11" s="12">
        <f>IF(AJ11="","",INDEX('状态价值'!$D8:$K8,MATCH(AJ11,'状态价值'!$D$1:$K$1,0)))</f>
        <v/>
      </c>
      <c r="AL11" s="15">
        <f>NORM.S.INV(RAND())</f>
        <v/>
      </c>
      <c r="AM11" s="15">
        <f>IF('组合输入'!$C9="","",'组合输入'!$H9*$B11+SQRT(1-'组合输入'!$H9^2)*AL11)</f>
        <v/>
      </c>
      <c r="AN11" s="7">
        <f>IF(AM11="","",NORM.S.DIST(AM11,TRUE))</f>
        <v/>
      </c>
      <c r="AO11" s="13">
        <f>IF(AN11="","",IF(AN11&lt;='组合输入'!$K9,"AAA",IF(AN11&lt;='组合输入'!$L9,"AA",IF(AN11&lt;='组合输入'!$M9,"A",IF(AN11&lt;='组合输入'!$N9,"BBB",IF(AN11&lt;='组合输入'!$O9,"BB",IF(AN11&lt;='组合输入'!$P9,"B",IF(AN11&lt;='组合输入'!$Q9,"CCC","D")))))))</f>
        <v/>
      </c>
      <c r="AP11" s="12">
        <f>IF(AO11="","",INDEX('状态价值'!$D9:$K9,MATCH(AO11,'状态价值'!$D$1:$K$1,0)))</f>
        <v/>
      </c>
      <c r="AQ11" s="15">
        <f>NORM.S.INV(RAND())</f>
        <v/>
      </c>
      <c r="AR11" s="15">
        <f>IF('组合输入'!$C10="","",'组合输入'!$H10*$B11+SQRT(1-'组合输入'!$H10^2)*AQ11)</f>
        <v/>
      </c>
      <c r="AS11" s="7">
        <f>IF(AR11="","",NORM.S.DIST(AR11,TRUE))</f>
        <v/>
      </c>
      <c r="AT11" s="13">
        <f>IF(AS11="","",IF(AS11&lt;='组合输入'!$K10,"AAA",IF(AS11&lt;='组合输入'!$L10,"AA",IF(AS11&lt;='组合输入'!$M10,"A",IF(AS11&lt;='组合输入'!$N10,"BBB",IF(AS11&lt;='组合输入'!$O10,"BB",IF(AS11&lt;='组合输入'!$P10,"B",IF(AS11&lt;='组合输入'!$Q10,"CCC","D")))))))</f>
        <v/>
      </c>
      <c r="AU11" s="12">
        <f>IF(AT11="","",INDEX('状态价值'!$D10:$K10,MATCH(AT11,'状态价值'!$D$1:$K$1,0)))</f>
        <v/>
      </c>
      <c r="AV11" s="15">
        <f>NORM.S.INV(RAND())</f>
        <v/>
      </c>
      <c r="AW11" s="15">
        <f>IF('组合输入'!$C11="","",'组合输入'!$H11*$B11+SQRT(1-'组合输入'!$H11^2)*AV11)</f>
        <v/>
      </c>
      <c r="AX11" s="7">
        <f>IF(AW11="","",NORM.S.DIST(AW11,TRUE))</f>
        <v/>
      </c>
      <c r="AY11" s="13">
        <f>IF(AX11="","",IF(AX11&lt;='组合输入'!$K11,"AAA",IF(AX11&lt;='组合输入'!$L11,"AA",IF(AX11&lt;='组合输入'!$M11,"A",IF(AX11&lt;='组合输入'!$N11,"BBB",IF(AX11&lt;='组合输入'!$O11,"BB",IF(AX11&lt;='组合输入'!$P11,"B",IF(AX11&lt;='组合输入'!$Q11,"CCC","D")))))))</f>
        <v/>
      </c>
      <c r="AZ11" s="12">
        <f>IF(AY11="","",INDEX('状态价值'!$D11:$K11,MATCH(AY11,'状态价值'!$D$1:$K$1,0)))</f>
        <v/>
      </c>
      <c r="BA11" s="12">
        <f>G11+L11+Q11+V11+AA11+AF11+AK11+AP11+AU11+AZ11</f>
        <v/>
      </c>
      <c r="BB11" s="12">
        <f>SUM('组合输入'!$J$2:$J$11)-BA11</f>
        <v/>
      </c>
    </row>
    <row r="12">
      <c r="A12" s="11" t="n">
        <v>11</v>
      </c>
      <c r="B12" s="14">
        <f>NORM.S.INV(RAND())</f>
        <v/>
      </c>
      <c r="C12" s="14">
        <f>NORM.S.INV(RAND())</f>
        <v/>
      </c>
      <c r="D12" s="15">
        <f>IF('组合输入'!$C2="","",'组合输入'!$H2*$B12+SQRT(1-'组合输入'!$H2^2)*C12)</f>
        <v/>
      </c>
      <c r="E12" s="7">
        <f>IF(D12="","",NORM.S.DIST(D12,TRUE))</f>
        <v/>
      </c>
      <c r="F12" s="13">
        <f>IF(E12="","",IF(E12&lt;='组合输入'!$K2,"AAA",IF(E12&lt;='组合输入'!$L2,"AA",IF(E12&lt;='组合输入'!$M2,"A",IF(E12&lt;='组合输入'!$N2,"BBB",IF(E12&lt;='组合输入'!$O2,"BB",IF(E12&lt;='组合输入'!$P2,"B",IF(E12&lt;='组合输入'!$Q2,"CCC","D")))))))</f>
        <v/>
      </c>
      <c r="G12" s="12">
        <f>IF(F12="","",INDEX('状态价值'!$D2:$K2,MATCH(F12,'状态价值'!$D$1:$K$1,0)))</f>
        <v/>
      </c>
      <c r="H12" s="15">
        <f>NORM.S.INV(RAND())</f>
        <v/>
      </c>
      <c r="I12" s="15">
        <f>IF('组合输入'!$C3="","",'组合输入'!$H3*$B12+SQRT(1-'组合输入'!$H3^2)*H12)</f>
        <v/>
      </c>
      <c r="J12" s="7">
        <f>IF(I12="","",NORM.S.DIST(I12,TRUE))</f>
        <v/>
      </c>
      <c r="K12" s="13">
        <f>IF(J12="","",IF(J12&lt;='组合输入'!$K3,"AAA",IF(J12&lt;='组合输入'!$L3,"AA",IF(J12&lt;='组合输入'!$M3,"A",IF(J12&lt;='组合输入'!$N3,"BBB",IF(J12&lt;='组合输入'!$O3,"BB",IF(J12&lt;='组合输入'!$P3,"B",IF(J12&lt;='组合输入'!$Q3,"CCC","D")))))))</f>
        <v/>
      </c>
      <c r="L12" s="12">
        <f>IF(K12="","",INDEX('状态价值'!$D3:$K3,MATCH(K12,'状态价值'!$D$1:$K$1,0)))</f>
        <v/>
      </c>
      <c r="M12" s="15">
        <f>NORM.S.INV(RAND())</f>
        <v/>
      </c>
      <c r="N12" s="15">
        <f>IF('组合输入'!$C4="","",'组合输入'!$H4*$B12+SQRT(1-'组合输入'!$H4^2)*M12)</f>
        <v/>
      </c>
      <c r="O12" s="7">
        <f>IF(N12="","",NORM.S.DIST(N12,TRUE))</f>
        <v/>
      </c>
      <c r="P12" s="13">
        <f>IF(O12="","",IF(O12&lt;='组合输入'!$K4,"AAA",IF(O12&lt;='组合输入'!$L4,"AA",IF(O12&lt;='组合输入'!$M4,"A",IF(O12&lt;='组合输入'!$N4,"BBB",IF(O12&lt;='组合输入'!$O4,"BB",IF(O12&lt;='组合输入'!$P4,"B",IF(O12&lt;='组合输入'!$Q4,"CCC","D")))))))</f>
        <v/>
      </c>
      <c r="Q12" s="12">
        <f>IF(P12="","",INDEX('状态价值'!$D4:$K4,MATCH(P12,'状态价值'!$D$1:$K$1,0)))</f>
        <v/>
      </c>
      <c r="R12" s="15">
        <f>NORM.S.INV(RAND())</f>
        <v/>
      </c>
      <c r="S12" s="15">
        <f>IF('组合输入'!$C5="","",'组合输入'!$H5*$B12+SQRT(1-'组合输入'!$H5^2)*R12)</f>
        <v/>
      </c>
      <c r="T12" s="7">
        <f>IF(S12="","",NORM.S.DIST(S12,TRUE))</f>
        <v/>
      </c>
      <c r="U12" s="13">
        <f>IF(T12="","",IF(T12&lt;='组合输入'!$K5,"AAA",IF(T12&lt;='组合输入'!$L5,"AA",IF(T12&lt;='组合输入'!$M5,"A",IF(T12&lt;='组合输入'!$N5,"BBB",IF(T12&lt;='组合输入'!$O5,"BB",IF(T12&lt;='组合输入'!$P5,"B",IF(T12&lt;='组合输入'!$Q5,"CCC","D")))))))</f>
        <v/>
      </c>
      <c r="V12" s="12">
        <f>IF(U12="","",INDEX('状态价值'!$D5:$K5,MATCH(U12,'状态价值'!$D$1:$K$1,0)))</f>
        <v/>
      </c>
      <c r="W12" s="15">
        <f>NORM.S.INV(RAND())</f>
        <v/>
      </c>
      <c r="X12" s="15">
        <f>IF('组合输入'!$C6="","",'组合输入'!$H6*$B12+SQRT(1-'组合输入'!$H6^2)*W12)</f>
        <v/>
      </c>
      <c r="Y12" s="7">
        <f>IF(X12="","",NORM.S.DIST(X12,TRUE))</f>
        <v/>
      </c>
      <c r="Z12" s="13">
        <f>IF(Y12="","",IF(Y12&lt;='组合输入'!$K6,"AAA",IF(Y12&lt;='组合输入'!$L6,"AA",IF(Y12&lt;='组合输入'!$M6,"A",IF(Y12&lt;='组合输入'!$N6,"BBB",IF(Y12&lt;='组合输入'!$O6,"BB",IF(Y12&lt;='组合输入'!$P6,"B",IF(Y12&lt;='组合输入'!$Q6,"CCC","D")))))))</f>
        <v/>
      </c>
      <c r="AA12" s="12">
        <f>IF(Z12="","",INDEX('状态价值'!$D6:$K6,MATCH(Z12,'状态价值'!$D$1:$K$1,0)))</f>
        <v/>
      </c>
      <c r="AB12" s="15">
        <f>NORM.S.INV(RAND())</f>
        <v/>
      </c>
      <c r="AC12" s="15">
        <f>IF('组合输入'!$C7="","",'组合输入'!$H7*$B12+SQRT(1-'组合输入'!$H7^2)*AB12)</f>
        <v/>
      </c>
      <c r="AD12" s="7">
        <f>IF(AC12="","",NORM.S.DIST(AC12,TRUE))</f>
        <v/>
      </c>
      <c r="AE12" s="13">
        <f>IF(AD12="","",IF(AD12&lt;='组合输入'!$K7,"AAA",IF(AD12&lt;='组合输入'!$L7,"AA",IF(AD12&lt;='组合输入'!$M7,"A",IF(AD12&lt;='组合输入'!$N7,"BBB",IF(AD12&lt;='组合输入'!$O7,"BB",IF(AD12&lt;='组合输入'!$P7,"B",IF(AD12&lt;='组合输入'!$Q7,"CCC","D")))))))</f>
        <v/>
      </c>
      <c r="AF12" s="12">
        <f>IF(AE12="","",INDEX('状态价值'!$D7:$K7,MATCH(AE12,'状态价值'!$D$1:$K$1,0)))</f>
        <v/>
      </c>
      <c r="AG12" s="15">
        <f>NORM.S.INV(RAND())</f>
        <v/>
      </c>
      <c r="AH12" s="15">
        <f>IF('组合输入'!$C8="","",'组合输入'!$H8*$B12+SQRT(1-'组合输入'!$H8^2)*AG12)</f>
        <v/>
      </c>
      <c r="AI12" s="7">
        <f>IF(AH12="","",NORM.S.DIST(AH12,TRUE))</f>
        <v/>
      </c>
      <c r="AJ12" s="13">
        <f>IF(AI12="","",IF(AI12&lt;='组合输入'!$K8,"AAA",IF(AI12&lt;='组合输入'!$L8,"AA",IF(AI12&lt;='组合输入'!$M8,"A",IF(AI12&lt;='组合输入'!$N8,"BBB",IF(AI12&lt;='组合输入'!$O8,"BB",IF(AI12&lt;='组合输入'!$P8,"B",IF(AI12&lt;='组合输入'!$Q8,"CCC","D")))))))</f>
        <v/>
      </c>
      <c r="AK12" s="12">
        <f>IF(AJ12="","",INDEX('状态价值'!$D8:$K8,MATCH(AJ12,'状态价值'!$D$1:$K$1,0)))</f>
        <v/>
      </c>
      <c r="AL12" s="15">
        <f>NORM.S.INV(RAND())</f>
        <v/>
      </c>
      <c r="AM12" s="15">
        <f>IF('组合输入'!$C9="","",'组合输入'!$H9*$B12+SQRT(1-'组合输入'!$H9^2)*AL12)</f>
        <v/>
      </c>
      <c r="AN12" s="7">
        <f>IF(AM12="","",NORM.S.DIST(AM12,TRUE))</f>
        <v/>
      </c>
      <c r="AO12" s="13">
        <f>IF(AN12="","",IF(AN12&lt;='组合输入'!$K9,"AAA",IF(AN12&lt;='组合输入'!$L9,"AA",IF(AN12&lt;='组合输入'!$M9,"A",IF(AN12&lt;='组合输入'!$N9,"BBB",IF(AN12&lt;='组合输入'!$O9,"BB",IF(AN12&lt;='组合输入'!$P9,"B",IF(AN12&lt;='组合输入'!$Q9,"CCC","D")))))))</f>
        <v/>
      </c>
      <c r="AP12" s="12">
        <f>IF(AO12="","",INDEX('状态价值'!$D9:$K9,MATCH(AO12,'状态价值'!$D$1:$K$1,0)))</f>
        <v/>
      </c>
      <c r="AQ12" s="15">
        <f>NORM.S.INV(RAND())</f>
        <v/>
      </c>
      <c r="AR12" s="15">
        <f>IF('组合输入'!$C10="","",'组合输入'!$H10*$B12+SQRT(1-'组合输入'!$H10^2)*AQ12)</f>
        <v/>
      </c>
      <c r="AS12" s="7">
        <f>IF(AR12="","",NORM.S.DIST(AR12,TRUE))</f>
        <v/>
      </c>
      <c r="AT12" s="13">
        <f>IF(AS12="","",IF(AS12&lt;='组合输入'!$K10,"AAA",IF(AS12&lt;='组合输入'!$L10,"AA",IF(AS12&lt;='组合输入'!$M10,"A",IF(AS12&lt;='组合输入'!$N10,"BBB",IF(AS12&lt;='组合输入'!$O10,"BB",IF(AS12&lt;='组合输入'!$P10,"B",IF(AS12&lt;='组合输入'!$Q10,"CCC","D")))))))</f>
        <v/>
      </c>
      <c r="AU12" s="12">
        <f>IF(AT12="","",INDEX('状态价值'!$D10:$K10,MATCH(AT12,'状态价值'!$D$1:$K$1,0)))</f>
        <v/>
      </c>
      <c r="AV12" s="15">
        <f>NORM.S.INV(RAND())</f>
        <v/>
      </c>
      <c r="AW12" s="15">
        <f>IF('组合输入'!$C11="","",'组合输入'!$H11*$B12+SQRT(1-'组合输入'!$H11^2)*AV12)</f>
        <v/>
      </c>
      <c r="AX12" s="7">
        <f>IF(AW12="","",NORM.S.DIST(AW12,TRUE))</f>
        <v/>
      </c>
      <c r="AY12" s="13">
        <f>IF(AX12="","",IF(AX12&lt;='组合输入'!$K11,"AAA",IF(AX12&lt;='组合输入'!$L11,"AA",IF(AX12&lt;='组合输入'!$M11,"A",IF(AX12&lt;='组合输入'!$N11,"BBB",IF(AX12&lt;='组合输入'!$O11,"BB",IF(AX12&lt;='组合输入'!$P11,"B",IF(AX12&lt;='组合输入'!$Q11,"CCC","D")))))))</f>
        <v/>
      </c>
      <c r="AZ12" s="12">
        <f>IF(AY12="","",INDEX('状态价值'!$D11:$K11,MATCH(AY12,'状态价值'!$D$1:$K$1,0)))</f>
        <v/>
      </c>
      <c r="BA12" s="12">
        <f>G12+L12+Q12+V12+AA12+AF12+AK12+AP12+AU12+AZ12</f>
        <v/>
      </c>
      <c r="BB12" s="12">
        <f>SUM('组合输入'!$J$2:$J$11)-BA12</f>
        <v/>
      </c>
    </row>
    <row r="13">
      <c r="A13" s="11" t="n">
        <v>12</v>
      </c>
      <c r="B13" s="14">
        <f>NORM.S.INV(RAND())</f>
        <v/>
      </c>
      <c r="C13" s="14">
        <f>NORM.S.INV(RAND())</f>
        <v/>
      </c>
      <c r="D13" s="15">
        <f>IF('组合输入'!$C2="","",'组合输入'!$H2*$B13+SQRT(1-'组合输入'!$H2^2)*C13)</f>
        <v/>
      </c>
      <c r="E13" s="7">
        <f>IF(D13="","",NORM.S.DIST(D13,TRUE))</f>
        <v/>
      </c>
      <c r="F13" s="13">
        <f>IF(E13="","",IF(E13&lt;='组合输入'!$K2,"AAA",IF(E13&lt;='组合输入'!$L2,"AA",IF(E13&lt;='组合输入'!$M2,"A",IF(E13&lt;='组合输入'!$N2,"BBB",IF(E13&lt;='组合输入'!$O2,"BB",IF(E13&lt;='组合输入'!$P2,"B",IF(E13&lt;='组合输入'!$Q2,"CCC","D")))))))</f>
        <v/>
      </c>
      <c r="G13" s="12">
        <f>IF(F13="","",INDEX('状态价值'!$D2:$K2,MATCH(F13,'状态价值'!$D$1:$K$1,0)))</f>
        <v/>
      </c>
      <c r="H13" s="15">
        <f>NORM.S.INV(RAND())</f>
        <v/>
      </c>
      <c r="I13" s="15">
        <f>IF('组合输入'!$C3="","",'组合输入'!$H3*$B13+SQRT(1-'组合输入'!$H3^2)*H13)</f>
        <v/>
      </c>
      <c r="J13" s="7">
        <f>IF(I13="","",NORM.S.DIST(I13,TRUE))</f>
        <v/>
      </c>
      <c r="K13" s="13">
        <f>IF(J13="","",IF(J13&lt;='组合输入'!$K3,"AAA",IF(J13&lt;='组合输入'!$L3,"AA",IF(J13&lt;='组合输入'!$M3,"A",IF(J13&lt;='组合输入'!$N3,"BBB",IF(J13&lt;='组合输入'!$O3,"BB",IF(J13&lt;='组合输入'!$P3,"B",IF(J13&lt;='组合输入'!$Q3,"CCC","D")))))))</f>
        <v/>
      </c>
      <c r="L13" s="12">
        <f>IF(K13="","",INDEX('状态价值'!$D3:$K3,MATCH(K13,'状态价值'!$D$1:$K$1,0)))</f>
        <v/>
      </c>
      <c r="M13" s="15">
        <f>NORM.S.INV(RAND())</f>
        <v/>
      </c>
      <c r="N13" s="15">
        <f>IF('组合输入'!$C4="","",'组合输入'!$H4*$B13+SQRT(1-'组合输入'!$H4^2)*M13)</f>
        <v/>
      </c>
      <c r="O13" s="7">
        <f>IF(N13="","",NORM.S.DIST(N13,TRUE))</f>
        <v/>
      </c>
      <c r="P13" s="13">
        <f>IF(O13="","",IF(O13&lt;='组合输入'!$K4,"AAA",IF(O13&lt;='组合输入'!$L4,"AA",IF(O13&lt;='组合输入'!$M4,"A",IF(O13&lt;='组合输入'!$N4,"BBB",IF(O13&lt;='组合输入'!$O4,"BB",IF(O13&lt;='组合输入'!$P4,"B",IF(O13&lt;='组合输入'!$Q4,"CCC","D")))))))</f>
        <v/>
      </c>
      <c r="Q13" s="12">
        <f>IF(P13="","",INDEX('状态价值'!$D4:$K4,MATCH(P13,'状态价值'!$D$1:$K$1,0)))</f>
        <v/>
      </c>
      <c r="R13" s="15">
        <f>NORM.S.INV(RAND())</f>
        <v/>
      </c>
      <c r="S13" s="15">
        <f>IF('组合输入'!$C5="","",'组合输入'!$H5*$B13+SQRT(1-'组合输入'!$H5^2)*R13)</f>
        <v/>
      </c>
      <c r="T13" s="7">
        <f>IF(S13="","",NORM.S.DIST(S13,TRUE))</f>
        <v/>
      </c>
      <c r="U13" s="13">
        <f>IF(T13="","",IF(T13&lt;='组合输入'!$K5,"AAA",IF(T13&lt;='组合输入'!$L5,"AA",IF(T13&lt;='组合输入'!$M5,"A",IF(T13&lt;='组合输入'!$N5,"BBB",IF(T13&lt;='组合输入'!$O5,"BB",IF(T13&lt;='组合输入'!$P5,"B",IF(T13&lt;='组合输入'!$Q5,"CCC","D")))))))</f>
        <v/>
      </c>
      <c r="V13" s="12">
        <f>IF(U13="","",INDEX('状态价值'!$D5:$K5,MATCH(U13,'状态价值'!$D$1:$K$1,0)))</f>
        <v/>
      </c>
      <c r="W13" s="15">
        <f>NORM.S.INV(RAND())</f>
        <v/>
      </c>
      <c r="X13" s="15">
        <f>IF('组合输入'!$C6="","",'组合输入'!$H6*$B13+SQRT(1-'组合输入'!$H6^2)*W13)</f>
        <v/>
      </c>
      <c r="Y13" s="7">
        <f>IF(X13="","",NORM.S.DIST(X13,TRUE))</f>
        <v/>
      </c>
      <c r="Z13" s="13">
        <f>IF(Y13="","",IF(Y13&lt;='组合输入'!$K6,"AAA",IF(Y13&lt;='组合输入'!$L6,"AA",IF(Y13&lt;='组合输入'!$M6,"A",IF(Y13&lt;='组合输入'!$N6,"BBB",IF(Y13&lt;='组合输入'!$O6,"BB",IF(Y13&lt;='组合输入'!$P6,"B",IF(Y13&lt;='组合输入'!$Q6,"CCC","D")))))))</f>
        <v/>
      </c>
      <c r="AA13" s="12">
        <f>IF(Z13="","",INDEX('状态价值'!$D6:$K6,MATCH(Z13,'状态价值'!$D$1:$K$1,0)))</f>
        <v/>
      </c>
      <c r="AB13" s="15">
        <f>NORM.S.INV(RAND())</f>
        <v/>
      </c>
      <c r="AC13" s="15">
        <f>IF('组合输入'!$C7="","",'组合输入'!$H7*$B13+SQRT(1-'组合输入'!$H7^2)*AB13)</f>
        <v/>
      </c>
      <c r="AD13" s="7">
        <f>IF(AC13="","",NORM.S.DIST(AC13,TRUE))</f>
        <v/>
      </c>
      <c r="AE13" s="13">
        <f>IF(AD13="","",IF(AD13&lt;='组合输入'!$K7,"AAA",IF(AD13&lt;='组合输入'!$L7,"AA",IF(AD13&lt;='组合输入'!$M7,"A",IF(AD13&lt;='组合输入'!$N7,"BBB",IF(AD13&lt;='组合输入'!$O7,"BB",IF(AD13&lt;='组合输入'!$P7,"B",IF(AD13&lt;='组合输入'!$Q7,"CCC","D")))))))</f>
        <v/>
      </c>
      <c r="AF13" s="12">
        <f>IF(AE13="","",INDEX('状态价值'!$D7:$K7,MATCH(AE13,'状态价值'!$D$1:$K$1,0)))</f>
        <v/>
      </c>
      <c r="AG13" s="15">
        <f>NORM.S.INV(RAND())</f>
        <v/>
      </c>
      <c r="AH13" s="15">
        <f>IF('组合输入'!$C8="","",'组合输入'!$H8*$B13+SQRT(1-'组合输入'!$H8^2)*AG13)</f>
        <v/>
      </c>
      <c r="AI13" s="7">
        <f>IF(AH13="","",NORM.S.DIST(AH13,TRUE))</f>
        <v/>
      </c>
      <c r="AJ13" s="13">
        <f>IF(AI13="","",IF(AI13&lt;='组合输入'!$K8,"AAA",IF(AI13&lt;='组合输入'!$L8,"AA",IF(AI13&lt;='组合输入'!$M8,"A",IF(AI13&lt;='组合输入'!$N8,"BBB",IF(AI13&lt;='组合输入'!$O8,"BB",IF(AI13&lt;='组合输入'!$P8,"B",IF(AI13&lt;='组合输入'!$Q8,"CCC","D")))))))</f>
        <v/>
      </c>
      <c r="AK13" s="12">
        <f>IF(AJ13="","",INDEX('状态价值'!$D8:$K8,MATCH(AJ13,'状态价值'!$D$1:$K$1,0)))</f>
        <v/>
      </c>
      <c r="AL13" s="15">
        <f>NORM.S.INV(RAND())</f>
        <v/>
      </c>
      <c r="AM13" s="15">
        <f>IF('组合输入'!$C9="","",'组合输入'!$H9*$B13+SQRT(1-'组合输入'!$H9^2)*AL13)</f>
        <v/>
      </c>
      <c r="AN13" s="7">
        <f>IF(AM13="","",NORM.S.DIST(AM13,TRUE))</f>
        <v/>
      </c>
      <c r="AO13" s="13">
        <f>IF(AN13="","",IF(AN13&lt;='组合输入'!$K9,"AAA",IF(AN13&lt;='组合输入'!$L9,"AA",IF(AN13&lt;='组合输入'!$M9,"A",IF(AN13&lt;='组合输入'!$N9,"BBB",IF(AN13&lt;='组合输入'!$O9,"BB",IF(AN13&lt;='组合输入'!$P9,"B",IF(AN13&lt;='组合输入'!$Q9,"CCC","D")))))))</f>
        <v/>
      </c>
      <c r="AP13" s="12">
        <f>IF(AO13="","",INDEX('状态价值'!$D9:$K9,MATCH(AO13,'状态价值'!$D$1:$K$1,0)))</f>
        <v/>
      </c>
      <c r="AQ13" s="15">
        <f>NORM.S.INV(RAND())</f>
        <v/>
      </c>
      <c r="AR13" s="15">
        <f>IF('组合输入'!$C10="","",'组合输入'!$H10*$B13+SQRT(1-'组合输入'!$H10^2)*AQ13)</f>
        <v/>
      </c>
      <c r="AS13" s="7">
        <f>IF(AR13="","",NORM.S.DIST(AR13,TRUE))</f>
        <v/>
      </c>
      <c r="AT13" s="13">
        <f>IF(AS13="","",IF(AS13&lt;='组合输入'!$K10,"AAA",IF(AS13&lt;='组合输入'!$L10,"AA",IF(AS13&lt;='组合输入'!$M10,"A",IF(AS13&lt;='组合输入'!$N10,"BBB",IF(AS13&lt;='组合输入'!$O10,"BB",IF(AS13&lt;='组合输入'!$P10,"B",IF(AS13&lt;='组合输入'!$Q10,"CCC","D")))))))</f>
        <v/>
      </c>
      <c r="AU13" s="12">
        <f>IF(AT13="","",INDEX('状态价值'!$D10:$K10,MATCH(AT13,'状态价值'!$D$1:$K$1,0)))</f>
        <v/>
      </c>
      <c r="AV13" s="15">
        <f>NORM.S.INV(RAND())</f>
        <v/>
      </c>
      <c r="AW13" s="15">
        <f>IF('组合输入'!$C11="","",'组合输入'!$H11*$B13+SQRT(1-'组合输入'!$H11^2)*AV13)</f>
        <v/>
      </c>
      <c r="AX13" s="7">
        <f>IF(AW13="","",NORM.S.DIST(AW13,TRUE))</f>
        <v/>
      </c>
      <c r="AY13" s="13">
        <f>IF(AX13="","",IF(AX13&lt;='组合输入'!$K11,"AAA",IF(AX13&lt;='组合输入'!$L11,"AA",IF(AX13&lt;='组合输入'!$M11,"A",IF(AX13&lt;='组合输入'!$N11,"BBB",IF(AX13&lt;='组合输入'!$O11,"BB",IF(AX13&lt;='组合输入'!$P11,"B",IF(AX13&lt;='组合输入'!$Q11,"CCC","D")))))))</f>
        <v/>
      </c>
      <c r="AZ13" s="12">
        <f>IF(AY13="","",INDEX('状态价值'!$D11:$K11,MATCH(AY13,'状态价值'!$D$1:$K$1,0)))</f>
        <v/>
      </c>
      <c r="BA13" s="12">
        <f>G13+L13+Q13+V13+AA13+AF13+AK13+AP13+AU13+AZ13</f>
        <v/>
      </c>
      <c r="BB13" s="12">
        <f>SUM('组合输入'!$J$2:$J$11)-BA13</f>
        <v/>
      </c>
    </row>
    <row r="14">
      <c r="A14" s="11" t="n">
        <v>13</v>
      </c>
      <c r="B14" s="14">
        <f>NORM.S.INV(RAND())</f>
        <v/>
      </c>
      <c r="C14" s="14">
        <f>NORM.S.INV(RAND())</f>
        <v/>
      </c>
      <c r="D14" s="15">
        <f>IF('组合输入'!$C2="","",'组合输入'!$H2*$B14+SQRT(1-'组合输入'!$H2^2)*C14)</f>
        <v/>
      </c>
      <c r="E14" s="7">
        <f>IF(D14="","",NORM.S.DIST(D14,TRUE))</f>
        <v/>
      </c>
      <c r="F14" s="13">
        <f>IF(E14="","",IF(E14&lt;='组合输入'!$K2,"AAA",IF(E14&lt;='组合输入'!$L2,"AA",IF(E14&lt;='组合输入'!$M2,"A",IF(E14&lt;='组合输入'!$N2,"BBB",IF(E14&lt;='组合输入'!$O2,"BB",IF(E14&lt;='组合输入'!$P2,"B",IF(E14&lt;='组合输入'!$Q2,"CCC","D")))))))</f>
        <v/>
      </c>
      <c r="G14" s="12">
        <f>IF(F14="","",INDEX('状态价值'!$D2:$K2,MATCH(F14,'状态价值'!$D$1:$K$1,0)))</f>
        <v/>
      </c>
      <c r="H14" s="15">
        <f>NORM.S.INV(RAND())</f>
        <v/>
      </c>
      <c r="I14" s="15">
        <f>IF('组合输入'!$C3="","",'组合输入'!$H3*$B14+SQRT(1-'组合输入'!$H3^2)*H14)</f>
        <v/>
      </c>
      <c r="J14" s="7">
        <f>IF(I14="","",NORM.S.DIST(I14,TRUE))</f>
        <v/>
      </c>
      <c r="K14" s="13">
        <f>IF(J14="","",IF(J14&lt;='组合输入'!$K3,"AAA",IF(J14&lt;='组合输入'!$L3,"AA",IF(J14&lt;='组合输入'!$M3,"A",IF(J14&lt;='组合输入'!$N3,"BBB",IF(J14&lt;='组合输入'!$O3,"BB",IF(J14&lt;='组合输入'!$P3,"B",IF(J14&lt;='组合输入'!$Q3,"CCC","D")))))))</f>
        <v/>
      </c>
      <c r="L14" s="12">
        <f>IF(K14="","",INDEX('状态价值'!$D3:$K3,MATCH(K14,'状态价值'!$D$1:$K$1,0)))</f>
        <v/>
      </c>
      <c r="M14" s="15">
        <f>NORM.S.INV(RAND())</f>
        <v/>
      </c>
      <c r="N14" s="15">
        <f>IF('组合输入'!$C4="","",'组合输入'!$H4*$B14+SQRT(1-'组合输入'!$H4^2)*M14)</f>
        <v/>
      </c>
      <c r="O14" s="7">
        <f>IF(N14="","",NORM.S.DIST(N14,TRUE))</f>
        <v/>
      </c>
      <c r="P14" s="13">
        <f>IF(O14="","",IF(O14&lt;='组合输入'!$K4,"AAA",IF(O14&lt;='组合输入'!$L4,"AA",IF(O14&lt;='组合输入'!$M4,"A",IF(O14&lt;='组合输入'!$N4,"BBB",IF(O14&lt;='组合输入'!$O4,"BB",IF(O14&lt;='组合输入'!$P4,"B",IF(O14&lt;='组合输入'!$Q4,"CCC","D")))))))</f>
        <v/>
      </c>
      <c r="Q14" s="12">
        <f>IF(P14="","",INDEX('状态价值'!$D4:$K4,MATCH(P14,'状态价值'!$D$1:$K$1,0)))</f>
        <v/>
      </c>
      <c r="R14" s="15">
        <f>NORM.S.INV(RAND())</f>
        <v/>
      </c>
      <c r="S14" s="15">
        <f>IF('组合输入'!$C5="","",'组合输入'!$H5*$B14+SQRT(1-'组合输入'!$H5^2)*R14)</f>
        <v/>
      </c>
      <c r="T14" s="7">
        <f>IF(S14="","",NORM.S.DIST(S14,TRUE))</f>
        <v/>
      </c>
      <c r="U14" s="13">
        <f>IF(T14="","",IF(T14&lt;='组合输入'!$K5,"AAA",IF(T14&lt;='组合输入'!$L5,"AA",IF(T14&lt;='组合输入'!$M5,"A",IF(T14&lt;='组合输入'!$N5,"BBB",IF(T14&lt;='组合输入'!$O5,"BB",IF(T14&lt;='组合输入'!$P5,"B",IF(T14&lt;='组合输入'!$Q5,"CCC","D")))))))</f>
        <v/>
      </c>
      <c r="V14" s="12">
        <f>IF(U14="","",INDEX('状态价值'!$D5:$K5,MATCH(U14,'状态价值'!$D$1:$K$1,0)))</f>
        <v/>
      </c>
      <c r="W14" s="15">
        <f>NORM.S.INV(RAND())</f>
        <v/>
      </c>
      <c r="X14" s="15">
        <f>IF('组合输入'!$C6="","",'组合输入'!$H6*$B14+SQRT(1-'组合输入'!$H6^2)*W14)</f>
        <v/>
      </c>
      <c r="Y14" s="7">
        <f>IF(X14="","",NORM.S.DIST(X14,TRUE))</f>
        <v/>
      </c>
      <c r="Z14" s="13">
        <f>IF(Y14="","",IF(Y14&lt;='组合输入'!$K6,"AAA",IF(Y14&lt;='组合输入'!$L6,"AA",IF(Y14&lt;='组合输入'!$M6,"A",IF(Y14&lt;='组合输入'!$N6,"BBB",IF(Y14&lt;='组合输入'!$O6,"BB",IF(Y14&lt;='组合输入'!$P6,"B",IF(Y14&lt;='组合输入'!$Q6,"CCC","D")))))))</f>
        <v/>
      </c>
      <c r="AA14" s="12">
        <f>IF(Z14="","",INDEX('状态价值'!$D6:$K6,MATCH(Z14,'状态价值'!$D$1:$K$1,0)))</f>
        <v/>
      </c>
      <c r="AB14" s="15">
        <f>NORM.S.INV(RAND())</f>
        <v/>
      </c>
      <c r="AC14" s="15">
        <f>IF('组合输入'!$C7="","",'组合输入'!$H7*$B14+SQRT(1-'组合输入'!$H7^2)*AB14)</f>
        <v/>
      </c>
      <c r="AD14" s="7">
        <f>IF(AC14="","",NORM.S.DIST(AC14,TRUE))</f>
        <v/>
      </c>
      <c r="AE14" s="13">
        <f>IF(AD14="","",IF(AD14&lt;='组合输入'!$K7,"AAA",IF(AD14&lt;='组合输入'!$L7,"AA",IF(AD14&lt;='组合输入'!$M7,"A",IF(AD14&lt;='组合输入'!$N7,"BBB",IF(AD14&lt;='组合输入'!$O7,"BB",IF(AD14&lt;='组合输入'!$P7,"B",IF(AD14&lt;='组合输入'!$Q7,"CCC","D")))))))</f>
        <v/>
      </c>
      <c r="AF14" s="12">
        <f>IF(AE14="","",INDEX('状态价值'!$D7:$K7,MATCH(AE14,'状态价值'!$D$1:$K$1,0)))</f>
        <v/>
      </c>
      <c r="AG14" s="15">
        <f>NORM.S.INV(RAND())</f>
        <v/>
      </c>
      <c r="AH14" s="15">
        <f>IF('组合输入'!$C8="","",'组合输入'!$H8*$B14+SQRT(1-'组合输入'!$H8^2)*AG14)</f>
        <v/>
      </c>
      <c r="AI14" s="7">
        <f>IF(AH14="","",NORM.S.DIST(AH14,TRUE))</f>
        <v/>
      </c>
      <c r="AJ14" s="13">
        <f>IF(AI14="","",IF(AI14&lt;='组合输入'!$K8,"AAA",IF(AI14&lt;='组合输入'!$L8,"AA",IF(AI14&lt;='组合输入'!$M8,"A",IF(AI14&lt;='组合输入'!$N8,"BBB",IF(AI14&lt;='组合输入'!$O8,"BB",IF(AI14&lt;='组合输入'!$P8,"B",IF(AI14&lt;='组合输入'!$Q8,"CCC","D")))))))</f>
        <v/>
      </c>
      <c r="AK14" s="12">
        <f>IF(AJ14="","",INDEX('状态价值'!$D8:$K8,MATCH(AJ14,'状态价值'!$D$1:$K$1,0)))</f>
        <v/>
      </c>
      <c r="AL14" s="15">
        <f>NORM.S.INV(RAND())</f>
        <v/>
      </c>
      <c r="AM14" s="15">
        <f>IF('组合输入'!$C9="","",'组合输入'!$H9*$B14+SQRT(1-'组合输入'!$H9^2)*AL14)</f>
        <v/>
      </c>
      <c r="AN14" s="7">
        <f>IF(AM14="","",NORM.S.DIST(AM14,TRUE))</f>
        <v/>
      </c>
      <c r="AO14" s="13">
        <f>IF(AN14="","",IF(AN14&lt;='组合输入'!$K9,"AAA",IF(AN14&lt;='组合输入'!$L9,"AA",IF(AN14&lt;='组合输入'!$M9,"A",IF(AN14&lt;='组合输入'!$N9,"BBB",IF(AN14&lt;='组合输入'!$O9,"BB",IF(AN14&lt;='组合输入'!$P9,"B",IF(AN14&lt;='组合输入'!$Q9,"CCC","D")))))))</f>
        <v/>
      </c>
      <c r="AP14" s="12">
        <f>IF(AO14="","",INDEX('状态价值'!$D9:$K9,MATCH(AO14,'状态价值'!$D$1:$K$1,0)))</f>
        <v/>
      </c>
      <c r="AQ14" s="15">
        <f>NORM.S.INV(RAND())</f>
        <v/>
      </c>
      <c r="AR14" s="15">
        <f>IF('组合输入'!$C10="","",'组合输入'!$H10*$B14+SQRT(1-'组合输入'!$H10^2)*AQ14)</f>
        <v/>
      </c>
      <c r="AS14" s="7">
        <f>IF(AR14="","",NORM.S.DIST(AR14,TRUE))</f>
        <v/>
      </c>
      <c r="AT14" s="13">
        <f>IF(AS14="","",IF(AS14&lt;='组合输入'!$K10,"AAA",IF(AS14&lt;='组合输入'!$L10,"AA",IF(AS14&lt;='组合输入'!$M10,"A",IF(AS14&lt;='组合输入'!$N10,"BBB",IF(AS14&lt;='组合输入'!$O10,"BB",IF(AS14&lt;='组合输入'!$P10,"B",IF(AS14&lt;='组合输入'!$Q10,"CCC","D")))))))</f>
        <v/>
      </c>
      <c r="AU14" s="12">
        <f>IF(AT14="","",INDEX('状态价值'!$D10:$K10,MATCH(AT14,'状态价值'!$D$1:$K$1,0)))</f>
        <v/>
      </c>
      <c r="AV14" s="15">
        <f>NORM.S.INV(RAND())</f>
        <v/>
      </c>
      <c r="AW14" s="15">
        <f>IF('组合输入'!$C11="","",'组合输入'!$H11*$B14+SQRT(1-'组合输入'!$H11^2)*AV14)</f>
        <v/>
      </c>
      <c r="AX14" s="7">
        <f>IF(AW14="","",NORM.S.DIST(AW14,TRUE))</f>
        <v/>
      </c>
      <c r="AY14" s="13">
        <f>IF(AX14="","",IF(AX14&lt;='组合输入'!$K11,"AAA",IF(AX14&lt;='组合输入'!$L11,"AA",IF(AX14&lt;='组合输入'!$M11,"A",IF(AX14&lt;='组合输入'!$N11,"BBB",IF(AX14&lt;='组合输入'!$O11,"BB",IF(AX14&lt;='组合输入'!$P11,"B",IF(AX14&lt;='组合输入'!$Q11,"CCC","D")))))))</f>
        <v/>
      </c>
      <c r="AZ14" s="12">
        <f>IF(AY14="","",INDEX('状态价值'!$D11:$K11,MATCH(AY14,'状态价值'!$D$1:$K$1,0)))</f>
        <v/>
      </c>
      <c r="BA14" s="12">
        <f>G14+L14+Q14+V14+AA14+AF14+AK14+AP14+AU14+AZ14</f>
        <v/>
      </c>
      <c r="BB14" s="12">
        <f>SUM('组合输入'!$J$2:$J$11)-BA14</f>
        <v/>
      </c>
    </row>
    <row r="15">
      <c r="A15" s="11" t="n">
        <v>14</v>
      </c>
      <c r="B15" s="14">
        <f>NORM.S.INV(RAND())</f>
        <v/>
      </c>
      <c r="C15" s="14">
        <f>NORM.S.INV(RAND())</f>
        <v/>
      </c>
      <c r="D15" s="15">
        <f>IF('组合输入'!$C2="","",'组合输入'!$H2*$B15+SQRT(1-'组合输入'!$H2^2)*C15)</f>
        <v/>
      </c>
      <c r="E15" s="7">
        <f>IF(D15="","",NORM.S.DIST(D15,TRUE))</f>
        <v/>
      </c>
      <c r="F15" s="13">
        <f>IF(E15="","",IF(E15&lt;='组合输入'!$K2,"AAA",IF(E15&lt;='组合输入'!$L2,"AA",IF(E15&lt;='组合输入'!$M2,"A",IF(E15&lt;='组合输入'!$N2,"BBB",IF(E15&lt;='组合输入'!$O2,"BB",IF(E15&lt;='组合输入'!$P2,"B",IF(E15&lt;='组合输入'!$Q2,"CCC","D")))))))</f>
        <v/>
      </c>
      <c r="G15" s="12">
        <f>IF(F15="","",INDEX('状态价值'!$D2:$K2,MATCH(F15,'状态价值'!$D$1:$K$1,0)))</f>
        <v/>
      </c>
      <c r="H15" s="15">
        <f>NORM.S.INV(RAND())</f>
        <v/>
      </c>
      <c r="I15" s="15">
        <f>IF('组合输入'!$C3="","",'组合输入'!$H3*$B15+SQRT(1-'组合输入'!$H3^2)*H15)</f>
        <v/>
      </c>
      <c r="J15" s="7">
        <f>IF(I15="","",NORM.S.DIST(I15,TRUE))</f>
        <v/>
      </c>
      <c r="K15" s="13">
        <f>IF(J15="","",IF(J15&lt;='组合输入'!$K3,"AAA",IF(J15&lt;='组合输入'!$L3,"AA",IF(J15&lt;='组合输入'!$M3,"A",IF(J15&lt;='组合输入'!$N3,"BBB",IF(J15&lt;='组合输入'!$O3,"BB",IF(J15&lt;='组合输入'!$P3,"B",IF(J15&lt;='组合输入'!$Q3,"CCC","D")))))))</f>
        <v/>
      </c>
      <c r="L15" s="12">
        <f>IF(K15="","",INDEX('状态价值'!$D3:$K3,MATCH(K15,'状态价值'!$D$1:$K$1,0)))</f>
        <v/>
      </c>
      <c r="M15" s="15">
        <f>NORM.S.INV(RAND())</f>
        <v/>
      </c>
      <c r="N15" s="15">
        <f>IF('组合输入'!$C4="","",'组合输入'!$H4*$B15+SQRT(1-'组合输入'!$H4^2)*M15)</f>
        <v/>
      </c>
      <c r="O15" s="7">
        <f>IF(N15="","",NORM.S.DIST(N15,TRUE))</f>
        <v/>
      </c>
      <c r="P15" s="13">
        <f>IF(O15="","",IF(O15&lt;='组合输入'!$K4,"AAA",IF(O15&lt;='组合输入'!$L4,"AA",IF(O15&lt;='组合输入'!$M4,"A",IF(O15&lt;='组合输入'!$N4,"BBB",IF(O15&lt;='组合输入'!$O4,"BB",IF(O15&lt;='组合输入'!$P4,"B",IF(O15&lt;='组合输入'!$Q4,"CCC","D")))))))</f>
        <v/>
      </c>
      <c r="Q15" s="12">
        <f>IF(P15="","",INDEX('状态价值'!$D4:$K4,MATCH(P15,'状态价值'!$D$1:$K$1,0)))</f>
        <v/>
      </c>
      <c r="R15" s="15">
        <f>NORM.S.INV(RAND())</f>
        <v/>
      </c>
      <c r="S15" s="15">
        <f>IF('组合输入'!$C5="","",'组合输入'!$H5*$B15+SQRT(1-'组合输入'!$H5^2)*R15)</f>
        <v/>
      </c>
      <c r="T15" s="7">
        <f>IF(S15="","",NORM.S.DIST(S15,TRUE))</f>
        <v/>
      </c>
      <c r="U15" s="13">
        <f>IF(T15="","",IF(T15&lt;='组合输入'!$K5,"AAA",IF(T15&lt;='组合输入'!$L5,"AA",IF(T15&lt;='组合输入'!$M5,"A",IF(T15&lt;='组合输入'!$N5,"BBB",IF(T15&lt;='组合输入'!$O5,"BB",IF(T15&lt;='组合输入'!$P5,"B",IF(T15&lt;='组合输入'!$Q5,"CCC","D")))))))</f>
        <v/>
      </c>
      <c r="V15" s="12">
        <f>IF(U15="","",INDEX('状态价值'!$D5:$K5,MATCH(U15,'状态价值'!$D$1:$K$1,0)))</f>
        <v/>
      </c>
      <c r="W15" s="15">
        <f>NORM.S.INV(RAND())</f>
        <v/>
      </c>
      <c r="X15" s="15">
        <f>IF('组合输入'!$C6="","",'组合输入'!$H6*$B15+SQRT(1-'组合输入'!$H6^2)*W15)</f>
        <v/>
      </c>
      <c r="Y15" s="7">
        <f>IF(X15="","",NORM.S.DIST(X15,TRUE))</f>
        <v/>
      </c>
      <c r="Z15" s="13">
        <f>IF(Y15="","",IF(Y15&lt;='组合输入'!$K6,"AAA",IF(Y15&lt;='组合输入'!$L6,"AA",IF(Y15&lt;='组合输入'!$M6,"A",IF(Y15&lt;='组合输入'!$N6,"BBB",IF(Y15&lt;='组合输入'!$O6,"BB",IF(Y15&lt;='组合输入'!$P6,"B",IF(Y15&lt;='组合输入'!$Q6,"CCC","D")))))))</f>
        <v/>
      </c>
      <c r="AA15" s="12">
        <f>IF(Z15="","",INDEX('状态价值'!$D6:$K6,MATCH(Z15,'状态价值'!$D$1:$K$1,0)))</f>
        <v/>
      </c>
      <c r="AB15" s="15">
        <f>NORM.S.INV(RAND())</f>
        <v/>
      </c>
      <c r="AC15" s="15">
        <f>IF('组合输入'!$C7="","",'组合输入'!$H7*$B15+SQRT(1-'组合输入'!$H7^2)*AB15)</f>
        <v/>
      </c>
      <c r="AD15" s="7">
        <f>IF(AC15="","",NORM.S.DIST(AC15,TRUE))</f>
        <v/>
      </c>
      <c r="AE15" s="13">
        <f>IF(AD15="","",IF(AD15&lt;='组合输入'!$K7,"AAA",IF(AD15&lt;='组合输入'!$L7,"AA",IF(AD15&lt;='组合输入'!$M7,"A",IF(AD15&lt;='组合输入'!$N7,"BBB",IF(AD15&lt;='组合输入'!$O7,"BB",IF(AD15&lt;='组合输入'!$P7,"B",IF(AD15&lt;='组合输入'!$Q7,"CCC","D")))))))</f>
        <v/>
      </c>
      <c r="AF15" s="12">
        <f>IF(AE15="","",INDEX('状态价值'!$D7:$K7,MATCH(AE15,'状态价值'!$D$1:$K$1,0)))</f>
        <v/>
      </c>
      <c r="AG15" s="15">
        <f>NORM.S.INV(RAND())</f>
        <v/>
      </c>
      <c r="AH15" s="15">
        <f>IF('组合输入'!$C8="","",'组合输入'!$H8*$B15+SQRT(1-'组合输入'!$H8^2)*AG15)</f>
        <v/>
      </c>
      <c r="AI15" s="7">
        <f>IF(AH15="","",NORM.S.DIST(AH15,TRUE))</f>
        <v/>
      </c>
      <c r="AJ15" s="13">
        <f>IF(AI15="","",IF(AI15&lt;='组合输入'!$K8,"AAA",IF(AI15&lt;='组合输入'!$L8,"AA",IF(AI15&lt;='组合输入'!$M8,"A",IF(AI15&lt;='组合输入'!$N8,"BBB",IF(AI15&lt;='组合输入'!$O8,"BB",IF(AI15&lt;='组合输入'!$P8,"B",IF(AI15&lt;='组合输入'!$Q8,"CCC","D")))))))</f>
        <v/>
      </c>
      <c r="AK15" s="12">
        <f>IF(AJ15="","",INDEX('状态价值'!$D8:$K8,MATCH(AJ15,'状态价值'!$D$1:$K$1,0)))</f>
        <v/>
      </c>
      <c r="AL15" s="15">
        <f>NORM.S.INV(RAND())</f>
        <v/>
      </c>
      <c r="AM15" s="15">
        <f>IF('组合输入'!$C9="","",'组合输入'!$H9*$B15+SQRT(1-'组合输入'!$H9^2)*AL15)</f>
        <v/>
      </c>
      <c r="AN15" s="7">
        <f>IF(AM15="","",NORM.S.DIST(AM15,TRUE))</f>
        <v/>
      </c>
      <c r="AO15" s="13">
        <f>IF(AN15="","",IF(AN15&lt;='组合输入'!$K9,"AAA",IF(AN15&lt;='组合输入'!$L9,"AA",IF(AN15&lt;='组合输入'!$M9,"A",IF(AN15&lt;='组合输入'!$N9,"BBB",IF(AN15&lt;='组合输入'!$O9,"BB",IF(AN15&lt;='组合输入'!$P9,"B",IF(AN15&lt;='组合输入'!$Q9,"CCC","D")))))))</f>
        <v/>
      </c>
      <c r="AP15" s="12">
        <f>IF(AO15="","",INDEX('状态价值'!$D9:$K9,MATCH(AO15,'状态价值'!$D$1:$K$1,0)))</f>
        <v/>
      </c>
      <c r="AQ15" s="15">
        <f>NORM.S.INV(RAND())</f>
        <v/>
      </c>
      <c r="AR15" s="15">
        <f>IF('组合输入'!$C10="","",'组合输入'!$H10*$B15+SQRT(1-'组合输入'!$H10^2)*AQ15)</f>
        <v/>
      </c>
      <c r="AS15" s="7">
        <f>IF(AR15="","",NORM.S.DIST(AR15,TRUE))</f>
        <v/>
      </c>
      <c r="AT15" s="13">
        <f>IF(AS15="","",IF(AS15&lt;='组合输入'!$K10,"AAA",IF(AS15&lt;='组合输入'!$L10,"AA",IF(AS15&lt;='组合输入'!$M10,"A",IF(AS15&lt;='组合输入'!$N10,"BBB",IF(AS15&lt;='组合输入'!$O10,"BB",IF(AS15&lt;='组合输入'!$P10,"B",IF(AS15&lt;='组合输入'!$Q10,"CCC","D")))))))</f>
        <v/>
      </c>
      <c r="AU15" s="12">
        <f>IF(AT15="","",INDEX('状态价值'!$D10:$K10,MATCH(AT15,'状态价值'!$D$1:$K$1,0)))</f>
        <v/>
      </c>
      <c r="AV15" s="15">
        <f>NORM.S.INV(RAND())</f>
        <v/>
      </c>
      <c r="AW15" s="15">
        <f>IF('组合输入'!$C11="","",'组合输入'!$H11*$B15+SQRT(1-'组合输入'!$H11^2)*AV15)</f>
        <v/>
      </c>
      <c r="AX15" s="7">
        <f>IF(AW15="","",NORM.S.DIST(AW15,TRUE))</f>
        <v/>
      </c>
      <c r="AY15" s="13">
        <f>IF(AX15="","",IF(AX15&lt;='组合输入'!$K11,"AAA",IF(AX15&lt;='组合输入'!$L11,"AA",IF(AX15&lt;='组合输入'!$M11,"A",IF(AX15&lt;='组合输入'!$N11,"BBB",IF(AX15&lt;='组合输入'!$O11,"BB",IF(AX15&lt;='组合输入'!$P11,"B",IF(AX15&lt;='组合输入'!$Q11,"CCC","D")))))))</f>
        <v/>
      </c>
      <c r="AZ15" s="12">
        <f>IF(AY15="","",INDEX('状态价值'!$D11:$K11,MATCH(AY15,'状态价值'!$D$1:$K$1,0)))</f>
        <v/>
      </c>
      <c r="BA15" s="12">
        <f>G15+L15+Q15+V15+AA15+AF15+AK15+AP15+AU15+AZ15</f>
        <v/>
      </c>
      <c r="BB15" s="12">
        <f>SUM('组合输入'!$J$2:$J$11)-BA15</f>
        <v/>
      </c>
    </row>
    <row r="16">
      <c r="A16" s="11" t="n">
        <v>15</v>
      </c>
      <c r="B16" s="14">
        <f>NORM.S.INV(RAND())</f>
        <v/>
      </c>
      <c r="C16" s="14">
        <f>NORM.S.INV(RAND())</f>
        <v/>
      </c>
      <c r="D16" s="15">
        <f>IF('组合输入'!$C2="","",'组合输入'!$H2*$B16+SQRT(1-'组合输入'!$H2^2)*C16)</f>
        <v/>
      </c>
      <c r="E16" s="7">
        <f>IF(D16="","",NORM.S.DIST(D16,TRUE))</f>
        <v/>
      </c>
      <c r="F16" s="13">
        <f>IF(E16="","",IF(E16&lt;='组合输入'!$K2,"AAA",IF(E16&lt;='组合输入'!$L2,"AA",IF(E16&lt;='组合输入'!$M2,"A",IF(E16&lt;='组合输入'!$N2,"BBB",IF(E16&lt;='组合输入'!$O2,"BB",IF(E16&lt;='组合输入'!$P2,"B",IF(E16&lt;='组合输入'!$Q2,"CCC","D")))))))</f>
        <v/>
      </c>
      <c r="G16" s="12">
        <f>IF(F16="","",INDEX('状态价值'!$D2:$K2,MATCH(F16,'状态价值'!$D$1:$K$1,0)))</f>
        <v/>
      </c>
      <c r="H16" s="15">
        <f>NORM.S.INV(RAND())</f>
        <v/>
      </c>
      <c r="I16" s="15">
        <f>IF('组合输入'!$C3="","",'组合输入'!$H3*$B16+SQRT(1-'组合输入'!$H3^2)*H16)</f>
        <v/>
      </c>
      <c r="J16" s="7">
        <f>IF(I16="","",NORM.S.DIST(I16,TRUE))</f>
        <v/>
      </c>
      <c r="K16" s="13">
        <f>IF(J16="","",IF(J16&lt;='组合输入'!$K3,"AAA",IF(J16&lt;='组合输入'!$L3,"AA",IF(J16&lt;='组合输入'!$M3,"A",IF(J16&lt;='组合输入'!$N3,"BBB",IF(J16&lt;='组合输入'!$O3,"BB",IF(J16&lt;='组合输入'!$P3,"B",IF(J16&lt;='组合输入'!$Q3,"CCC","D")))))))</f>
        <v/>
      </c>
      <c r="L16" s="12">
        <f>IF(K16="","",INDEX('状态价值'!$D3:$K3,MATCH(K16,'状态价值'!$D$1:$K$1,0)))</f>
        <v/>
      </c>
      <c r="M16" s="15">
        <f>NORM.S.INV(RAND())</f>
        <v/>
      </c>
      <c r="N16" s="15">
        <f>IF('组合输入'!$C4="","",'组合输入'!$H4*$B16+SQRT(1-'组合输入'!$H4^2)*M16)</f>
        <v/>
      </c>
      <c r="O16" s="7">
        <f>IF(N16="","",NORM.S.DIST(N16,TRUE))</f>
        <v/>
      </c>
      <c r="P16" s="13">
        <f>IF(O16="","",IF(O16&lt;='组合输入'!$K4,"AAA",IF(O16&lt;='组合输入'!$L4,"AA",IF(O16&lt;='组合输入'!$M4,"A",IF(O16&lt;='组合输入'!$N4,"BBB",IF(O16&lt;='组合输入'!$O4,"BB",IF(O16&lt;='组合输入'!$P4,"B",IF(O16&lt;='组合输入'!$Q4,"CCC","D")))))))</f>
        <v/>
      </c>
      <c r="Q16" s="12">
        <f>IF(P16="","",INDEX('状态价值'!$D4:$K4,MATCH(P16,'状态价值'!$D$1:$K$1,0)))</f>
        <v/>
      </c>
      <c r="R16" s="15">
        <f>NORM.S.INV(RAND())</f>
        <v/>
      </c>
      <c r="S16" s="15">
        <f>IF('组合输入'!$C5="","",'组合输入'!$H5*$B16+SQRT(1-'组合输入'!$H5^2)*R16)</f>
        <v/>
      </c>
      <c r="T16" s="7">
        <f>IF(S16="","",NORM.S.DIST(S16,TRUE))</f>
        <v/>
      </c>
      <c r="U16" s="13">
        <f>IF(T16="","",IF(T16&lt;='组合输入'!$K5,"AAA",IF(T16&lt;='组合输入'!$L5,"AA",IF(T16&lt;='组合输入'!$M5,"A",IF(T16&lt;='组合输入'!$N5,"BBB",IF(T16&lt;='组合输入'!$O5,"BB",IF(T16&lt;='组合输入'!$P5,"B",IF(T16&lt;='组合输入'!$Q5,"CCC","D")))))))</f>
        <v/>
      </c>
      <c r="V16" s="12">
        <f>IF(U16="","",INDEX('状态价值'!$D5:$K5,MATCH(U16,'状态价值'!$D$1:$K$1,0)))</f>
        <v/>
      </c>
      <c r="W16" s="15">
        <f>NORM.S.INV(RAND())</f>
        <v/>
      </c>
      <c r="X16" s="15">
        <f>IF('组合输入'!$C6="","",'组合输入'!$H6*$B16+SQRT(1-'组合输入'!$H6^2)*W16)</f>
        <v/>
      </c>
      <c r="Y16" s="7">
        <f>IF(X16="","",NORM.S.DIST(X16,TRUE))</f>
        <v/>
      </c>
      <c r="Z16" s="13">
        <f>IF(Y16="","",IF(Y16&lt;='组合输入'!$K6,"AAA",IF(Y16&lt;='组合输入'!$L6,"AA",IF(Y16&lt;='组合输入'!$M6,"A",IF(Y16&lt;='组合输入'!$N6,"BBB",IF(Y16&lt;='组合输入'!$O6,"BB",IF(Y16&lt;='组合输入'!$P6,"B",IF(Y16&lt;='组合输入'!$Q6,"CCC","D")))))))</f>
        <v/>
      </c>
      <c r="AA16" s="12">
        <f>IF(Z16="","",INDEX('状态价值'!$D6:$K6,MATCH(Z16,'状态价值'!$D$1:$K$1,0)))</f>
        <v/>
      </c>
      <c r="AB16" s="15">
        <f>NORM.S.INV(RAND())</f>
        <v/>
      </c>
      <c r="AC16" s="15">
        <f>IF('组合输入'!$C7="","",'组合输入'!$H7*$B16+SQRT(1-'组合输入'!$H7^2)*AB16)</f>
        <v/>
      </c>
      <c r="AD16" s="7">
        <f>IF(AC16="","",NORM.S.DIST(AC16,TRUE))</f>
        <v/>
      </c>
      <c r="AE16" s="13">
        <f>IF(AD16="","",IF(AD16&lt;='组合输入'!$K7,"AAA",IF(AD16&lt;='组合输入'!$L7,"AA",IF(AD16&lt;='组合输入'!$M7,"A",IF(AD16&lt;='组合输入'!$N7,"BBB",IF(AD16&lt;='组合输入'!$O7,"BB",IF(AD16&lt;='组合输入'!$P7,"B",IF(AD16&lt;='组合输入'!$Q7,"CCC","D")))))))</f>
        <v/>
      </c>
      <c r="AF16" s="12">
        <f>IF(AE16="","",INDEX('状态价值'!$D7:$K7,MATCH(AE16,'状态价值'!$D$1:$K$1,0)))</f>
        <v/>
      </c>
      <c r="AG16" s="15">
        <f>NORM.S.INV(RAND())</f>
        <v/>
      </c>
      <c r="AH16" s="15">
        <f>IF('组合输入'!$C8="","",'组合输入'!$H8*$B16+SQRT(1-'组合输入'!$H8^2)*AG16)</f>
        <v/>
      </c>
      <c r="AI16" s="7">
        <f>IF(AH16="","",NORM.S.DIST(AH16,TRUE))</f>
        <v/>
      </c>
      <c r="AJ16" s="13">
        <f>IF(AI16="","",IF(AI16&lt;='组合输入'!$K8,"AAA",IF(AI16&lt;='组合输入'!$L8,"AA",IF(AI16&lt;='组合输入'!$M8,"A",IF(AI16&lt;='组合输入'!$N8,"BBB",IF(AI16&lt;='组合输入'!$O8,"BB",IF(AI16&lt;='组合输入'!$P8,"B",IF(AI16&lt;='组合输入'!$Q8,"CCC","D")))))))</f>
        <v/>
      </c>
      <c r="AK16" s="12">
        <f>IF(AJ16="","",INDEX('状态价值'!$D8:$K8,MATCH(AJ16,'状态价值'!$D$1:$K$1,0)))</f>
        <v/>
      </c>
      <c r="AL16" s="15">
        <f>NORM.S.INV(RAND())</f>
        <v/>
      </c>
      <c r="AM16" s="15">
        <f>IF('组合输入'!$C9="","",'组合输入'!$H9*$B16+SQRT(1-'组合输入'!$H9^2)*AL16)</f>
        <v/>
      </c>
      <c r="AN16" s="7">
        <f>IF(AM16="","",NORM.S.DIST(AM16,TRUE))</f>
        <v/>
      </c>
      <c r="AO16" s="13">
        <f>IF(AN16="","",IF(AN16&lt;='组合输入'!$K9,"AAA",IF(AN16&lt;='组合输入'!$L9,"AA",IF(AN16&lt;='组合输入'!$M9,"A",IF(AN16&lt;='组合输入'!$N9,"BBB",IF(AN16&lt;='组合输入'!$O9,"BB",IF(AN16&lt;='组合输入'!$P9,"B",IF(AN16&lt;='组合输入'!$Q9,"CCC","D")))))))</f>
        <v/>
      </c>
      <c r="AP16" s="12">
        <f>IF(AO16="","",INDEX('状态价值'!$D9:$K9,MATCH(AO16,'状态价值'!$D$1:$K$1,0)))</f>
        <v/>
      </c>
      <c r="AQ16" s="15">
        <f>NORM.S.INV(RAND())</f>
        <v/>
      </c>
      <c r="AR16" s="15">
        <f>IF('组合输入'!$C10="","",'组合输入'!$H10*$B16+SQRT(1-'组合输入'!$H10^2)*AQ16)</f>
        <v/>
      </c>
      <c r="AS16" s="7">
        <f>IF(AR16="","",NORM.S.DIST(AR16,TRUE))</f>
        <v/>
      </c>
      <c r="AT16" s="13">
        <f>IF(AS16="","",IF(AS16&lt;='组合输入'!$K10,"AAA",IF(AS16&lt;='组合输入'!$L10,"AA",IF(AS16&lt;='组合输入'!$M10,"A",IF(AS16&lt;='组合输入'!$N10,"BBB",IF(AS16&lt;='组合输入'!$O10,"BB",IF(AS16&lt;='组合输入'!$P10,"B",IF(AS16&lt;='组合输入'!$Q10,"CCC","D")))))))</f>
        <v/>
      </c>
      <c r="AU16" s="12">
        <f>IF(AT16="","",INDEX('状态价值'!$D10:$K10,MATCH(AT16,'状态价值'!$D$1:$K$1,0)))</f>
        <v/>
      </c>
      <c r="AV16" s="15">
        <f>NORM.S.INV(RAND())</f>
        <v/>
      </c>
      <c r="AW16" s="15">
        <f>IF('组合输入'!$C11="","",'组合输入'!$H11*$B16+SQRT(1-'组合输入'!$H11^2)*AV16)</f>
        <v/>
      </c>
      <c r="AX16" s="7">
        <f>IF(AW16="","",NORM.S.DIST(AW16,TRUE))</f>
        <v/>
      </c>
      <c r="AY16" s="13">
        <f>IF(AX16="","",IF(AX16&lt;='组合输入'!$K11,"AAA",IF(AX16&lt;='组合输入'!$L11,"AA",IF(AX16&lt;='组合输入'!$M11,"A",IF(AX16&lt;='组合输入'!$N11,"BBB",IF(AX16&lt;='组合输入'!$O11,"BB",IF(AX16&lt;='组合输入'!$P11,"B",IF(AX16&lt;='组合输入'!$Q11,"CCC","D")))))))</f>
        <v/>
      </c>
      <c r="AZ16" s="12">
        <f>IF(AY16="","",INDEX('状态价值'!$D11:$K11,MATCH(AY16,'状态价值'!$D$1:$K$1,0)))</f>
        <v/>
      </c>
      <c r="BA16" s="12">
        <f>G16+L16+Q16+V16+AA16+AF16+AK16+AP16+AU16+AZ16</f>
        <v/>
      </c>
      <c r="BB16" s="12">
        <f>SUM('组合输入'!$J$2:$J$11)-BA16</f>
        <v/>
      </c>
    </row>
    <row r="17">
      <c r="A17" s="11" t="n">
        <v>16</v>
      </c>
      <c r="B17" s="14">
        <f>NORM.S.INV(RAND())</f>
        <v/>
      </c>
      <c r="C17" s="14">
        <f>NORM.S.INV(RAND())</f>
        <v/>
      </c>
      <c r="D17" s="15">
        <f>IF('组合输入'!$C2="","",'组合输入'!$H2*$B17+SQRT(1-'组合输入'!$H2^2)*C17)</f>
        <v/>
      </c>
      <c r="E17" s="7">
        <f>IF(D17="","",NORM.S.DIST(D17,TRUE))</f>
        <v/>
      </c>
      <c r="F17" s="13">
        <f>IF(E17="","",IF(E17&lt;='组合输入'!$K2,"AAA",IF(E17&lt;='组合输入'!$L2,"AA",IF(E17&lt;='组合输入'!$M2,"A",IF(E17&lt;='组合输入'!$N2,"BBB",IF(E17&lt;='组合输入'!$O2,"BB",IF(E17&lt;='组合输入'!$P2,"B",IF(E17&lt;='组合输入'!$Q2,"CCC","D")))))))</f>
        <v/>
      </c>
      <c r="G17" s="12">
        <f>IF(F17="","",INDEX('状态价值'!$D2:$K2,MATCH(F17,'状态价值'!$D$1:$K$1,0)))</f>
        <v/>
      </c>
      <c r="H17" s="15">
        <f>NORM.S.INV(RAND())</f>
        <v/>
      </c>
      <c r="I17" s="15">
        <f>IF('组合输入'!$C3="","",'组合输入'!$H3*$B17+SQRT(1-'组合输入'!$H3^2)*H17)</f>
        <v/>
      </c>
      <c r="J17" s="7">
        <f>IF(I17="","",NORM.S.DIST(I17,TRUE))</f>
        <v/>
      </c>
      <c r="K17" s="13">
        <f>IF(J17="","",IF(J17&lt;='组合输入'!$K3,"AAA",IF(J17&lt;='组合输入'!$L3,"AA",IF(J17&lt;='组合输入'!$M3,"A",IF(J17&lt;='组合输入'!$N3,"BBB",IF(J17&lt;='组合输入'!$O3,"BB",IF(J17&lt;='组合输入'!$P3,"B",IF(J17&lt;='组合输入'!$Q3,"CCC","D")))))))</f>
        <v/>
      </c>
      <c r="L17" s="12">
        <f>IF(K17="","",INDEX('状态价值'!$D3:$K3,MATCH(K17,'状态价值'!$D$1:$K$1,0)))</f>
        <v/>
      </c>
      <c r="M17" s="15">
        <f>NORM.S.INV(RAND())</f>
        <v/>
      </c>
      <c r="N17" s="15">
        <f>IF('组合输入'!$C4="","",'组合输入'!$H4*$B17+SQRT(1-'组合输入'!$H4^2)*M17)</f>
        <v/>
      </c>
      <c r="O17" s="7">
        <f>IF(N17="","",NORM.S.DIST(N17,TRUE))</f>
        <v/>
      </c>
      <c r="P17" s="13">
        <f>IF(O17="","",IF(O17&lt;='组合输入'!$K4,"AAA",IF(O17&lt;='组合输入'!$L4,"AA",IF(O17&lt;='组合输入'!$M4,"A",IF(O17&lt;='组合输入'!$N4,"BBB",IF(O17&lt;='组合输入'!$O4,"BB",IF(O17&lt;='组合输入'!$P4,"B",IF(O17&lt;='组合输入'!$Q4,"CCC","D")))))))</f>
        <v/>
      </c>
      <c r="Q17" s="12">
        <f>IF(P17="","",INDEX('状态价值'!$D4:$K4,MATCH(P17,'状态价值'!$D$1:$K$1,0)))</f>
        <v/>
      </c>
      <c r="R17" s="15">
        <f>NORM.S.INV(RAND())</f>
        <v/>
      </c>
      <c r="S17" s="15">
        <f>IF('组合输入'!$C5="","",'组合输入'!$H5*$B17+SQRT(1-'组合输入'!$H5^2)*R17)</f>
        <v/>
      </c>
      <c r="T17" s="7">
        <f>IF(S17="","",NORM.S.DIST(S17,TRUE))</f>
        <v/>
      </c>
      <c r="U17" s="13">
        <f>IF(T17="","",IF(T17&lt;='组合输入'!$K5,"AAA",IF(T17&lt;='组合输入'!$L5,"AA",IF(T17&lt;='组合输入'!$M5,"A",IF(T17&lt;='组合输入'!$N5,"BBB",IF(T17&lt;='组合输入'!$O5,"BB",IF(T17&lt;='组合输入'!$P5,"B",IF(T17&lt;='组合输入'!$Q5,"CCC","D")))))))</f>
        <v/>
      </c>
      <c r="V17" s="12">
        <f>IF(U17="","",INDEX('状态价值'!$D5:$K5,MATCH(U17,'状态价值'!$D$1:$K$1,0)))</f>
        <v/>
      </c>
      <c r="W17" s="15">
        <f>NORM.S.INV(RAND())</f>
        <v/>
      </c>
      <c r="X17" s="15">
        <f>IF('组合输入'!$C6="","",'组合输入'!$H6*$B17+SQRT(1-'组合输入'!$H6^2)*W17)</f>
        <v/>
      </c>
      <c r="Y17" s="7">
        <f>IF(X17="","",NORM.S.DIST(X17,TRUE))</f>
        <v/>
      </c>
      <c r="Z17" s="13">
        <f>IF(Y17="","",IF(Y17&lt;='组合输入'!$K6,"AAA",IF(Y17&lt;='组合输入'!$L6,"AA",IF(Y17&lt;='组合输入'!$M6,"A",IF(Y17&lt;='组合输入'!$N6,"BBB",IF(Y17&lt;='组合输入'!$O6,"BB",IF(Y17&lt;='组合输入'!$P6,"B",IF(Y17&lt;='组合输入'!$Q6,"CCC","D")))))))</f>
        <v/>
      </c>
      <c r="AA17" s="12">
        <f>IF(Z17="","",INDEX('状态价值'!$D6:$K6,MATCH(Z17,'状态价值'!$D$1:$K$1,0)))</f>
        <v/>
      </c>
      <c r="AB17" s="15">
        <f>NORM.S.INV(RAND())</f>
        <v/>
      </c>
      <c r="AC17" s="15">
        <f>IF('组合输入'!$C7="","",'组合输入'!$H7*$B17+SQRT(1-'组合输入'!$H7^2)*AB17)</f>
        <v/>
      </c>
      <c r="AD17" s="7">
        <f>IF(AC17="","",NORM.S.DIST(AC17,TRUE))</f>
        <v/>
      </c>
      <c r="AE17" s="13">
        <f>IF(AD17="","",IF(AD17&lt;='组合输入'!$K7,"AAA",IF(AD17&lt;='组合输入'!$L7,"AA",IF(AD17&lt;='组合输入'!$M7,"A",IF(AD17&lt;='组合输入'!$N7,"BBB",IF(AD17&lt;='组合输入'!$O7,"BB",IF(AD17&lt;='组合输入'!$P7,"B",IF(AD17&lt;='组合输入'!$Q7,"CCC","D")))))))</f>
        <v/>
      </c>
      <c r="AF17" s="12">
        <f>IF(AE17="","",INDEX('状态价值'!$D7:$K7,MATCH(AE17,'状态价值'!$D$1:$K$1,0)))</f>
        <v/>
      </c>
      <c r="AG17" s="15">
        <f>NORM.S.INV(RAND())</f>
        <v/>
      </c>
      <c r="AH17" s="15">
        <f>IF('组合输入'!$C8="","",'组合输入'!$H8*$B17+SQRT(1-'组合输入'!$H8^2)*AG17)</f>
        <v/>
      </c>
      <c r="AI17" s="7">
        <f>IF(AH17="","",NORM.S.DIST(AH17,TRUE))</f>
        <v/>
      </c>
      <c r="AJ17" s="13">
        <f>IF(AI17="","",IF(AI17&lt;='组合输入'!$K8,"AAA",IF(AI17&lt;='组合输入'!$L8,"AA",IF(AI17&lt;='组合输入'!$M8,"A",IF(AI17&lt;='组合输入'!$N8,"BBB",IF(AI17&lt;='组合输入'!$O8,"BB",IF(AI17&lt;='组合输入'!$P8,"B",IF(AI17&lt;='组合输入'!$Q8,"CCC","D")))))))</f>
        <v/>
      </c>
      <c r="AK17" s="12">
        <f>IF(AJ17="","",INDEX('状态价值'!$D8:$K8,MATCH(AJ17,'状态价值'!$D$1:$K$1,0)))</f>
        <v/>
      </c>
      <c r="AL17" s="15">
        <f>NORM.S.INV(RAND())</f>
        <v/>
      </c>
      <c r="AM17" s="15">
        <f>IF('组合输入'!$C9="","",'组合输入'!$H9*$B17+SQRT(1-'组合输入'!$H9^2)*AL17)</f>
        <v/>
      </c>
      <c r="AN17" s="7">
        <f>IF(AM17="","",NORM.S.DIST(AM17,TRUE))</f>
        <v/>
      </c>
      <c r="AO17" s="13">
        <f>IF(AN17="","",IF(AN17&lt;='组合输入'!$K9,"AAA",IF(AN17&lt;='组合输入'!$L9,"AA",IF(AN17&lt;='组合输入'!$M9,"A",IF(AN17&lt;='组合输入'!$N9,"BBB",IF(AN17&lt;='组合输入'!$O9,"BB",IF(AN17&lt;='组合输入'!$P9,"B",IF(AN17&lt;='组合输入'!$Q9,"CCC","D")))))))</f>
        <v/>
      </c>
      <c r="AP17" s="12">
        <f>IF(AO17="","",INDEX('状态价值'!$D9:$K9,MATCH(AO17,'状态价值'!$D$1:$K$1,0)))</f>
        <v/>
      </c>
      <c r="AQ17" s="15">
        <f>NORM.S.INV(RAND())</f>
        <v/>
      </c>
      <c r="AR17" s="15">
        <f>IF('组合输入'!$C10="","",'组合输入'!$H10*$B17+SQRT(1-'组合输入'!$H10^2)*AQ17)</f>
        <v/>
      </c>
      <c r="AS17" s="7">
        <f>IF(AR17="","",NORM.S.DIST(AR17,TRUE))</f>
        <v/>
      </c>
      <c r="AT17" s="13">
        <f>IF(AS17="","",IF(AS17&lt;='组合输入'!$K10,"AAA",IF(AS17&lt;='组合输入'!$L10,"AA",IF(AS17&lt;='组合输入'!$M10,"A",IF(AS17&lt;='组合输入'!$N10,"BBB",IF(AS17&lt;='组合输入'!$O10,"BB",IF(AS17&lt;='组合输入'!$P10,"B",IF(AS17&lt;='组合输入'!$Q10,"CCC","D")))))))</f>
        <v/>
      </c>
      <c r="AU17" s="12">
        <f>IF(AT17="","",INDEX('状态价值'!$D10:$K10,MATCH(AT17,'状态价值'!$D$1:$K$1,0)))</f>
        <v/>
      </c>
      <c r="AV17" s="15">
        <f>NORM.S.INV(RAND())</f>
        <v/>
      </c>
      <c r="AW17" s="15">
        <f>IF('组合输入'!$C11="","",'组合输入'!$H11*$B17+SQRT(1-'组合输入'!$H11^2)*AV17)</f>
        <v/>
      </c>
      <c r="AX17" s="7">
        <f>IF(AW17="","",NORM.S.DIST(AW17,TRUE))</f>
        <v/>
      </c>
      <c r="AY17" s="13">
        <f>IF(AX17="","",IF(AX17&lt;='组合输入'!$K11,"AAA",IF(AX17&lt;='组合输入'!$L11,"AA",IF(AX17&lt;='组合输入'!$M11,"A",IF(AX17&lt;='组合输入'!$N11,"BBB",IF(AX17&lt;='组合输入'!$O11,"BB",IF(AX17&lt;='组合输入'!$P11,"B",IF(AX17&lt;='组合输入'!$Q11,"CCC","D")))))))</f>
        <v/>
      </c>
      <c r="AZ17" s="12">
        <f>IF(AY17="","",INDEX('状态价值'!$D11:$K11,MATCH(AY17,'状态价值'!$D$1:$K$1,0)))</f>
        <v/>
      </c>
      <c r="BA17" s="12">
        <f>G17+L17+Q17+V17+AA17+AF17+AK17+AP17+AU17+AZ17</f>
        <v/>
      </c>
      <c r="BB17" s="12">
        <f>SUM('组合输入'!$J$2:$J$11)-BA17</f>
        <v/>
      </c>
    </row>
    <row r="18">
      <c r="A18" s="11" t="n">
        <v>17</v>
      </c>
      <c r="B18" s="14">
        <f>NORM.S.INV(RAND())</f>
        <v/>
      </c>
      <c r="C18" s="14">
        <f>NORM.S.INV(RAND())</f>
        <v/>
      </c>
      <c r="D18" s="15">
        <f>IF('组合输入'!$C2="","",'组合输入'!$H2*$B18+SQRT(1-'组合输入'!$H2^2)*C18)</f>
        <v/>
      </c>
      <c r="E18" s="7">
        <f>IF(D18="","",NORM.S.DIST(D18,TRUE))</f>
        <v/>
      </c>
      <c r="F18" s="13">
        <f>IF(E18="","",IF(E18&lt;='组合输入'!$K2,"AAA",IF(E18&lt;='组合输入'!$L2,"AA",IF(E18&lt;='组合输入'!$M2,"A",IF(E18&lt;='组合输入'!$N2,"BBB",IF(E18&lt;='组合输入'!$O2,"BB",IF(E18&lt;='组合输入'!$P2,"B",IF(E18&lt;='组合输入'!$Q2,"CCC","D")))))))</f>
        <v/>
      </c>
      <c r="G18" s="12">
        <f>IF(F18="","",INDEX('状态价值'!$D2:$K2,MATCH(F18,'状态价值'!$D$1:$K$1,0)))</f>
        <v/>
      </c>
      <c r="H18" s="15">
        <f>NORM.S.INV(RAND())</f>
        <v/>
      </c>
      <c r="I18" s="15">
        <f>IF('组合输入'!$C3="","",'组合输入'!$H3*$B18+SQRT(1-'组合输入'!$H3^2)*H18)</f>
        <v/>
      </c>
      <c r="J18" s="7">
        <f>IF(I18="","",NORM.S.DIST(I18,TRUE))</f>
        <v/>
      </c>
      <c r="K18" s="13">
        <f>IF(J18="","",IF(J18&lt;='组合输入'!$K3,"AAA",IF(J18&lt;='组合输入'!$L3,"AA",IF(J18&lt;='组合输入'!$M3,"A",IF(J18&lt;='组合输入'!$N3,"BBB",IF(J18&lt;='组合输入'!$O3,"BB",IF(J18&lt;='组合输入'!$P3,"B",IF(J18&lt;='组合输入'!$Q3,"CCC","D")))))))</f>
        <v/>
      </c>
      <c r="L18" s="12">
        <f>IF(K18="","",INDEX('状态价值'!$D3:$K3,MATCH(K18,'状态价值'!$D$1:$K$1,0)))</f>
        <v/>
      </c>
      <c r="M18" s="15">
        <f>NORM.S.INV(RAND())</f>
        <v/>
      </c>
      <c r="N18" s="15">
        <f>IF('组合输入'!$C4="","",'组合输入'!$H4*$B18+SQRT(1-'组合输入'!$H4^2)*M18)</f>
        <v/>
      </c>
      <c r="O18" s="7">
        <f>IF(N18="","",NORM.S.DIST(N18,TRUE))</f>
        <v/>
      </c>
      <c r="P18" s="13">
        <f>IF(O18="","",IF(O18&lt;='组合输入'!$K4,"AAA",IF(O18&lt;='组合输入'!$L4,"AA",IF(O18&lt;='组合输入'!$M4,"A",IF(O18&lt;='组合输入'!$N4,"BBB",IF(O18&lt;='组合输入'!$O4,"BB",IF(O18&lt;='组合输入'!$P4,"B",IF(O18&lt;='组合输入'!$Q4,"CCC","D")))))))</f>
        <v/>
      </c>
      <c r="Q18" s="12">
        <f>IF(P18="","",INDEX('状态价值'!$D4:$K4,MATCH(P18,'状态价值'!$D$1:$K$1,0)))</f>
        <v/>
      </c>
      <c r="R18" s="15">
        <f>NORM.S.INV(RAND())</f>
        <v/>
      </c>
      <c r="S18" s="15">
        <f>IF('组合输入'!$C5="","",'组合输入'!$H5*$B18+SQRT(1-'组合输入'!$H5^2)*R18)</f>
        <v/>
      </c>
      <c r="T18" s="7">
        <f>IF(S18="","",NORM.S.DIST(S18,TRUE))</f>
        <v/>
      </c>
      <c r="U18" s="13">
        <f>IF(T18="","",IF(T18&lt;='组合输入'!$K5,"AAA",IF(T18&lt;='组合输入'!$L5,"AA",IF(T18&lt;='组合输入'!$M5,"A",IF(T18&lt;='组合输入'!$N5,"BBB",IF(T18&lt;='组合输入'!$O5,"BB",IF(T18&lt;='组合输入'!$P5,"B",IF(T18&lt;='组合输入'!$Q5,"CCC","D")))))))</f>
        <v/>
      </c>
      <c r="V18" s="12">
        <f>IF(U18="","",INDEX('状态价值'!$D5:$K5,MATCH(U18,'状态价值'!$D$1:$K$1,0)))</f>
        <v/>
      </c>
      <c r="W18" s="15">
        <f>NORM.S.INV(RAND())</f>
        <v/>
      </c>
      <c r="X18" s="15">
        <f>IF('组合输入'!$C6="","",'组合输入'!$H6*$B18+SQRT(1-'组合输入'!$H6^2)*W18)</f>
        <v/>
      </c>
      <c r="Y18" s="7">
        <f>IF(X18="","",NORM.S.DIST(X18,TRUE))</f>
        <v/>
      </c>
      <c r="Z18" s="13">
        <f>IF(Y18="","",IF(Y18&lt;='组合输入'!$K6,"AAA",IF(Y18&lt;='组合输入'!$L6,"AA",IF(Y18&lt;='组合输入'!$M6,"A",IF(Y18&lt;='组合输入'!$N6,"BBB",IF(Y18&lt;='组合输入'!$O6,"BB",IF(Y18&lt;='组合输入'!$P6,"B",IF(Y18&lt;='组合输入'!$Q6,"CCC","D")))))))</f>
        <v/>
      </c>
      <c r="AA18" s="12">
        <f>IF(Z18="","",INDEX('状态价值'!$D6:$K6,MATCH(Z18,'状态价值'!$D$1:$K$1,0)))</f>
        <v/>
      </c>
      <c r="AB18" s="15">
        <f>NORM.S.INV(RAND())</f>
        <v/>
      </c>
      <c r="AC18" s="15">
        <f>IF('组合输入'!$C7="","",'组合输入'!$H7*$B18+SQRT(1-'组合输入'!$H7^2)*AB18)</f>
        <v/>
      </c>
      <c r="AD18" s="7">
        <f>IF(AC18="","",NORM.S.DIST(AC18,TRUE))</f>
        <v/>
      </c>
      <c r="AE18" s="13">
        <f>IF(AD18="","",IF(AD18&lt;='组合输入'!$K7,"AAA",IF(AD18&lt;='组合输入'!$L7,"AA",IF(AD18&lt;='组合输入'!$M7,"A",IF(AD18&lt;='组合输入'!$N7,"BBB",IF(AD18&lt;='组合输入'!$O7,"BB",IF(AD18&lt;='组合输入'!$P7,"B",IF(AD18&lt;='组合输入'!$Q7,"CCC","D")))))))</f>
        <v/>
      </c>
      <c r="AF18" s="12">
        <f>IF(AE18="","",INDEX('状态价值'!$D7:$K7,MATCH(AE18,'状态价值'!$D$1:$K$1,0)))</f>
        <v/>
      </c>
      <c r="AG18" s="15">
        <f>NORM.S.INV(RAND())</f>
        <v/>
      </c>
      <c r="AH18" s="15">
        <f>IF('组合输入'!$C8="","",'组合输入'!$H8*$B18+SQRT(1-'组合输入'!$H8^2)*AG18)</f>
        <v/>
      </c>
      <c r="AI18" s="7">
        <f>IF(AH18="","",NORM.S.DIST(AH18,TRUE))</f>
        <v/>
      </c>
      <c r="AJ18" s="13">
        <f>IF(AI18="","",IF(AI18&lt;='组合输入'!$K8,"AAA",IF(AI18&lt;='组合输入'!$L8,"AA",IF(AI18&lt;='组合输入'!$M8,"A",IF(AI18&lt;='组合输入'!$N8,"BBB",IF(AI18&lt;='组合输入'!$O8,"BB",IF(AI18&lt;='组合输入'!$P8,"B",IF(AI18&lt;='组合输入'!$Q8,"CCC","D")))))))</f>
        <v/>
      </c>
      <c r="AK18" s="12">
        <f>IF(AJ18="","",INDEX('状态价值'!$D8:$K8,MATCH(AJ18,'状态价值'!$D$1:$K$1,0)))</f>
        <v/>
      </c>
      <c r="AL18" s="15">
        <f>NORM.S.INV(RAND())</f>
        <v/>
      </c>
      <c r="AM18" s="15">
        <f>IF('组合输入'!$C9="","",'组合输入'!$H9*$B18+SQRT(1-'组合输入'!$H9^2)*AL18)</f>
        <v/>
      </c>
      <c r="AN18" s="7">
        <f>IF(AM18="","",NORM.S.DIST(AM18,TRUE))</f>
        <v/>
      </c>
      <c r="AO18" s="13">
        <f>IF(AN18="","",IF(AN18&lt;='组合输入'!$K9,"AAA",IF(AN18&lt;='组合输入'!$L9,"AA",IF(AN18&lt;='组合输入'!$M9,"A",IF(AN18&lt;='组合输入'!$N9,"BBB",IF(AN18&lt;='组合输入'!$O9,"BB",IF(AN18&lt;='组合输入'!$P9,"B",IF(AN18&lt;='组合输入'!$Q9,"CCC","D")))))))</f>
        <v/>
      </c>
      <c r="AP18" s="12">
        <f>IF(AO18="","",INDEX('状态价值'!$D9:$K9,MATCH(AO18,'状态价值'!$D$1:$K$1,0)))</f>
        <v/>
      </c>
      <c r="AQ18" s="15">
        <f>NORM.S.INV(RAND())</f>
        <v/>
      </c>
      <c r="AR18" s="15">
        <f>IF('组合输入'!$C10="","",'组合输入'!$H10*$B18+SQRT(1-'组合输入'!$H10^2)*AQ18)</f>
        <v/>
      </c>
      <c r="AS18" s="7">
        <f>IF(AR18="","",NORM.S.DIST(AR18,TRUE))</f>
        <v/>
      </c>
      <c r="AT18" s="13">
        <f>IF(AS18="","",IF(AS18&lt;='组合输入'!$K10,"AAA",IF(AS18&lt;='组合输入'!$L10,"AA",IF(AS18&lt;='组合输入'!$M10,"A",IF(AS18&lt;='组合输入'!$N10,"BBB",IF(AS18&lt;='组合输入'!$O10,"BB",IF(AS18&lt;='组合输入'!$P10,"B",IF(AS18&lt;='组合输入'!$Q10,"CCC","D")))))))</f>
        <v/>
      </c>
      <c r="AU18" s="12">
        <f>IF(AT18="","",INDEX('状态价值'!$D10:$K10,MATCH(AT18,'状态价值'!$D$1:$K$1,0)))</f>
        <v/>
      </c>
      <c r="AV18" s="15">
        <f>NORM.S.INV(RAND())</f>
        <v/>
      </c>
      <c r="AW18" s="15">
        <f>IF('组合输入'!$C11="","",'组合输入'!$H11*$B18+SQRT(1-'组合输入'!$H11^2)*AV18)</f>
        <v/>
      </c>
      <c r="AX18" s="7">
        <f>IF(AW18="","",NORM.S.DIST(AW18,TRUE))</f>
        <v/>
      </c>
      <c r="AY18" s="13">
        <f>IF(AX18="","",IF(AX18&lt;='组合输入'!$K11,"AAA",IF(AX18&lt;='组合输入'!$L11,"AA",IF(AX18&lt;='组合输入'!$M11,"A",IF(AX18&lt;='组合输入'!$N11,"BBB",IF(AX18&lt;='组合输入'!$O11,"BB",IF(AX18&lt;='组合输入'!$P11,"B",IF(AX18&lt;='组合输入'!$Q11,"CCC","D")))))))</f>
        <v/>
      </c>
      <c r="AZ18" s="12">
        <f>IF(AY18="","",INDEX('状态价值'!$D11:$K11,MATCH(AY18,'状态价值'!$D$1:$K$1,0)))</f>
        <v/>
      </c>
      <c r="BA18" s="12">
        <f>G18+L18+Q18+V18+AA18+AF18+AK18+AP18+AU18+AZ18</f>
        <v/>
      </c>
      <c r="BB18" s="12">
        <f>SUM('组合输入'!$J$2:$J$11)-BA18</f>
        <v/>
      </c>
    </row>
    <row r="19">
      <c r="A19" s="11" t="n">
        <v>18</v>
      </c>
      <c r="B19" s="14">
        <f>NORM.S.INV(RAND())</f>
        <v/>
      </c>
      <c r="C19" s="14">
        <f>NORM.S.INV(RAND())</f>
        <v/>
      </c>
      <c r="D19" s="15">
        <f>IF('组合输入'!$C2="","",'组合输入'!$H2*$B19+SQRT(1-'组合输入'!$H2^2)*C19)</f>
        <v/>
      </c>
      <c r="E19" s="7">
        <f>IF(D19="","",NORM.S.DIST(D19,TRUE))</f>
        <v/>
      </c>
      <c r="F19" s="13">
        <f>IF(E19="","",IF(E19&lt;='组合输入'!$K2,"AAA",IF(E19&lt;='组合输入'!$L2,"AA",IF(E19&lt;='组合输入'!$M2,"A",IF(E19&lt;='组合输入'!$N2,"BBB",IF(E19&lt;='组合输入'!$O2,"BB",IF(E19&lt;='组合输入'!$P2,"B",IF(E19&lt;='组合输入'!$Q2,"CCC","D")))))))</f>
        <v/>
      </c>
      <c r="G19" s="12">
        <f>IF(F19="","",INDEX('状态价值'!$D2:$K2,MATCH(F19,'状态价值'!$D$1:$K$1,0)))</f>
        <v/>
      </c>
      <c r="H19" s="15">
        <f>NORM.S.INV(RAND())</f>
        <v/>
      </c>
      <c r="I19" s="15">
        <f>IF('组合输入'!$C3="","",'组合输入'!$H3*$B19+SQRT(1-'组合输入'!$H3^2)*H19)</f>
        <v/>
      </c>
      <c r="J19" s="7">
        <f>IF(I19="","",NORM.S.DIST(I19,TRUE))</f>
        <v/>
      </c>
      <c r="K19" s="13">
        <f>IF(J19="","",IF(J19&lt;='组合输入'!$K3,"AAA",IF(J19&lt;='组合输入'!$L3,"AA",IF(J19&lt;='组合输入'!$M3,"A",IF(J19&lt;='组合输入'!$N3,"BBB",IF(J19&lt;='组合输入'!$O3,"BB",IF(J19&lt;='组合输入'!$P3,"B",IF(J19&lt;='组合输入'!$Q3,"CCC","D")))))))</f>
        <v/>
      </c>
      <c r="L19" s="12">
        <f>IF(K19="","",INDEX('状态价值'!$D3:$K3,MATCH(K19,'状态价值'!$D$1:$K$1,0)))</f>
        <v/>
      </c>
      <c r="M19" s="15">
        <f>NORM.S.INV(RAND())</f>
        <v/>
      </c>
      <c r="N19" s="15">
        <f>IF('组合输入'!$C4="","",'组合输入'!$H4*$B19+SQRT(1-'组合输入'!$H4^2)*M19)</f>
        <v/>
      </c>
      <c r="O19" s="7">
        <f>IF(N19="","",NORM.S.DIST(N19,TRUE))</f>
        <v/>
      </c>
      <c r="P19" s="13">
        <f>IF(O19="","",IF(O19&lt;='组合输入'!$K4,"AAA",IF(O19&lt;='组合输入'!$L4,"AA",IF(O19&lt;='组合输入'!$M4,"A",IF(O19&lt;='组合输入'!$N4,"BBB",IF(O19&lt;='组合输入'!$O4,"BB",IF(O19&lt;='组合输入'!$P4,"B",IF(O19&lt;='组合输入'!$Q4,"CCC","D")))))))</f>
        <v/>
      </c>
      <c r="Q19" s="12">
        <f>IF(P19="","",INDEX('状态价值'!$D4:$K4,MATCH(P19,'状态价值'!$D$1:$K$1,0)))</f>
        <v/>
      </c>
      <c r="R19" s="15">
        <f>NORM.S.INV(RAND())</f>
        <v/>
      </c>
      <c r="S19" s="15">
        <f>IF('组合输入'!$C5="","",'组合输入'!$H5*$B19+SQRT(1-'组合输入'!$H5^2)*R19)</f>
        <v/>
      </c>
      <c r="T19" s="7">
        <f>IF(S19="","",NORM.S.DIST(S19,TRUE))</f>
        <v/>
      </c>
      <c r="U19" s="13">
        <f>IF(T19="","",IF(T19&lt;='组合输入'!$K5,"AAA",IF(T19&lt;='组合输入'!$L5,"AA",IF(T19&lt;='组合输入'!$M5,"A",IF(T19&lt;='组合输入'!$N5,"BBB",IF(T19&lt;='组合输入'!$O5,"BB",IF(T19&lt;='组合输入'!$P5,"B",IF(T19&lt;='组合输入'!$Q5,"CCC","D")))))))</f>
        <v/>
      </c>
      <c r="V19" s="12">
        <f>IF(U19="","",INDEX('状态价值'!$D5:$K5,MATCH(U19,'状态价值'!$D$1:$K$1,0)))</f>
        <v/>
      </c>
      <c r="W19" s="15">
        <f>NORM.S.INV(RAND())</f>
        <v/>
      </c>
      <c r="X19" s="15">
        <f>IF('组合输入'!$C6="","",'组合输入'!$H6*$B19+SQRT(1-'组合输入'!$H6^2)*W19)</f>
        <v/>
      </c>
      <c r="Y19" s="7">
        <f>IF(X19="","",NORM.S.DIST(X19,TRUE))</f>
        <v/>
      </c>
      <c r="Z19" s="13">
        <f>IF(Y19="","",IF(Y19&lt;='组合输入'!$K6,"AAA",IF(Y19&lt;='组合输入'!$L6,"AA",IF(Y19&lt;='组合输入'!$M6,"A",IF(Y19&lt;='组合输入'!$N6,"BBB",IF(Y19&lt;='组合输入'!$O6,"BB",IF(Y19&lt;='组合输入'!$P6,"B",IF(Y19&lt;='组合输入'!$Q6,"CCC","D")))))))</f>
        <v/>
      </c>
      <c r="AA19" s="12">
        <f>IF(Z19="","",INDEX('状态价值'!$D6:$K6,MATCH(Z19,'状态价值'!$D$1:$K$1,0)))</f>
        <v/>
      </c>
      <c r="AB19" s="15">
        <f>NORM.S.INV(RAND())</f>
        <v/>
      </c>
      <c r="AC19" s="15">
        <f>IF('组合输入'!$C7="","",'组合输入'!$H7*$B19+SQRT(1-'组合输入'!$H7^2)*AB19)</f>
        <v/>
      </c>
      <c r="AD19" s="7">
        <f>IF(AC19="","",NORM.S.DIST(AC19,TRUE))</f>
        <v/>
      </c>
      <c r="AE19" s="13">
        <f>IF(AD19="","",IF(AD19&lt;='组合输入'!$K7,"AAA",IF(AD19&lt;='组合输入'!$L7,"AA",IF(AD19&lt;='组合输入'!$M7,"A",IF(AD19&lt;='组合输入'!$N7,"BBB",IF(AD19&lt;='组合输入'!$O7,"BB",IF(AD19&lt;='组合输入'!$P7,"B",IF(AD19&lt;='组合输入'!$Q7,"CCC","D")))))))</f>
        <v/>
      </c>
      <c r="AF19" s="12">
        <f>IF(AE19="","",INDEX('状态价值'!$D7:$K7,MATCH(AE19,'状态价值'!$D$1:$K$1,0)))</f>
        <v/>
      </c>
      <c r="AG19" s="15">
        <f>NORM.S.INV(RAND())</f>
        <v/>
      </c>
      <c r="AH19" s="15">
        <f>IF('组合输入'!$C8="","",'组合输入'!$H8*$B19+SQRT(1-'组合输入'!$H8^2)*AG19)</f>
        <v/>
      </c>
      <c r="AI19" s="7">
        <f>IF(AH19="","",NORM.S.DIST(AH19,TRUE))</f>
        <v/>
      </c>
      <c r="AJ19" s="13">
        <f>IF(AI19="","",IF(AI19&lt;='组合输入'!$K8,"AAA",IF(AI19&lt;='组合输入'!$L8,"AA",IF(AI19&lt;='组合输入'!$M8,"A",IF(AI19&lt;='组合输入'!$N8,"BBB",IF(AI19&lt;='组合输入'!$O8,"BB",IF(AI19&lt;='组合输入'!$P8,"B",IF(AI19&lt;='组合输入'!$Q8,"CCC","D")))))))</f>
        <v/>
      </c>
      <c r="AK19" s="12">
        <f>IF(AJ19="","",INDEX('状态价值'!$D8:$K8,MATCH(AJ19,'状态价值'!$D$1:$K$1,0)))</f>
        <v/>
      </c>
      <c r="AL19" s="15">
        <f>NORM.S.INV(RAND())</f>
        <v/>
      </c>
      <c r="AM19" s="15">
        <f>IF('组合输入'!$C9="","",'组合输入'!$H9*$B19+SQRT(1-'组合输入'!$H9^2)*AL19)</f>
        <v/>
      </c>
      <c r="AN19" s="7">
        <f>IF(AM19="","",NORM.S.DIST(AM19,TRUE))</f>
        <v/>
      </c>
      <c r="AO19" s="13">
        <f>IF(AN19="","",IF(AN19&lt;='组合输入'!$K9,"AAA",IF(AN19&lt;='组合输入'!$L9,"AA",IF(AN19&lt;='组合输入'!$M9,"A",IF(AN19&lt;='组合输入'!$N9,"BBB",IF(AN19&lt;='组合输入'!$O9,"BB",IF(AN19&lt;='组合输入'!$P9,"B",IF(AN19&lt;='组合输入'!$Q9,"CCC","D")))))))</f>
        <v/>
      </c>
      <c r="AP19" s="12">
        <f>IF(AO19="","",INDEX('状态价值'!$D9:$K9,MATCH(AO19,'状态价值'!$D$1:$K$1,0)))</f>
        <v/>
      </c>
      <c r="AQ19" s="15">
        <f>NORM.S.INV(RAND())</f>
        <v/>
      </c>
      <c r="AR19" s="15">
        <f>IF('组合输入'!$C10="","",'组合输入'!$H10*$B19+SQRT(1-'组合输入'!$H10^2)*AQ19)</f>
        <v/>
      </c>
      <c r="AS19" s="7">
        <f>IF(AR19="","",NORM.S.DIST(AR19,TRUE))</f>
        <v/>
      </c>
      <c r="AT19" s="13">
        <f>IF(AS19="","",IF(AS19&lt;='组合输入'!$K10,"AAA",IF(AS19&lt;='组合输入'!$L10,"AA",IF(AS19&lt;='组合输入'!$M10,"A",IF(AS19&lt;='组合输入'!$N10,"BBB",IF(AS19&lt;='组合输入'!$O10,"BB",IF(AS19&lt;='组合输入'!$P10,"B",IF(AS19&lt;='组合输入'!$Q10,"CCC","D")))))))</f>
        <v/>
      </c>
      <c r="AU19" s="12">
        <f>IF(AT19="","",INDEX('状态价值'!$D10:$K10,MATCH(AT19,'状态价值'!$D$1:$K$1,0)))</f>
        <v/>
      </c>
      <c r="AV19" s="15">
        <f>NORM.S.INV(RAND())</f>
        <v/>
      </c>
      <c r="AW19" s="15">
        <f>IF('组合输入'!$C11="","",'组合输入'!$H11*$B19+SQRT(1-'组合输入'!$H11^2)*AV19)</f>
        <v/>
      </c>
      <c r="AX19" s="7">
        <f>IF(AW19="","",NORM.S.DIST(AW19,TRUE))</f>
        <v/>
      </c>
      <c r="AY19" s="13">
        <f>IF(AX19="","",IF(AX19&lt;='组合输入'!$K11,"AAA",IF(AX19&lt;='组合输入'!$L11,"AA",IF(AX19&lt;='组合输入'!$M11,"A",IF(AX19&lt;='组合输入'!$N11,"BBB",IF(AX19&lt;='组合输入'!$O11,"BB",IF(AX19&lt;='组合输入'!$P11,"B",IF(AX19&lt;='组合输入'!$Q11,"CCC","D")))))))</f>
        <v/>
      </c>
      <c r="AZ19" s="12">
        <f>IF(AY19="","",INDEX('状态价值'!$D11:$K11,MATCH(AY19,'状态价值'!$D$1:$K$1,0)))</f>
        <v/>
      </c>
      <c r="BA19" s="12">
        <f>G19+L19+Q19+V19+AA19+AF19+AK19+AP19+AU19+AZ19</f>
        <v/>
      </c>
      <c r="BB19" s="12">
        <f>SUM('组合输入'!$J$2:$J$11)-BA19</f>
        <v/>
      </c>
    </row>
    <row r="20">
      <c r="A20" s="11" t="n">
        <v>19</v>
      </c>
      <c r="B20" s="14">
        <f>NORM.S.INV(RAND())</f>
        <v/>
      </c>
      <c r="C20" s="14">
        <f>NORM.S.INV(RAND())</f>
        <v/>
      </c>
      <c r="D20" s="15">
        <f>IF('组合输入'!$C2="","",'组合输入'!$H2*$B20+SQRT(1-'组合输入'!$H2^2)*C20)</f>
        <v/>
      </c>
      <c r="E20" s="7">
        <f>IF(D20="","",NORM.S.DIST(D20,TRUE))</f>
        <v/>
      </c>
      <c r="F20" s="13">
        <f>IF(E20="","",IF(E20&lt;='组合输入'!$K2,"AAA",IF(E20&lt;='组合输入'!$L2,"AA",IF(E20&lt;='组合输入'!$M2,"A",IF(E20&lt;='组合输入'!$N2,"BBB",IF(E20&lt;='组合输入'!$O2,"BB",IF(E20&lt;='组合输入'!$P2,"B",IF(E20&lt;='组合输入'!$Q2,"CCC","D")))))))</f>
        <v/>
      </c>
      <c r="G20" s="12">
        <f>IF(F20="","",INDEX('状态价值'!$D2:$K2,MATCH(F20,'状态价值'!$D$1:$K$1,0)))</f>
        <v/>
      </c>
      <c r="H20" s="15">
        <f>NORM.S.INV(RAND())</f>
        <v/>
      </c>
      <c r="I20" s="15">
        <f>IF('组合输入'!$C3="","",'组合输入'!$H3*$B20+SQRT(1-'组合输入'!$H3^2)*H20)</f>
        <v/>
      </c>
      <c r="J20" s="7">
        <f>IF(I20="","",NORM.S.DIST(I20,TRUE))</f>
        <v/>
      </c>
      <c r="K20" s="13">
        <f>IF(J20="","",IF(J20&lt;='组合输入'!$K3,"AAA",IF(J20&lt;='组合输入'!$L3,"AA",IF(J20&lt;='组合输入'!$M3,"A",IF(J20&lt;='组合输入'!$N3,"BBB",IF(J20&lt;='组合输入'!$O3,"BB",IF(J20&lt;='组合输入'!$P3,"B",IF(J20&lt;='组合输入'!$Q3,"CCC","D")))))))</f>
        <v/>
      </c>
      <c r="L20" s="12">
        <f>IF(K20="","",INDEX('状态价值'!$D3:$K3,MATCH(K20,'状态价值'!$D$1:$K$1,0)))</f>
        <v/>
      </c>
      <c r="M20" s="15">
        <f>NORM.S.INV(RAND())</f>
        <v/>
      </c>
      <c r="N20" s="15">
        <f>IF('组合输入'!$C4="","",'组合输入'!$H4*$B20+SQRT(1-'组合输入'!$H4^2)*M20)</f>
        <v/>
      </c>
      <c r="O20" s="7">
        <f>IF(N20="","",NORM.S.DIST(N20,TRUE))</f>
        <v/>
      </c>
      <c r="P20" s="13">
        <f>IF(O20="","",IF(O20&lt;='组合输入'!$K4,"AAA",IF(O20&lt;='组合输入'!$L4,"AA",IF(O20&lt;='组合输入'!$M4,"A",IF(O20&lt;='组合输入'!$N4,"BBB",IF(O20&lt;='组合输入'!$O4,"BB",IF(O20&lt;='组合输入'!$P4,"B",IF(O20&lt;='组合输入'!$Q4,"CCC","D")))))))</f>
        <v/>
      </c>
      <c r="Q20" s="12">
        <f>IF(P20="","",INDEX('状态价值'!$D4:$K4,MATCH(P20,'状态价值'!$D$1:$K$1,0)))</f>
        <v/>
      </c>
      <c r="R20" s="15">
        <f>NORM.S.INV(RAND())</f>
        <v/>
      </c>
      <c r="S20" s="15">
        <f>IF('组合输入'!$C5="","",'组合输入'!$H5*$B20+SQRT(1-'组合输入'!$H5^2)*R20)</f>
        <v/>
      </c>
      <c r="T20" s="7">
        <f>IF(S20="","",NORM.S.DIST(S20,TRUE))</f>
        <v/>
      </c>
      <c r="U20" s="13">
        <f>IF(T20="","",IF(T20&lt;='组合输入'!$K5,"AAA",IF(T20&lt;='组合输入'!$L5,"AA",IF(T20&lt;='组合输入'!$M5,"A",IF(T20&lt;='组合输入'!$N5,"BBB",IF(T20&lt;='组合输入'!$O5,"BB",IF(T20&lt;='组合输入'!$P5,"B",IF(T20&lt;='组合输入'!$Q5,"CCC","D")))))))</f>
        <v/>
      </c>
      <c r="V20" s="12">
        <f>IF(U20="","",INDEX('状态价值'!$D5:$K5,MATCH(U20,'状态价值'!$D$1:$K$1,0)))</f>
        <v/>
      </c>
      <c r="W20" s="15">
        <f>NORM.S.INV(RAND())</f>
        <v/>
      </c>
      <c r="X20" s="15">
        <f>IF('组合输入'!$C6="","",'组合输入'!$H6*$B20+SQRT(1-'组合输入'!$H6^2)*W20)</f>
        <v/>
      </c>
      <c r="Y20" s="7">
        <f>IF(X20="","",NORM.S.DIST(X20,TRUE))</f>
        <v/>
      </c>
      <c r="Z20" s="13">
        <f>IF(Y20="","",IF(Y20&lt;='组合输入'!$K6,"AAA",IF(Y20&lt;='组合输入'!$L6,"AA",IF(Y20&lt;='组合输入'!$M6,"A",IF(Y20&lt;='组合输入'!$N6,"BBB",IF(Y20&lt;='组合输入'!$O6,"BB",IF(Y20&lt;='组合输入'!$P6,"B",IF(Y20&lt;='组合输入'!$Q6,"CCC","D")))))))</f>
        <v/>
      </c>
      <c r="AA20" s="12">
        <f>IF(Z20="","",INDEX('状态价值'!$D6:$K6,MATCH(Z20,'状态价值'!$D$1:$K$1,0)))</f>
        <v/>
      </c>
      <c r="AB20" s="15">
        <f>NORM.S.INV(RAND())</f>
        <v/>
      </c>
      <c r="AC20" s="15">
        <f>IF('组合输入'!$C7="","",'组合输入'!$H7*$B20+SQRT(1-'组合输入'!$H7^2)*AB20)</f>
        <v/>
      </c>
      <c r="AD20" s="7">
        <f>IF(AC20="","",NORM.S.DIST(AC20,TRUE))</f>
        <v/>
      </c>
      <c r="AE20" s="13">
        <f>IF(AD20="","",IF(AD20&lt;='组合输入'!$K7,"AAA",IF(AD20&lt;='组合输入'!$L7,"AA",IF(AD20&lt;='组合输入'!$M7,"A",IF(AD20&lt;='组合输入'!$N7,"BBB",IF(AD20&lt;='组合输入'!$O7,"BB",IF(AD20&lt;='组合输入'!$P7,"B",IF(AD20&lt;='组合输入'!$Q7,"CCC","D")))))))</f>
        <v/>
      </c>
      <c r="AF20" s="12">
        <f>IF(AE20="","",INDEX('状态价值'!$D7:$K7,MATCH(AE20,'状态价值'!$D$1:$K$1,0)))</f>
        <v/>
      </c>
      <c r="AG20" s="15">
        <f>NORM.S.INV(RAND())</f>
        <v/>
      </c>
      <c r="AH20" s="15">
        <f>IF('组合输入'!$C8="","",'组合输入'!$H8*$B20+SQRT(1-'组合输入'!$H8^2)*AG20)</f>
        <v/>
      </c>
      <c r="AI20" s="7">
        <f>IF(AH20="","",NORM.S.DIST(AH20,TRUE))</f>
        <v/>
      </c>
      <c r="AJ20" s="13">
        <f>IF(AI20="","",IF(AI20&lt;='组合输入'!$K8,"AAA",IF(AI20&lt;='组合输入'!$L8,"AA",IF(AI20&lt;='组合输入'!$M8,"A",IF(AI20&lt;='组合输入'!$N8,"BBB",IF(AI20&lt;='组合输入'!$O8,"BB",IF(AI20&lt;='组合输入'!$P8,"B",IF(AI20&lt;='组合输入'!$Q8,"CCC","D")))))))</f>
        <v/>
      </c>
      <c r="AK20" s="12">
        <f>IF(AJ20="","",INDEX('状态价值'!$D8:$K8,MATCH(AJ20,'状态价值'!$D$1:$K$1,0)))</f>
        <v/>
      </c>
      <c r="AL20" s="15">
        <f>NORM.S.INV(RAND())</f>
        <v/>
      </c>
      <c r="AM20" s="15">
        <f>IF('组合输入'!$C9="","",'组合输入'!$H9*$B20+SQRT(1-'组合输入'!$H9^2)*AL20)</f>
        <v/>
      </c>
      <c r="AN20" s="7">
        <f>IF(AM20="","",NORM.S.DIST(AM20,TRUE))</f>
        <v/>
      </c>
      <c r="AO20" s="13">
        <f>IF(AN20="","",IF(AN20&lt;='组合输入'!$K9,"AAA",IF(AN20&lt;='组合输入'!$L9,"AA",IF(AN20&lt;='组合输入'!$M9,"A",IF(AN20&lt;='组合输入'!$N9,"BBB",IF(AN20&lt;='组合输入'!$O9,"BB",IF(AN20&lt;='组合输入'!$P9,"B",IF(AN20&lt;='组合输入'!$Q9,"CCC","D")))))))</f>
        <v/>
      </c>
      <c r="AP20" s="12">
        <f>IF(AO20="","",INDEX('状态价值'!$D9:$K9,MATCH(AO20,'状态价值'!$D$1:$K$1,0)))</f>
        <v/>
      </c>
      <c r="AQ20" s="15">
        <f>NORM.S.INV(RAND())</f>
        <v/>
      </c>
      <c r="AR20" s="15">
        <f>IF('组合输入'!$C10="","",'组合输入'!$H10*$B20+SQRT(1-'组合输入'!$H10^2)*AQ20)</f>
        <v/>
      </c>
      <c r="AS20" s="7">
        <f>IF(AR20="","",NORM.S.DIST(AR20,TRUE))</f>
        <v/>
      </c>
      <c r="AT20" s="13">
        <f>IF(AS20="","",IF(AS20&lt;='组合输入'!$K10,"AAA",IF(AS20&lt;='组合输入'!$L10,"AA",IF(AS20&lt;='组合输入'!$M10,"A",IF(AS20&lt;='组合输入'!$N10,"BBB",IF(AS20&lt;='组合输入'!$O10,"BB",IF(AS20&lt;='组合输入'!$P10,"B",IF(AS20&lt;='组合输入'!$Q10,"CCC","D")))))))</f>
        <v/>
      </c>
      <c r="AU20" s="12">
        <f>IF(AT20="","",INDEX('状态价值'!$D10:$K10,MATCH(AT20,'状态价值'!$D$1:$K$1,0)))</f>
        <v/>
      </c>
      <c r="AV20" s="15">
        <f>NORM.S.INV(RAND())</f>
        <v/>
      </c>
      <c r="AW20" s="15">
        <f>IF('组合输入'!$C11="","",'组合输入'!$H11*$B20+SQRT(1-'组合输入'!$H11^2)*AV20)</f>
        <v/>
      </c>
      <c r="AX20" s="7">
        <f>IF(AW20="","",NORM.S.DIST(AW20,TRUE))</f>
        <v/>
      </c>
      <c r="AY20" s="13">
        <f>IF(AX20="","",IF(AX20&lt;='组合输入'!$K11,"AAA",IF(AX20&lt;='组合输入'!$L11,"AA",IF(AX20&lt;='组合输入'!$M11,"A",IF(AX20&lt;='组合输入'!$N11,"BBB",IF(AX20&lt;='组合输入'!$O11,"BB",IF(AX20&lt;='组合输入'!$P11,"B",IF(AX20&lt;='组合输入'!$Q11,"CCC","D")))))))</f>
        <v/>
      </c>
      <c r="AZ20" s="12">
        <f>IF(AY20="","",INDEX('状态价值'!$D11:$K11,MATCH(AY20,'状态价值'!$D$1:$K$1,0)))</f>
        <v/>
      </c>
      <c r="BA20" s="12">
        <f>G20+L20+Q20+V20+AA20+AF20+AK20+AP20+AU20+AZ20</f>
        <v/>
      </c>
      <c r="BB20" s="12">
        <f>SUM('组合输入'!$J$2:$J$11)-BA20</f>
        <v/>
      </c>
    </row>
    <row r="21">
      <c r="A21" s="11" t="n">
        <v>20</v>
      </c>
      <c r="B21" s="14">
        <f>NORM.S.INV(RAND())</f>
        <v/>
      </c>
      <c r="C21" s="14">
        <f>NORM.S.INV(RAND())</f>
        <v/>
      </c>
      <c r="D21" s="15">
        <f>IF('组合输入'!$C2="","",'组合输入'!$H2*$B21+SQRT(1-'组合输入'!$H2^2)*C21)</f>
        <v/>
      </c>
      <c r="E21" s="7">
        <f>IF(D21="","",NORM.S.DIST(D21,TRUE))</f>
        <v/>
      </c>
      <c r="F21" s="13">
        <f>IF(E21="","",IF(E21&lt;='组合输入'!$K2,"AAA",IF(E21&lt;='组合输入'!$L2,"AA",IF(E21&lt;='组合输入'!$M2,"A",IF(E21&lt;='组合输入'!$N2,"BBB",IF(E21&lt;='组合输入'!$O2,"BB",IF(E21&lt;='组合输入'!$P2,"B",IF(E21&lt;='组合输入'!$Q2,"CCC","D")))))))</f>
        <v/>
      </c>
      <c r="G21" s="12">
        <f>IF(F21="","",INDEX('状态价值'!$D2:$K2,MATCH(F21,'状态价值'!$D$1:$K$1,0)))</f>
        <v/>
      </c>
      <c r="H21" s="15">
        <f>NORM.S.INV(RAND())</f>
        <v/>
      </c>
      <c r="I21" s="15">
        <f>IF('组合输入'!$C3="","",'组合输入'!$H3*$B21+SQRT(1-'组合输入'!$H3^2)*H21)</f>
        <v/>
      </c>
      <c r="J21" s="7">
        <f>IF(I21="","",NORM.S.DIST(I21,TRUE))</f>
        <v/>
      </c>
      <c r="K21" s="13">
        <f>IF(J21="","",IF(J21&lt;='组合输入'!$K3,"AAA",IF(J21&lt;='组合输入'!$L3,"AA",IF(J21&lt;='组合输入'!$M3,"A",IF(J21&lt;='组合输入'!$N3,"BBB",IF(J21&lt;='组合输入'!$O3,"BB",IF(J21&lt;='组合输入'!$P3,"B",IF(J21&lt;='组合输入'!$Q3,"CCC","D")))))))</f>
        <v/>
      </c>
      <c r="L21" s="12">
        <f>IF(K21="","",INDEX('状态价值'!$D3:$K3,MATCH(K21,'状态价值'!$D$1:$K$1,0)))</f>
        <v/>
      </c>
      <c r="M21" s="15">
        <f>NORM.S.INV(RAND())</f>
        <v/>
      </c>
      <c r="N21" s="15">
        <f>IF('组合输入'!$C4="","",'组合输入'!$H4*$B21+SQRT(1-'组合输入'!$H4^2)*M21)</f>
        <v/>
      </c>
      <c r="O21" s="7">
        <f>IF(N21="","",NORM.S.DIST(N21,TRUE))</f>
        <v/>
      </c>
      <c r="P21" s="13">
        <f>IF(O21="","",IF(O21&lt;='组合输入'!$K4,"AAA",IF(O21&lt;='组合输入'!$L4,"AA",IF(O21&lt;='组合输入'!$M4,"A",IF(O21&lt;='组合输入'!$N4,"BBB",IF(O21&lt;='组合输入'!$O4,"BB",IF(O21&lt;='组合输入'!$P4,"B",IF(O21&lt;='组合输入'!$Q4,"CCC","D")))))))</f>
        <v/>
      </c>
      <c r="Q21" s="12">
        <f>IF(P21="","",INDEX('状态价值'!$D4:$K4,MATCH(P21,'状态价值'!$D$1:$K$1,0)))</f>
        <v/>
      </c>
      <c r="R21" s="15">
        <f>NORM.S.INV(RAND())</f>
        <v/>
      </c>
      <c r="S21" s="15">
        <f>IF('组合输入'!$C5="","",'组合输入'!$H5*$B21+SQRT(1-'组合输入'!$H5^2)*R21)</f>
        <v/>
      </c>
      <c r="T21" s="7">
        <f>IF(S21="","",NORM.S.DIST(S21,TRUE))</f>
        <v/>
      </c>
      <c r="U21" s="13">
        <f>IF(T21="","",IF(T21&lt;='组合输入'!$K5,"AAA",IF(T21&lt;='组合输入'!$L5,"AA",IF(T21&lt;='组合输入'!$M5,"A",IF(T21&lt;='组合输入'!$N5,"BBB",IF(T21&lt;='组合输入'!$O5,"BB",IF(T21&lt;='组合输入'!$P5,"B",IF(T21&lt;='组合输入'!$Q5,"CCC","D")))))))</f>
        <v/>
      </c>
      <c r="V21" s="12">
        <f>IF(U21="","",INDEX('状态价值'!$D5:$K5,MATCH(U21,'状态价值'!$D$1:$K$1,0)))</f>
        <v/>
      </c>
      <c r="W21" s="15">
        <f>NORM.S.INV(RAND())</f>
        <v/>
      </c>
      <c r="X21" s="15">
        <f>IF('组合输入'!$C6="","",'组合输入'!$H6*$B21+SQRT(1-'组合输入'!$H6^2)*W21)</f>
        <v/>
      </c>
      <c r="Y21" s="7">
        <f>IF(X21="","",NORM.S.DIST(X21,TRUE))</f>
        <v/>
      </c>
      <c r="Z21" s="13">
        <f>IF(Y21="","",IF(Y21&lt;='组合输入'!$K6,"AAA",IF(Y21&lt;='组合输入'!$L6,"AA",IF(Y21&lt;='组合输入'!$M6,"A",IF(Y21&lt;='组合输入'!$N6,"BBB",IF(Y21&lt;='组合输入'!$O6,"BB",IF(Y21&lt;='组合输入'!$P6,"B",IF(Y21&lt;='组合输入'!$Q6,"CCC","D")))))))</f>
        <v/>
      </c>
      <c r="AA21" s="12">
        <f>IF(Z21="","",INDEX('状态价值'!$D6:$K6,MATCH(Z21,'状态价值'!$D$1:$K$1,0)))</f>
        <v/>
      </c>
      <c r="AB21" s="15">
        <f>NORM.S.INV(RAND())</f>
        <v/>
      </c>
      <c r="AC21" s="15">
        <f>IF('组合输入'!$C7="","",'组合输入'!$H7*$B21+SQRT(1-'组合输入'!$H7^2)*AB21)</f>
        <v/>
      </c>
      <c r="AD21" s="7">
        <f>IF(AC21="","",NORM.S.DIST(AC21,TRUE))</f>
        <v/>
      </c>
      <c r="AE21" s="13">
        <f>IF(AD21="","",IF(AD21&lt;='组合输入'!$K7,"AAA",IF(AD21&lt;='组合输入'!$L7,"AA",IF(AD21&lt;='组合输入'!$M7,"A",IF(AD21&lt;='组合输入'!$N7,"BBB",IF(AD21&lt;='组合输入'!$O7,"BB",IF(AD21&lt;='组合输入'!$P7,"B",IF(AD21&lt;='组合输入'!$Q7,"CCC","D")))))))</f>
        <v/>
      </c>
      <c r="AF21" s="12">
        <f>IF(AE21="","",INDEX('状态价值'!$D7:$K7,MATCH(AE21,'状态价值'!$D$1:$K$1,0)))</f>
        <v/>
      </c>
      <c r="AG21" s="15">
        <f>NORM.S.INV(RAND())</f>
        <v/>
      </c>
      <c r="AH21" s="15">
        <f>IF('组合输入'!$C8="","",'组合输入'!$H8*$B21+SQRT(1-'组合输入'!$H8^2)*AG21)</f>
        <v/>
      </c>
      <c r="AI21" s="7">
        <f>IF(AH21="","",NORM.S.DIST(AH21,TRUE))</f>
        <v/>
      </c>
      <c r="AJ21" s="13">
        <f>IF(AI21="","",IF(AI21&lt;='组合输入'!$K8,"AAA",IF(AI21&lt;='组合输入'!$L8,"AA",IF(AI21&lt;='组合输入'!$M8,"A",IF(AI21&lt;='组合输入'!$N8,"BBB",IF(AI21&lt;='组合输入'!$O8,"BB",IF(AI21&lt;='组合输入'!$P8,"B",IF(AI21&lt;='组合输入'!$Q8,"CCC","D")))))))</f>
        <v/>
      </c>
      <c r="AK21" s="12">
        <f>IF(AJ21="","",INDEX('状态价值'!$D8:$K8,MATCH(AJ21,'状态价值'!$D$1:$K$1,0)))</f>
        <v/>
      </c>
      <c r="AL21" s="15">
        <f>NORM.S.INV(RAND())</f>
        <v/>
      </c>
      <c r="AM21" s="15">
        <f>IF('组合输入'!$C9="","",'组合输入'!$H9*$B21+SQRT(1-'组合输入'!$H9^2)*AL21)</f>
        <v/>
      </c>
      <c r="AN21" s="7">
        <f>IF(AM21="","",NORM.S.DIST(AM21,TRUE))</f>
        <v/>
      </c>
      <c r="AO21" s="13">
        <f>IF(AN21="","",IF(AN21&lt;='组合输入'!$K9,"AAA",IF(AN21&lt;='组合输入'!$L9,"AA",IF(AN21&lt;='组合输入'!$M9,"A",IF(AN21&lt;='组合输入'!$N9,"BBB",IF(AN21&lt;='组合输入'!$O9,"BB",IF(AN21&lt;='组合输入'!$P9,"B",IF(AN21&lt;='组合输入'!$Q9,"CCC","D")))))))</f>
        <v/>
      </c>
      <c r="AP21" s="12">
        <f>IF(AO21="","",INDEX('状态价值'!$D9:$K9,MATCH(AO21,'状态价值'!$D$1:$K$1,0)))</f>
        <v/>
      </c>
      <c r="AQ21" s="15">
        <f>NORM.S.INV(RAND())</f>
        <v/>
      </c>
      <c r="AR21" s="15">
        <f>IF('组合输入'!$C10="","",'组合输入'!$H10*$B21+SQRT(1-'组合输入'!$H10^2)*AQ21)</f>
        <v/>
      </c>
      <c r="AS21" s="7">
        <f>IF(AR21="","",NORM.S.DIST(AR21,TRUE))</f>
        <v/>
      </c>
      <c r="AT21" s="13">
        <f>IF(AS21="","",IF(AS21&lt;='组合输入'!$K10,"AAA",IF(AS21&lt;='组合输入'!$L10,"AA",IF(AS21&lt;='组合输入'!$M10,"A",IF(AS21&lt;='组合输入'!$N10,"BBB",IF(AS21&lt;='组合输入'!$O10,"BB",IF(AS21&lt;='组合输入'!$P10,"B",IF(AS21&lt;='组合输入'!$Q10,"CCC","D")))))))</f>
        <v/>
      </c>
      <c r="AU21" s="12">
        <f>IF(AT21="","",INDEX('状态价值'!$D10:$K10,MATCH(AT21,'状态价值'!$D$1:$K$1,0)))</f>
        <v/>
      </c>
      <c r="AV21" s="15">
        <f>NORM.S.INV(RAND())</f>
        <v/>
      </c>
      <c r="AW21" s="15">
        <f>IF('组合输入'!$C11="","",'组合输入'!$H11*$B21+SQRT(1-'组合输入'!$H11^2)*AV21)</f>
        <v/>
      </c>
      <c r="AX21" s="7">
        <f>IF(AW21="","",NORM.S.DIST(AW21,TRUE))</f>
        <v/>
      </c>
      <c r="AY21" s="13">
        <f>IF(AX21="","",IF(AX21&lt;='组合输入'!$K11,"AAA",IF(AX21&lt;='组合输入'!$L11,"AA",IF(AX21&lt;='组合输入'!$M11,"A",IF(AX21&lt;='组合输入'!$N11,"BBB",IF(AX21&lt;='组合输入'!$O11,"BB",IF(AX21&lt;='组合输入'!$P11,"B",IF(AX21&lt;='组合输入'!$Q11,"CCC","D")))))))</f>
        <v/>
      </c>
      <c r="AZ21" s="12">
        <f>IF(AY21="","",INDEX('状态价值'!$D11:$K11,MATCH(AY21,'状态价值'!$D$1:$K$1,0)))</f>
        <v/>
      </c>
      <c r="BA21" s="12">
        <f>G21+L21+Q21+V21+AA21+AF21+AK21+AP21+AU21+AZ21</f>
        <v/>
      </c>
      <c r="BB21" s="12">
        <f>SUM('组合输入'!$J$2:$J$11)-BA21</f>
        <v/>
      </c>
    </row>
    <row r="22">
      <c r="A22" s="11" t="n">
        <v>21</v>
      </c>
      <c r="B22" s="14">
        <f>NORM.S.INV(RAND())</f>
        <v/>
      </c>
      <c r="C22" s="14">
        <f>NORM.S.INV(RAND())</f>
        <v/>
      </c>
      <c r="D22" s="15">
        <f>IF('组合输入'!$C2="","",'组合输入'!$H2*$B22+SQRT(1-'组合输入'!$H2^2)*C22)</f>
        <v/>
      </c>
      <c r="E22" s="7">
        <f>IF(D22="","",NORM.S.DIST(D22,TRUE))</f>
        <v/>
      </c>
      <c r="F22" s="13">
        <f>IF(E22="","",IF(E22&lt;='组合输入'!$K2,"AAA",IF(E22&lt;='组合输入'!$L2,"AA",IF(E22&lt;='组合输入'!$M2,"A",IF(E22&lt;='组合输入'!$N2,"BBB",IF(E22&lt;='组合输入'!$O2,"BB",IF(E22&lt;='组合输入'!$P2,"B",IF(E22&lt;='组合输入'!$Q2,"CCC","D")))))))</f>
        <v/>
      </c>
      <c r="G22" s="12">
        <f>IF(F22="","",INDEX('状态价值'!$D2:$K2,MATCH(F22,'状态价值'!$D$1:$K$1,0)))</f>
        <v/>
      </c>
      <c r="H22" s="15">
        <f>NORM.S.INV(RAND())</f>
        <v/>
      </c>
      <c r="I22" s="15">
        <f>IF('组合输入'!$C3="","",'组合输入'!$H3*$B22+SQRT(1-'组合输入'!$H3^2)*H22)</f>
        <v/>
      </c>
      <c r="J22" s="7">
        <f>IF(I22="","",NORM.S.DIST(I22,TRUE))</f>
        <v/>
      </c>
      <c r="K22" s="13">
        <f>IF(J22="","",IF(J22&lt;='组合输入'!$K3,"AAA",IF(J22&lt;='组合输入'!$L3,"AA",IF(J22&lt;='组合输入'!$M3,"A",IF(J22&lt;='组合输入'!$N3,"BBB",IF(J22&lt;='组合输入'!$O3,"BB",IF(J22&lt;='组合输入'!$P3,"B",IF(J22&lt;='组合输入'!$Q3,"CCC","D")))))))</f>
        <v/>
      </c>
      <c r="L22" s="12">
        <f>IF(K22="","",INDEX('状态价值'!$D3:$K3,MATCH(K22,'状态价值'!$D$1:$K$1,0)))</f>
        <v/>
      </c>
      <c r="M22" s="15">
        <f>NORM.S.INV(RAND())</f>
        <v/>
      </c>
      <c r="N22" s="15">
        <f>IF('组合输入'!$C4="","",'组合输入'!$H4*$B22+SQRT(1-'组合输入'!$H4^2)*M22)</f>
        <v/>
      </c>
      <c r="O22" s="7">
        <f>IF(N22="","",NORM.S.DIST(N22,TRUE))</f>
        <v/>
      </c>
      <c r="P22" s="13">
        <f>IF(O22="","",IF(O22&lt;='组合输入'!$K4,"AAA",IF(O22&lt;='组合输入'!$L4,"AA",IF(O22&lt;='组合输入'!$M4,"A",IF(O22&lt;='组合输入'!$N4,"BBB",IF(O22&lt;='组合输入'!$O4,"BB",IF(O22&lt;='组合输入'!$P4,"B",IF(O22&lt;='组合输入'!$Q4,"CCC","D")))))))</f>
        <v/>
      </c>
      <c r="Q22" s="12">
        <f>IF(P22="","",INDEX('状态价值'!$D4:$K4,MATCH(P22,'状态价值'!$D$1:$K$1,0)))</f>
        <v/>
      </c>
      <c r="R22" s="15">
        <f>NORM.S.INV(RAND())</f>
        <v/>
      </c>
      <c r="S22" s="15">
        <f>IF('组合输入'!$C5="","",'组合输入'!$H5*$B22+SQRT(1-'组合输入'!$H5^2)*R22)</f>
        <v/>
      </c>
      <c r="T22" s="7">
        <f>IF(S22="","",NORM.S.DIST(S22,TRUE))</f>
        <v/>
      </c>
      <c r="U22" s="13">
        <f>IF(T22="","",IF(T22&lt;='组合输入'!$K5,"AAA",IF(T22&lt;='组合输入'!$L5,"AA",IF(T22&lt;='组合输入'!$M5,"A",IF(T22&lt;='组合输入'!$N5,"BBB",IF(T22&lt;='组合输入'!$O5,"BB",IF(T22&lt;='组合输入'!$P5,"B",IF(T22&lt;='组合输入'!$Q5,"CCC","D")))))))</f>
        <v/>
      </c>
      <c r="V22" s="12">
        <f>IF(U22="","",INDEX('状态价值'!$D5:$K5,MATCH(U22,'状态价值'!$D$1:$K$1,0)))</f>
        <v/>
      </c>
      <c r="W22" s="15">
        <f>NORM.S.INV(RAND())</f>
        <v/>
      </c>
      <c r="X22" s="15">
        <f>IF('组合输入'!$C6="","",'组合输入'!$H6*$B22+SQRT(1-'组合输入'!$H6^2)*W22)</f>
        <v/>
      </c>
      <c r="Y22" s="7">
        <f>IF(X22="","",NORM.S.DIST(X22,TRUE))</f>
        <v/>
      </c>
      <c r="Z22" s="13">
        <f>IF(Y22="","",IF(Y22&lt;='组合输入'!$K6,"AAA",IF(Y22&lt;='组合输入'!$L6,"AA",IF(Y22&lt;='组合输入'!$M6,"A",IF(Y22&lt;='组合输入'!$N6,"BBB",IF(Y22&lt;='组合输入'!$O6,"BB",IF(Y22&lt;='组合输入'!$P6,"B",IF(Y22&lt;='组合输入'!$Q6,"CCC","D")))))))</f>
        <v/>
      </c>
      <c r="AA22" s="12">
        <f>IF(Z22="","",INDEX('状态价值'!$D6:$K6,MATCH(Z22,'状态价值'!$D$1:$K$1,0)))</f>
        <v/>
      </c>
      <c r="AB22" s="15">
        <f>NORM.S.INV(RAND())</f>
        <v/>
      </c>
      <c r="AC22" s="15">
        <f>IF('组合输入'!$C7="","",'组合输入'!$H7*$B22+SQRT(1-'组合输入'!$H7^2)*AB22)</f>
        <v/>
      </c>
      <c r="AD22" s="7">
        <f>IF(AC22="","",NORM.S.DIST(AC22,TRUE))</f>
        <v/>
      </c>
      <c r="AE22" s="13">
        <f>IF(AD22="","",IF(AD22&lt;='组合输入'!$K7,"AAA",IF(AD22&lt;='组合输入'!$L7,"AA",IF(AD22&lt;='组合输入'!$M7,"A",IF(AD22&lt;='组合输入'!$N7,"BBB",IF(AD22&lt;='组合输入'!$O7,"BB",IF(AD22&lt;='组合输入'!$P7,"B",IF(AD22&lt;='组合输入'!$Q7,"CCC","D")))))))</f>
        <v/>
      </c>
      <c r="AF22" s="12">
        <f>IF(AE22="","",INDEX('状态价值'!$D7:$K7,MATCH(AE22,'状态价值'!$D$1:$K$1,0)))</f>
        <v/>
      </c>
      <c r="AG22" s="15">
        <f>NORM.S.INV(RAND())</f>
        <v/>
      </c>
      <c r="AH22" s="15">
        <f>IF('组合输入'!$C8="","",'组合输入'!$H8*$B22+SQRT(1-'组合输入'!$H8^2)*AG22)</f>
        <v/>
      </c>
      <c r="AI22" s="7">
        <f>IF(AH22="","",NORM.S.DIST(AH22,TRUE))</f>
        <v/>
      </c>
      <c r="AJ22" s="13">
        <f>IF(AI22="","",IF(AI22&lt;='组合输入'!$K8,"AAA",IF(AI22&lt;='组合输入'!$L8,"AA",IF(AI22&lt;='组合输入'!$M8,"A",IF(AI22&lt;='组合输入'!$N8,"BBB",IF(AI22&lt;='组合输入'!$O8,"BB",IF(AI22&lt;='组合输入'!$P8,"B",IF(AI22&lt;='组合输入'!$Q8,"CCC","D")))))))</f>
        <v/>
      </c>
      <c r="AK22" s="12">
        <f>IF(AJ22="","",INDEX('状态价值'!$D8:$K8,MATCH(AJ22,'状态价值'!$D$1:$K$1,0)))</f>
        <v/>
      </c>
      <c r="AL22" s="15">
        <f>NORM.S.INV(RAND())</f>
        <v/>
      </c>
      <c r="AM22" s="15">
        <f>IF('组合输入'!$C9="","",'组合输入'!$H9*$B22+SQRT(1-'组合输入'!$H9^2)*AL22)</f>
        <v/>
      </c>
      <c r="AN22" s="7">
        <f>IF(AM22="","",NORM.S.DIST(AM22,TRUE))</f>
        <v/>
      </c>
      <c r="AO22" s="13">
        <f>IF(AN22="","",IF(AN22&lt;='组合输入'!$K9,"AAA",IF(AN22&lt;='组合输入'!$L9,"AA",IF(AN22&lt;='组合输入'!$M9,"A",IF(AN22&lt;='组合输入'!$N9,"BBB",IF(AN22&lt;='组合输入'!$O9,"BB",IF(AN22&lt;='组合输入'!$P9,"B",IF(AN22&lt;='组合输入'!$Q9,"CCC","D")))))))</f>
        <v/>
      </c>
      <c r="AP22" s="12">
        <f>IF(AO22="","",INDEX('状态价值'!$D9:$K9,MATCH(AO22,'状态价值'!$D$1:$K$1,0)))</f>
        <v/>
      </c>
      <c r="AQ22" s="15">
        <f>NORM.S.INV(RAND())</f>
        <v/>
      </c>
      <c r="AR22" s="15">
        <f>IF('组合输入'!$C10="","",'组合输入'!$H10*$B22+SQRT(1-'组合输入'!$H10^2)*AQ22)</f>
        <v/>
      </c>
      <c r="AS22" s="7">
        <f>IF(AR22="","",NORM.S.DIST(AR22,TRUE))</f>
        <v/>
      </c>
      <c r="AT22" s="13">
        <f>IF(AS22="","",IF(AS22&lt;='组合输入'!$K10,"AAA",IF(AS22&lt;='组合输入'!$L10,"AA",IF(AS22&lt;='组合输入'!$M10,"A",IF(AS22&lt;='组合输入'!$N10,"BBB",IF(AS22&lt;='组合输入'!$O10,"BB",IF(AS22&lt;='组合输入'!$P10,"B",IF(AS22&lt;='组合输入'!$Q10,"CCC","D")))))))</f>
        <v/>
      </c>
      <c r="AU22" s="12">
        <f>IF(AT22="","",INDEX('状态价值'!$D10:$K10,MATCH(AT22,'状态价值'!$D$1:$K$1,0)))</f>
        <v/>
      </c>
      <c r="AV22" s="15">
        <f>NORM.S.INV(RAND())</f>
        <v/>
      </c>
      <c r="AW22" s="15">
        <f>IF('组合输入'!$C11="","",'组合输入'!$H11*$B22+SQRT(1-'组合输入'!$H11^2)*AV22)</f>
        <v/>
      </c>
      <c r="AX22" s="7">
        <f>IF(AW22="","",NORM.S.DIST(AW22,TRUE))</f>
        <v/>
      </c>
      <c r="AY22" s="13">
        <f>IF(AX22="","",IF(AX22&lt;='组合输入'!$K11,"AAA",IF(AX22&lt;='组合输入'!$L11,"AA",IF(AX22&lt;='组合输入'!$M11,"A",IF(AX22&lt;='组合输入'!$N11,"BBB",IF(AX22&lt;='组合输入'!$O11,"BB",IF(AX22&lt;='组合输入'!$P11,"B",IF(AX22&lt;='组合输入'!$Q11,"CCC","D")))))))</f>
        <v/>
      </c>
      <c r="AZ22" s="12">
        <f>IF(AY22="","",INDEX('状态价值'!$D11:$K11,MATCH(AY22,'状态价值'!$D$1:$K$1,0)))</f>
        <v/>
      </c>
      <c r="BA22" s="12">
        <f>G22+L22+Q22+V22+AA22+AF22+AK22+AP22+AU22+AZ22</f>
        <v/>
      </c>
      <c r="BB22" s="12">
        <f>SUM('组合输入'!$J$2:$J$11)-BA22</f>
        <v/>
      </c>
    </row>
    <row r="23">
      <c r="A23" s="11" t="n">
        <v>22</v>
      </c>
      <c r="B23" s="14">
        <f>NORM.S.INV(RAND())</f>
        <v/>
      </c>
      <c r="C23" s="14">
        <f>NORM.S.INV(RAND())</f>
        <v/>
      </c>
      <c r="D23" s="15">
        <f>IF('组合输入'!$C2="","",'组合输入'!$H2*$B23+SQRT(1-'组合输入'!$H2^2)*C23)</f>
        <v/>
      </c>
      <c r="E23" s="7">
        <f>IF(D23="","",NORM.S.DIST(D23,TRUE))</f>
        <v/>
      </c>
      <c r="F23" s="13">
        <f>IF(E23="","",IF(E23&lt;='组合输入'!$K2,"AAA",IF(E23&lt;='组合输入'!$L2,"AA",IF(E23&lt;='组合输入'!$M2,"A",IF(E23&lt;='组合输入'!$N2,"BBB",IF(E23&lt;='组合输入'!$O2,"BB",IF(E23&lt;='组合输入'!$P2,"B",IF(E23&lt;='组合输入'!$Q2,"CCC","D")))))))</f>
        <v/>
      </c>
      <c r="G23" s="12">
        <f>IF(F23="","",INDEX('状态价值'!$D2:$K2,MATCH(F23,'状态价值'!$D$1:$K$1,0)))</f>
        <v/>
      </c>
      <c r="H23" s="15">
        <f>NORM.S.INV(RAND())</f>
        <v/>
      </c>
      <c r="I23" s="15">
        <f>IF('组合输入'!$C3="","",'组合输入'!$H3*$B23+SQRT(1-'组合输入'!$H3^2)*H23)</f>
        <v/>
      </c>
      <c r="J23" s="7">
        <f>IF(I23="","",NORM.S.DIST(I23,TRUE))</f>
        <v/>
      </c>
      <c r="K23" s="13">
        <f>IF(J23="","",IF(J23&lt;='组合输入'!$K3,"AAA",IF(J23&lt;='组合输入'!$L3,"AA",IF(J23&lt;='组合输入'!$M3,"A",IF(J23&lt;='组合输入'!$N3,"BBB",IF(J23&lt;='组合输入'!$O3,"BB",IF(J23&lt;='组合输入'!$P3,"B",IF(J23&lt;='组合输入'!$Q3,"CCC","D")))))))</f>
        <v/>
      </c>
      <c r="L23" s="12">
        <f>IF(K23="","",INDEX('状态价值'!$D3:$K3,MATCH(K23,'状态价值'!$D$1:$K$1,0)))</f>
        <v/>
      </c>
      <c r="M23" s="15">
        <f>NORM.S.INV(RAND())</f>
        <v/>
      </c>
      <c r="N23" s="15">
        <f>IF('组合输入'!$C4="","",'组合输入'!$H4*$B23+SQRT(1-'组合输入'!$H4^2)*M23)</f>
        <v/>
      </c>
      <c r="O23" s="7">
        <f>IF(N23="","",NORM.S.DIST(N23,TRUE))</f>
        <v/>
      </c>
      <c r="P23" s="13">
        <f>IF(O23="","",IF(O23&lt;='组合输入'!$K4,"AAA",IF(O23&lt;='组合输入'!$L4,"AA",IF(O23&lt;='组合输入'!$M4,"A",IF(O23&lt;='组合输入'!$N4,"BBB",IF(O23&lt;='组合输入'!$O4,"BB",IF(O23&lt;='组合输入'!$P4,"B",IF(O23&lt;='组合输入'!$Q4,"CCC","D")))))))</f>
        <v/>
      </c>
      <c r="Q23" s="12">
        <f>IF(P23="","",INDEX('状态价值'!$D4:$K4,MATCH(P23,'状态价值'!$D$1:$K$1,0)))</f>
        <v/>
      </c>
      <c r="R23" s="15">
        <f>NORM.S.INV(RAND())</f>
        <v/>
      </c>
      <c r="S23" s="15">
        <f>IF('组合输入'!$C5="","",'组合输入'!$H5*$B23+SQRT(1-'组合输入'!$H5^2)*R23)</f>
        <v/>
      </c>
      <c r="T23" s="7">
        <f>IF(S23="","",NORM.S.DIST(S23,TRUE))</f>
        <v/>
      </c>
      <c r="U23" s="13">
        <f>IF(T23="","",IF(T23&lt;='组合输入'!$K5,"AAA",IF(T23&lt;='组合输入'!$L5,"AA",IF(T23&lt;='组合输入'!$M5,"A",IF(T23&lt;='组合输入'!$N5,"BBB",IF(T23&lt;='组合输入'!$O5,"BB",IF(T23&lt;='组合输入'!$P5,"B",IF(T23&lt;='组合输入'!$Q5,"CCC","D")))))))</f>
        <v/>
      </c>
      <c r="V23" s="12">
        <f>IF(U23="","",INDEX('状态价值'!$D5:$K5,MATCH(U23,'状态价值'!$D$1:$K$1,0)))</f>
        <v/>
      </c>
      <c r="W23" s="15">
        <f>NORM.S.INV(RAND())</f>
        <v/>
      </c>
      <c r="X23" s="15">
        <f>IF('组合输入'!$C6="","",'组合输入'!$H6*$B23+SQRT(1-'组合输入'!$H6^2)*W23)</f>
        <v/>
      </c>
      <c r="Y23" s="7">
        <f>IF(X23="","",NORM.S.DIST(X23,TRUE))</f>
        <v/>
      </c>
      <c r="Z23" s="13">
        <f>IF(Y23="","",IF(Y23&lt;='组合输入'!$K6,"AAA",IF(Y23&lt;='组合输入'!$L6,"AA",IF(Y23&lt;='组合输入'!$M6,"A",IF(Y23&lt;='组合输入'!$N6,"BBB",IF(Y23&lt;='组合输入'!$O6,"BB",IF(Y23&lt;='组合输入'!$P6,"B",IF(Y23&lt;='组合输入'!$Q6,"CCC","D")))))))</f>
        <v/>
      </c>
      <c r="AA23" s="12">
        <f>IF(Z23="","",INDEX('状态价值'!$D6:$K6,MATCH(Z23,'状态价值'!$D$1:$K$1,0)))</f>
        <v/>
      </c>
      <c r="AB23" s="15">
        <f>NORM.S.INV(RAND())</f>
        <v/>
      </c>
      <c r="AC23" s="15">
        <f>IF('组合输入'!$C7="","",'组合输入'!$H7*$B23+SQRT(1-'组合输入'!$H7^2)*AB23)</f>
        <v/>
      </c>
      <c r="AD23" s="7">
        <f>IF(AC23="","",NORM.S.DIST(AC23,TRUE))</f>
        <v/>
      </c>
      <c r="AE23" s="13">
        <f>IF(AD23="","",IF(AD23&lt;='组合输入'!$K7,"AAA",IF(AD23&lt;='组合输入'!$L7,"AA",IF(AD23&lt;='组合输入'!$M7,"A",IF(AD23&lt;='组合输入'!$N7,"BBB",IF(AD23&lt;='组合输入'!$O7,"BB",IF(AD23&lt;='组合输入'!$P7,"B",IF(AD23&lt;='组合输入'!$Q7,"CCC","D")))))))</f>
        <v/>
      </c>
      <c r="AF23" s="12">
        <f>IF(AE23="","",INDEX('状态价值'!$D7:$K7,MATCH(AE23,'状态价值'!$D$1:$K$1,0)))</f>
        <v/>
      </c>
      <c r="AG23" s="15">
        <f>NORM.S.INV(RAND())</f>
        <v/>
      </c>
      <c r="AH23" s="15">
        <f>IF('组合输入'!$C8="","",'组合输入'!$H8*$B23+SQRT(1-'组合输入'!$H8^2)*AG23)</f>
        <v/>
      </c>
      <c r="AI23" s="7">
        <f>IF(AH23="","",NORM.S.DIST(AH23,TRUE))</f>
        <v/>
      </c>
      <c r="AJ23" s="13">
        <f>IF(AI23="","",IF(AI23&lt;='组合输入'!$K8,"AAA",IF(AI23&lt;='组合输入'!$L8,"AA",IF(AI23&lt;='组合输入'!$M8,"A",IF(AI23&lt;='组合输入'!$N8,"BBB",IF(AI23&lt;='组合输入'!$O8,"BB",IF(AI23&lt;='组合输入'!$P8,"B",IF(AI23&lt;='组合输入'!$Q8,"CCC","D")))))))</f>
        <v/>
      </c>
      <c r="AK23" s="12">
        <f>IF(AJ23="","",INDEX('状态价值'!$D8:$K8,MATCH(AJ23,'状态价值'!$D$1:$K$1,0)))</f>
        <v/>
      </c>
      <c r="AL23" s="15">
        <f>NORM.S.INV(RAND())</f>
        <v/>
      </c>
      <c r="AM23" s="15">
        <f>IF('组合输入'!$C9="","",'组合输入'!$H9*$B23+SQRT(1-'组合输入'!$H9^2)*AL23)</f>
        <v/>
      </c>
      <c r="AN23" s="7">
        <f>IF(AM23="","",NORM.S.DIST(AM23,TRUE))</f>
        <v/>
      </c>
      <c r="AO23" s="13">
        <f>IF(AN23="","",IF(AN23&lt;='组合输入'!$K9,"AAA",IF(AN23&lt;='组合输入'!$L9,"AA",IF(AN23&lt;='组合输入'!$M9,"A",IF(AN23&lt;='组合输入'!$N9,"BBB",IF(AN23&lt;='组合输入'!$O9,"BB",IF(AN23&lt;='组合输入'!$P9,"B",IF(AN23&lt;='组合输入'!$Q9,"CCC","D")))))))</f>
        <v/>
      </c>
      <c r="AP23" s="12">
        <f>IF(AO23="","",INDEX('状态价值'!$D9:$K9,MATCH(AO23,'状态价值'!$D$1:$K$1,0)))</f>
        <v/>
      </c>
      <c r="AQ23" s="15">
        <f>NORM.S.INV(RAND())</f>
        <v/>
      </c>
      <c r="AR23" s="15">
        <f>IF('组合输入'!$C10="","",'组合输入'!$H10*$B23+SQRT(1-'组合输入'!$H10^2)*AQ23)</f>
        <v/>
      </c>
      <c r="AS23" s="7">
        <f>IF(AR23="","",NORM.S.DIST(AR23,TRUE))</f>
        <v/>
      </c>
      <c r="AT23" s="13">
        <f>IF(AS23="","",IF(AS23&lt;='组合输入'!$K10,"AAA",IF(AS23&lt;='组合输入'!$L10,"AA",IF(AS23&lt;='组合输入'!$M10,"A",IF(AS23&lt;='组合输入'!$N10,"BBB",IF(AS23&lt;='组合输入'!$O10,"BB",IF(AS23&lt;='组合输入'!$P10,"B",IF(AS23&lt;='组合输入'!$Q10,"CCC","D")))))))</f>
        <v/>
      </c>
      <c r="AU23" s="12">
        <f>IF(AT23="","",INDEX('状态价值'!$D10:$K10,MATCH(AT23,'状态价值'!$D$1:$K$1,0)))</f>
        <v/>
      </c>
      <c r="AV23" s="15">
        <f>NORM.S.INV(RAND())</f>
        <v/>
      </c>
      <c r="AW23" s="15">
        <f>IF('组合输入'!$C11="","",'组合输入'!$H11*$B23+SQRT(1-'组合输入'!$H11^2)*AV23)</f>
        <v/>
      </c>
      <c r="AX23" s="7">
        <f>IF(AW23="","",NORM.S.DIST(AW23,TRUE))</f>
        <v/>
      </c>
      <c r="AY23" s="13">
        <f>IF(AX23="","",IF(AX23&lt;='组合输入'!$K11,"AAA",IF(AX23&lt;='组合输入'!$L11,"AA",IF(AX23&lt;='组合输入'!$M11,"A",IF(AX23&lt;='组合输入'!$N11,"BBB",IF(AX23&lt;='组合输入'!$O11,"BB",IF(AX23&lt;='组合输入'!$P11,"B",IF(AX23&lt;='组合输入'!$Q11,"CCC","D")))))))</f>
        <v/>
      </c>
      <c r="AZ23" s="12">
        <f>IF(AY23="","",INDEX('状态价值'!$D11:$K11,MATCH(AY23,'状态价值'!$D$1:$K$1,0)))</f>
        <v/>
      </c>
      <c r="BA23" s="12">
        <f>G23+L23+Q23+V23+AA23+AF23+AK23+AP23+AU23+AZ23</f>
        <v/>
      </c>
      <c r="BB23" s="12">
        <f>SUM('组合输入'!$J$2:$J$11)-BA23</f>
        <v/>
      </c>
    </row>
    <row r="24">
      <c r="A24" s="11" t="n">
        <v>23</v>
      </c>
      <c r="B24" s="14">
        <f>NORM.S.INV(RAND())</f>
        <v/>
      </c>
      <c r="C24" s="14">
        <f>NORM.S.INV(RAND())</f>
        <v/>
      </c>
      <c r="D24" s="15">
        <f>IF('组合输入'!$C2="","",'组合输入'!$H2*$B24+SQRT(1-'组合输入'!$H2^2)*C24)</f>
        <v/>
      </c>
      <c r="E24" s="7">
        <f>IF(D24="","",NORM.S.DIST(D24,TRUE))</f>
        <v/>
      </c>
      <c r="F24" s="13">
        <f>IF(E24="","",IF(E24&lt;='组合输入'!$K2,"AAA",IF(E24&lt;='组合输入'!$L2,"AA",IF(E24&lt;='组合输入'!$M2,"A",IF(E24&lt;='组合输入'!$N2,"BBB",IF(E24&lt;='组合输入'!$O2,"BB",IF(E24&lt;='组合输入'!$P2,"B",IF(E24&lt;='组合输入'!$Q2,"CCC","D")))))))</f>
        <v/>
      </c>
      <c r="G24" s="12">
        <f>IF(F24="","",INDEX('状态价值'!$D2:$K2,MATCH(F24,'状态价值'!$D$1:$K$1,0)))</f>
        <v/>
      </c>
      <c r="H24" s="15">
        <f>NORM.S.INV(RAND())</f>
        <v/>
      </c>
      <c r="I24" s="15">
        <f>IF('组合输入'!$C3="","",'组合输入'!$H3*$B24+SQRT(1-'组合输入'!$H3^2)*H24)</f>
        <v/>
      </c>
      <c r="J24" s="7">
        <f>IF(I24="","",NORM.S.DIST(I24,TRUE))</f>
        <v/>
      </c>
      <c r="K24" s="13">
        <f>IF(J24="","",IF(J24&lt;='组合输入'!$K3,"AAA",IF(J24&lt;='组合输入'!$L3,"AA",IF(J24&lt;='组合输入'!$M3,"A",IF(J24&lt;='组合输入'!$N3,"BBB",IF(J24&lt;='组合输入'!$O3,"BB",IF(J24&lt;='组合输入'!$P3,"B",IF(J24&lt;='组合输入'!$Q3,"CCC","D")))))))</f>
        <v/>
      </c>
      <c r="L24" s="12">
        <f>IF(K24="","",INDEX('状态价值'!$D3:$K3,MATCH(K24,'状态价值'!$D$1:$K$1,0)))</f>
        <v/>
      </c>
      <c r="M24" s="15">
        <f>NORM.S.INV(RAND())</f>
        <v/>
      </c>
      <c r="N24" s="15">
        <f>IF('组合输入'!$C4="","",'组合输入'!$H4*$B24+SQRT(1-'组合输入'!$H4^2)*M24)</f>
        <v/>
      </c>
      <c r="O24" s="7">
        <f>IF(N24="","",NORM.S.DIST(N24,TRUE))</f>
        <v/>
      </c>
      <c r="P24" s="13">
        <f>IF(O24="","",IF(O24&lt;='组合输入'!$K4,"AAA",IF(O24&lt;='组合输入'!$L4,"AA",IF(O24&lt;='组合输入'!$M4,"A",IF(O24&lt;='组合输入'!$N4,"BBB",IF(O24&lt;='组合输入'!$O4,"BB",IF(O24&lt;='组合输入'!$P4,"B",IF(O24&lt;='组合输入'!$Q4,"CCC","D")))))))</f>
        <v/>
      </c>
      <c r="Q24" s="12">
        <f>IF(P24="","",INDEX('状态价值'!$D4:$K4,MATCH(P24,'状态价值'!$D$1:$K$1,0)))</f>
        <v/>
      </c>
      <c r="R24" s="15">
        <f>NORM.S.INV(RAND())</f>
        <v/>
      </c>
      <c r="S24" s="15">
        <f>IF('组合输入'!$C5="","",'组合输入'!$H5*$B24+SQRT(1-'组合输入'!$H5^2)*R24)</f>
        <v/>
      </c>
      <c r="T24" s="7">
        <f>IF(S24="","",NORM.S.DIST(S24,TRUE))</f>
        <v/>
      </c>
      <c r="U24" s="13">
        <f>IF(T24="","",IF(T24&lt;='组合输入'!$K5,"AAA",IF(T24&lt;='组合输入'!$L5,"AA",IF(T24&lt;='组合输入'!$M5,"A",IF(T24&lt;='组合输入'!$N5,"BBB",IF(T24&lt;='组合输入'!$O5,"BB",IF(T24&lt;='组合输入'!$P5,"B",IF(T24&lt;='组合输入'!$Q5,"CCC","D")))))))</f>
        <v/>
      </c>
      <c r="V24" s="12">
        <f>IF(U24="","",INDEX('状态价值'!$D5:$K5,MATCH(U24,'状态价值'!$D$1:$K$1,0)))</f>
        <v/>
      </c>
      <c r="W24" s="15">
        <f>NORM.S.INV(RAND())</f>
        <v/>
      </c>
      <c r="X24" s="15">
        <f>IF('组合输入'!$C6="","",'组合输入'!$H6*$B24+SQRT(1-'组合输入'!$H6^2)*W24)</f>
        <v/>
      </c>
      <c r="Y24" s="7">
        <f>IF(X24="","",NORM.S.DIST(X24,TRUE))</f>
        <v/>
      </c>
      <c r="Z24" s="13">
        <f>IF(Y24="","",IF(Y24&lt;='组合输入'!$K6,"AAA",IF(Y24&lt;='组合输入'!$L6,"AA",IF(Y24&lt;='组合输入'!$M6,"A",IF(Y24&lt;='组合输入'!$N6,"BBB",IF(Y24&lt;='组合输入'!$O6,"BB",IF(Y24&lt;='组合输入'!$P6,"B",IF(Y24&lt;='组合输入'!$Q6,"CCC","D")))))))</f>
        <v/>
      </c>
      <c r="AA24" s="12">
        <f>IF(Z24="","",INDEX('状态价值'!$D6:$K6,MATCH(Z24,'状态价值'!$D$1:$K$1,0)))</f>
        <v/>
      </c>
      <c r="AB24" s="15">
        <f>NORM.S.INV(RAND())</f>
        <v/>
      </c>
      <c r="AC24" s="15">
        <f>IF('组合输入'!$C7="","",'组合输入'!$H7*$B24+SQRT(1-'组合输入'!$H7^2)*AB24)</f>
        <v/>
      </c>
      <c r="AD24" s="7">
        <f>IF(AC24="","",NORM.S.DIST(AC24,TRUE))</f>
        <v/>
      </c>
      <c r="AE24" s="13">
        <f>IF(AD24="","",IF(AD24&lt;='组合输入'!$K7,"AAA",IF(AD24&lt;='组合输入'!$L7,"AA",IF(AD24&lt;='组合输入'!$M7,"A",IF(AD24&lt;='组合输入'!$N7,"BBB",IF(AD24&lt;='组合输入'!$O7,"BB",IF(AD24&lt;='组合输入'!$P7,"B",IF(AD24&lt;='组合输入'!$Q7,"CCC","D")))))))</f>
        <v/>
      </c>
      <c r="AF24" s="12">
        <f>IF(AE24="","",INDEX('状态价值'!$D7:$K7,MATCH(AE24,'状态价值'!$D$1:$K$1,0)))</f>
        <v/>
      </c>
      <c r="AG24" s="15">
        <f>NORM.S.INV(RAND())</f>
        <v/>
      </c>
      <c r="AH24" s="15">
        <f>IF('组合输入'!$C8="","",'组合输入'!$H8*$B24+SQRT(1-'组合输入'!$H8^2)*AG24)</f>
        <v/>
      </c>
      <c r="AI24" s="7">
        <f>IF(AH24="","",NORM.S.DIST(AH24,TRUE))</f>
        <v/>
      </c>
      <c r="AJ24" s="13">
        <f>IF(AI24="","",IF(AI24&lt;='组合输入'!$K8,"AAA",IF(AI24&lt;='组合输入'!$L8,"AA",IF(AI24&lt;='组合输入'!$M8,"A",IF(AI24&lt;='组合输入'!$N8,"BBB",IF(AI24&lt;='组合输入'!$O8,"BB",IF(AI24&lt;='组合输入'!$P8,"B",IF(AI24&lt;='组合输入'!$Q8,"CCC","D")))))))</f>
        <v/>
      </c>
      <c r="AK24" s="12">
        <f>IF(AJ24="","",INDEX('状态价值'!$D8:$K8,MATCH(AJ24,'状态价值'!$D$1:$K$1,0)))</f>
        <v/>
      </c>
      <c r="AL24" s="15">
        <f>NORM.S.INV(RAND())</f>
        <v/>
      </c>
      <c r="AM24" s="15">
        <f>IF('组合输入'!$C9="","",'组合输入'!$H9*$B24+SQRT(1-'组合输入'!$H9^2)*AL24)</f>
        <v/>
      </c>
      <c r="AN24" s="7">
        <f>IF(AM24="","",NORM.S.DIST(AM24,TRUE))</f>
        <v/>
      </c>
      <c r="AO24" s="13">
        <f>IF(AN24="","",IF(AN24&lt;='组合输入'!$K9,"AAA",IF(AN24&lt;='组合输入'!$L9,"AA",IF(AN24&lt;='组合输入'!$M9,"A",IF(AN24&lt;='组合输入'!$N9,"BBB",IF(AN24&lt;='组合输入'!$O9,"BB",IF(AN24&lt;='组合输入'!$P9,"B",IF(AN24&lt;='组合输入'!$Q9,"CCC","D")))))))</f>
        <v/>
      </c>
      <c r="AP24" s="12">
        <f>IF(AO24="","",INDEX('状态价值'!$D9:$K9,MATCH(AO24,'状态价值'!$D$1:$K$1,0)))</f>
        <v/>
      </c>
      <c r="AQ24" s="15">
        <f>NORM.S.INV(RAND())</f>
        <v/>
      </c>
      <c r="AR24" s="15">
        <f>IF('组合输入'!$C10="","",'组合输入'!$H10*$B24+SQRT(1-'组合输入'!$H10^2)*AQ24)</f>
        <v/>
      </c>
      <c r="AS24" s="7">
        <f>IF(AR24="","",NORM.S.DIST(AR24,TRUE))</f>
        <v/>
      </c>
      <c r="AT24" s="13">
        <f>IF(AS24="","",IF(AS24&lt;='组合输入'!$K10,"AAA",IF(AS24&lt;='组合输入'!$L10,"AA",IF(AS24&lt;='组合输入'!$M10,"A",IF(AS24&lt;='组合输入'!$N10,"BBB",IF(AS24&lt;='组合输入'!$O10,"BB",IF(AS24&lt;='组合输入'!$P10,"B",IF(AS24&lt;='组合输入'!$Q10,"CCC","D")))))))</f>
        <v/>
      </c>
      <c r="AU24" s="12">
        <f>IF(AT24="","",INDEX('状态价值'!$D10:$K10,MATCH(AT24,'状态价值'!$D$1:$K$1,0)))</f>
        <v/>
      </c>
      <c r="AV24" s="15">
        <f>NORM.S.INV(RAND())</f>
        <v/>
      </c>
      <c r="AW24" s="15">
        <f>IF('组合输入'!$C11="","",'组合输入'!$H11*$B24+SQRT(1-'组合输入'!$H11^2)*AV24)</f>
        <v/>
      </c>
      <c r="AX24" s="7">
        <f>IF(AW24="","",NORM.S.DIST(AW24,TRUE))</f>
        <v/>
      </c>
      <c r="AY24" s="13">
        <f>IF(AX24="","",IF(AX24&lt;='组合输入'!$K11,"AAA",IF(AX24&lt;='组合输入'!$L11,"AA",IF(AX24&lt;='组合输入'!$M11,"A",IF(AX24&lt;='组合输入'!$N11,"BBB",IF(AX24&lt;='组合输入'!$O11,"BB",IF(AX24&lt;='组合输入'!$P11,"B",IF(AX24&lt;='组合输入'!$Q11,"CCC","D")))))))</f>
        <v/>
      </c>
      <c r="AZ24" s="12">
        <f>IF(AY24="","",INDEX('状态价值'!$D11:$K11,MATCH(AY24,'状态价值'!$D$1:$K$1,0)))</f>
        <v/>
      </c>
      <c r="BA24" s="12">
        <f>G24+L24+Q24+V24+AA24+AF24+AK24+AP24+AU24+AZ24</f>
        <v/>
      </c>
      <c r="BB24" s="12">
        <f>SUM('组合输入'!$J$2:$J$11)-BA24</f>
        <v/>
      </c>
    </row>
    <row r="25">
      <c r="A25" s="11" t="n">
        <v>24</v>
      </c>
      <c r="B25" s="14">
        <f>NORM.S.INV(RAND())</f>
        <v/>
      </c>
      <c r="C25" s="14">
        <f>NORM.S.INV(RAND())</f>
        <v/>
      </c>
      <c r="D25" s="15">
        <f>IF('组合输入'!$C2="","",'组合输入'!$H2*$B25+SQRT(1-'组合输入'!$H2^2)*C25)</f>
        <v/>
      </c>
      <c r="E25" s="7">
        <f>IF(D25="","",NORM.S.DIST(D25,TRUE))</f>
        <v/>
      </c>
      <c r="F25" s="13">
        <f>IF(E25="","",IF(E25&lt;='组合输入'!$K2,"AAA",IF(E25&lt;='组合输入'!$L2,"AA",IF(E25&lt;='组合输入'!$M2,"A",IF(E25&lt;='组合输入'!$N2,"BBB",IF(E25&lt;='组合输入'!$O2,"BB",IF(E25&lt;='组合输入'!$P2,"B",IF(E25&lt;='组合输入'!$Q2,"CCC","D")))))))</f>
        <v/>
      </c>
      <c r="G25" s="12">
        <f>IF(F25="","",INDEX('状态价值'!$D2:$K2,MATCH(F25,'状态价值'!$D$1:$K$1,0)))</f>
        <v/>
      </c>
      <c r="H25" s="15">
        <f>NORM.S.INV(RAND())</f>
        <v/>
      </c>
      <c r="I25" s="15">
        <f>IF('组合输入'!$C3="","",'组合输入'!$H3*$B25+SQRT(1-'组合输入'!$H3^2)*H25)</f>
        <v/>
      </c>
      <c r="J25" s="7">
        <f>IF(I25="","",NORM.S.DIST(I25,TRUE))</f>
        <v/>
      </c>
      <c r="K25" s="13">
        <f>IF(J25="","",IF(J25&lt;='组合输入'!$K3,"AAA",IF(J25&lt;='组合输入'!$L3,"AA",IF(J25&lt;='组合输入'!$M3,"A",IF(J25&lt;='组合输入'!$N3,"BBB",IF(J25&lt;='组合输入'!$O3,"BB",IF(J25&lt;='组合输入'!$P3,"B",IF(J25&lt;='组合输入'!$Q3,"CCC","D")))))))</f>
        <v/>
      </c>
      <c r="L25" s="12">
        <f>IF(K25="","",INDEX('状态价值'!$D3:$K3,MATCH(K25,'状态价值'!$D$1:$K$1,0)))</f>
        <v/>
      </c>
      <c r="M25" s="15">
        <f>NORM.S.INV(RAND())</f>
        <v/>
      </c>
      <c r="N25" s="15">
        <f>IF('组合输入'!$C4="","",'组合输入'!$H4*$B25+SQRT(1-'组合输入'!$H4^2)*M25)</f>
        <v/>
      </c>
      <c r="O25" s="7">
        <f>IF(N25="","",NORM.S.DIST(N25,TRUE))</f>
        <v/>
      </c>
      <c r="P25" s="13">
        <f>IF(O25="","",IF(O25&lt;='组合输入'!$K4,"AAA",IF(O25&lt;='组合输入'!$L4,"AA",IF(O25&lt;='组合输入'!$M4,"A",IF(O25&lt;='组合输入'!$N4,"BBB",IF(O25&lt;='组合输入'!$O4,"BB",IF(O25&lt;='组合输入'!$P4,"B",IF(O25&lt;='组合输入'!$Q4,"CCC","D")))))))</f>
        <v/>
      </c>
      <c r="Q25" s="12">
        <f>IF(P25="","",INDEX('状态价值'!$D4:$K4,MATCH(P25,'状态价值'!$D$1:$K$1,0)))</f>
        <v/>
      </c>
      <c r="R25" s="15">
        <f>NORM.S.INV(RAND())</f>
        <v/>
      </c>
      <c r="S25" s="15">
        <f>IF('组合输入'!$C5="","",'组合输入'!$H5*$B25+SQRT(1-'组合输入'!$H5^2)*R25)</f>
        <v/>
      </c>
      <c r="T25" s="7">
        <f>IF(S25="","",NORM.S.DIST(S25,TRUE))</f>
        <v/>
      </c>
      <c r="U25" s="13">
        <f>IF(T25="","",IF(T25&lt;='组合输入'!$K5,"AAA",IF(T25&lt;='组合输入'!$L5,"AA",IF(T25&lt;='组合输入'!$M5,"A",IF(T25&lt;='组合输入'!$N5,"BBB",IF(T25&lt;='组合输入'!$O5,"BB",IF(T25&lt;='组合输入'!$P5,"B",IF(T25&lt;='组合输入'!$Q5,"CCC","D")))))))</f>
        <v/>
      </c>
      <c r="V25" s="12">
        <f>IF(U25="","",INDEX('状态价值'!$D5:$K5,MATCH(U25,'状态价值'!$D$1:$K$1,0)))</f>
        <v/>
      </c>
      <c r="W25" s="15">
        <f>NORM.S.INV(RAND())</f>
        <v/>
      </c>
      <c r="X25" s="15">
        <f>IF('组合输入'!$C6="","",'组合输入'!$H6*$B25+SQRT(1-'组合输入'!$H6^2)*W25)</f>
        <v/>
      </c>
      <c r="Y25" s="7">
        <f>IF(X25="","",NORM.S.DIST(X25,TRUE))</f>
        <v/>
      </c>
      <c r="Z25" s="13">
        <f>IF(Y25="","",IF(Y25&lt;='组合输入'!$K6,"AAA",IF(Y25&lt;='组合输入'!$L6,"AA",IF(Y25&lt;='组合输入'!$M6,"A",IF(Y25&lt;='组合输入'!$N6,"BBB",IF(Y25&lt;='组合输入'!$O6,"BB",IF(Y25&lt;='组合输入'!$P6,"B",IF(Y25&lt;='组合输入'!$Q6,"CCC","D")))))))</f>
        <v/>
      </c>
      <c r="AA25" s="12">
        <f>IF(Z25="","",INDEX('状态价值'!$D6:$K6,MATCH(Z25,'状态价值'!$D$1:$K$1,0)))</f>
        <v/>
      </c>
      <c r="AB25" s="15">
        <f>NORM.S.INV(RAND())</f>
        <v/>
      </c>
      <c r="AC25" s="15">
        <f>IF('组合输入'!$C7="","",'组合输入'!$H7*$B25+SQRT(1-'组合输入'!$H7^2)*AB25)</f>
        <v/>
      </c>
      <c r="AD25" s="7">
        <f>IF(AC25="","",NORM.S.DIST(AC25,TRUE))</f>
        <v/>
      </c>
      <c r="AE25" s="13">
        <f>IF(AD25="","",IF(AD25&lt;='组合输入'!$K7,"AAA",IF(AD25&lt;='组合输入'!$L7,"AA",IF(AD25&lt;='组合输入'!$M7,"A",IF(AD25&lt;='组合输入'!$N7,"BBB",IF(AD25&lt;='组合输入'!$O7,"BB",IF(AD25&lt;='组合输入'!$P7,"B",IF(AD25&lt;='组合输入'!$Q7,"CCC","D")))))))</f>
        <v/>
      </c>
      <c r="AF25" s="12">
        <f>IF(AE25="","",INDEX('状态价值'!$D7:$K7,MATCH(AE25,'状态价值'!$D$1:$K$1,0)))</f>
        <v/>
      </c>
      <c r="AG25" s="15">
        <f>NORM.S.INV(RAND())</f>
        <v/>
      </c>
      <c r="AH25" s="15">
        <f>IF('组合输入'!$C8="","",'组合输入'!$H8*$B25+SQRT(1-'组合输入'!$H8^2)*AG25)</f>
        <v/>
      </c>
      <c r="AI25" s="7">
        <f>IF(AH25="","",NORM.S.DIST(AH25,TRUE))</f>
        <v/>
      </c>
      <c r="AJ25" s="13">
        <f>IF(AI25="","",IF(AI25&lt;='组合输入'!$K8,"AAA",IF(AI25&lt;='组合输入'!$L8,"AA",IF(AI25&lt;='组合输入'!$M8,"A",IF(AI25&lt;='组合输入'!$N8,"BBB",IF(AI25&lt;='组合输入'!$O8,"BB",IF(AI25&lt;='组合输入'!$P8,"B",IF(AI25&lt;='组合输入'!$Q8,"CCC","D")))))))</f>
        <v/>
      </c>
      <c r="AK25" s="12">
        <f>IF(AJ25="","",INDEX('状态价值'!$D8:$K8,MATCH(AJ25,'状态价值'!$D$1:$K$1,0)))</f>
        <v/>
      </c>
      <c r="AL25" s="15">
        <f>NORM.S.INV(RAND())</f>
        <v/>
      </c>
      <c r="AM25" s="15">
        <f>IF('组合输入'!$C9="","",'组合输入'!$H9*$B25+SQRT(1-'组合输入'!$H9^2)*AL25)</f>
        <v/>
      </c>
      <c r="AN25" s="7">
        <f>IF(AM25="","",NORM.S.DIST(AM25,TRUE))</f>
        <v/>
      </c>
      <c r="AO25" s="13">
        <f>IF(AN25="","",IF(AN25&lt;='组合输入'!$K9,"AAA",IF(AN25&lt;='组合输入'!$L9,"AA",IF(AN25&lt;='组合输入'!$M9,"A",IF(AN25&lt;='组合输入'!$N9,"BBB",IF(AN25&lt;='组合输入'!$O9,"BB",IF(AN25&lt;='组合输入'!$P9,"B",IF(AN25&lt;='组合输入'!$Q9,"CCC","D")))))))</f>
        <v/>
      </c>
      <c r="AP25" s="12">
        <f>IF(AO25="","",INDEX('状态价值'!$D9:$K9,MATCH(AO25,'状态价值'!$D$1:$K$1,0)))</f>
        <v/>
      </c>
      <c r="AQ25" s="15">
        <f>NORM.S.INV(RAND())</f>
        <v/>
      </c>
      <c r="AR25" s="15">
        <f>IF('组合输入'!$C10="","",'组合输入'!$H10*$B25+SQRT(1-'组合输入'!$H10^2)*AQ25)</f>
        <v/>
      </c>
      <c r="AS25" s="7">
        <f>IF(AR25="","",NORM.S.DIST(AR25,TRUE))</f>
        <v/>
      </c>
      <c r="AT25" s="13">
        <f>IF(AS25="","",IF(AS25&lt;='组合输入'!$K10,"AAA",IF(AS25&lt;='组合输入'!$L10,"AA",IF(AS25&lt;='组合输入'!$M10,"A",IF(AS25&lt;='组合输入'!$N10,"BBB",IF(AS25&lt;='组合输入'!$O10,"BB",IF(AS25&lt;='组合输入'!$P10,"B",IF(AS25&lt;='组合输入'!$Q10,"CCC","D")))))))</f>
        <v/>
      </c>
      <c r="AU25" s="12">
        <f>IF(AT25="","",INDEX('状态价值'!$D10:$K10,MATCH(AT25,'状态价值'!$D$1:$K$1,0)))</f>
        <v/>
      </c>
      <c r="AV25" s="15">
        <f>NORM.S.INV(RAND())</f>
        <v/>
      </c>
      <c r="AW25" s="15">
        <f>IF('组合输入'!$C11="","",'组合输入'!$H11*$B25+SQRT(1-'组合输入'!$H11^2)*AV25)</f>
        <v/>
      </c>
      <c r="AX25" s="7">
        <f>IF(AW25="","",NORM.S.DIST(AW25,TRUE))</f>
        <v/>
      </c>
      <c r="AY25" s="13">
        <f>IF(AX25="","",IF(AX25&lt;='组合输入'!$K11,"AAA",IF(AX25&lt;='组合输入'!$L11,"AA",IF(AX25&lt;='组合输入'!$M11,"A",IF(AX25&lt;='组合输入'!$N11,"BBB",IF(AX25&lt;='组合输入'!$O11,"BB",IF(AX25&lt;='组合输入'!$P11,"B",IF(AX25&lt;='组合输入'!$Q11,"CCC","D")))))))</f>
        <v/>
      </c>
      <c r="AZ25" s="12">
        <f>IF(AY25="","",INDEX('状态价值'!$D11:$K11,MATCH(AY25,'状态价值'!$D$1:$K$1,0)))</f>
        <v/>
      </c>
      <c r="BA25" s="12">
        <f>G25+L25+Q25+V25+AA25+AF25+AK25+AP25+AU25+AZ25</f>
        <v/>
      </c>
      <c r="BB25" s="12">
        <f>SUM('组合输入'!$J$2:$J$11)-BA25</f>
        <v/>
      </c>
    </row>
    <row r="26">
      <c r="A26" s="11" t="n">
        <v>25</v>
      </c>
      <c r="B26" s="14">
        <f>NORM.S.INV(RAND())</f>
        <v/>
      </c>
      <c r="C26" s="14">
        <f>NORM.S.INV(RAND())</f>
        <v/>
      </c>
      <c r="D26" s="15">
        <f>IF('组合输入'!$C2="","",'组合输入'!$H2*$B26+SQRT(1-'组合输入'!$H2^2)*C26)</f>
        <v/>
      </c>
      <c r="E26" s="7">
        <f>IF(D26="","",NORM.S.DIST(D26,TRUE))</f>
        <v/>
      </c>
      <c r="F26" s="13">
        <f>IF(E26="","",IF(E26&lt;='组合输入'!$K2,"AAA",IF(E26&lt;='组合输入'!$L2,"AA",IF(E26&lt;='组合输入'!$M2,"A",IF(E26&lt;='组合输入'!$N2,"BBB",IF(E26&lt;='组合输入'!$O2,"BB",IF(E26&lt;='组合输入'!$P2,"B",IF(E26&lt;='组合输入'!$Q2,"CCC","D")))))))</f>
        <v/>
      </c>
      <c r="G26" s="12">
        <f>IF(F26="","",INDEX('状态价值'!$D2:$K2,MATCH(F26,'状态价值'!$D$1:$K$1,0)))</f>
        <v/>
      </c>
      <c r="H26" s="15">
        <f>NORM.S.INV(RAND())</f>
        <v/>
      </c>
      <c r="I26" s="15">
        <f>IF('组合输入'!$C3="","",'组合输入'!$H3*$B26+SQRT(1-'组合输入'!$H3^2)*H26)</f>
        <v/>
      </c>
      <c r="J26" s="7">
        <f>IF(I26="","",NORM.S.DIST(I26,TRUE))</f>
        <v/>
      </c>
      <c r="K26" s="13">
        <f>IF(J26="","",IF(J26&lt;='组合输入'!$K3,"AAA",IF(J26&lt;='组合输入'!$L3,"AA",IF(J26&lt;='组合输入'!$M3,"A",IF(J26&lt;='组合输入'!$N3,"BBB",IF(J26&lt;='组合输入'!$O3,"BB",IF(J26&lt;='组合输入'!$P3,"B",IF(J26&lt;='组合输入'!$Q3,"CCC","D")))))))</f>
        <v/>
      </c>
      <c r="L26" s="12">
        <f>IF(K26="","",INDEX('状态价值'!$D3:$K3,MATCH(K26,'状态价值'!$D$1:$K$1,0)))</f>
        <v/>
      </c>
      <c r="M26" s="15">
        <f>NORM.S.INV(RAND())</f>
        <v/>
      </c>
      <c r="N26" s="15">
        <f>IF('组合输入'!$C4="","",'组合输入'!$H4*$B26+SQRT(1-'组合输入'!$H4^2)*M26)</f>
        <v/>
      </c>
      <c r="O26" s="7">
        <f>IF(N26="","",NORM.S.DIST(N26,TRUE))</f>
        <v/>
      </c>
      <c r="P26" s="13">
        <f>IF(O26="","",IF(O26&lt;='组合输入'!$K4,"AAA",IF(O26&lt;='组合输入'!$L4,"AA",IF(O26&lt;='组合输入'!$M4,"A",IF(O26&lt;='组合输入'!$N4,"BBB",IF(O26&lt;='组合输入'!$O4,"BB",IF(O26&lt;='组合输入'!$P4,"B",IF(O26&lt;='组合输入'!$Q4,"CCC","D")))))))</f>
        <v/>
      </c>
      <c r="Q26" s="12">
        <f>IF(P26="","",INDEX('状态价值'!$D4:$K4,MATCH(P26,'状态价值'!$D$1:$K$1,0)))</f>
        <v/>
      </c>
      <c r="R26" s="15">
        <f>NORM.S.INV(RAND())</f>
        <v/>
      </c>
      <c r="S26" s="15">
        <f>IF('组合输入'!$C5="","",'组合输入'!$H5*$B26+SQRT(1-'组合输入'!$H5^2)*R26)</f>
        <v/>
      </c>
      <c r="T26" s="7">
        <f>IF(S26="","",NORM.S.DIST(S26,TRUE))</f>
        <v/>
      </c>
      <c r="U26" s="13">
        <f>IF(T26="","",IF(T26&lt;='组合输入'!$K5,"AAA",IF(T26&lt;='组合输入'!$L5,"AA",IF(T26&lt;='组合输入'!$M5,"A",IF(T26&lt;='组合输入'!$N5,"BBB",IF(T26&lt;='组合输入'!$O5,"BB",IF(T26&lt;='组合输入'!$P5,"B",IF(T26&lt;='组合输入'!$Q5,"CCC","D")))))))</f>
        <v/>
      </c>
      <c r="V26" s="12">
        <f>IF(U26="","",INDEX('状态价值'!$D5:$K5,MATCH(U26,'状态价值'!$D$1:$K$1,0)))</f>
        <v/>
      </c>
      <c r="W26" s="15">
        <f>NORM.S.INV(RAND())</f>
        <v/>
      </c>
      <c r="X26" s="15">
        <f>IF('组合输入'!$C6="","",'组合输入'!$H6*$B26+SQRT(1-'组合输入'!$H6^2)*W26)</f>
        <v/>
      </c>
      <c r="Y26" s="7">
        <f>IF(X26="","",NORM.S.DIST(X26,TRUE))</f>
        <v/>
      </c>
      <c r="Z26" s="13">
        <f>IF(Y26="","",IF(Y26&lt;='组合输入'!$K6,"AAA",IF(Y26&lt;='组合输入'!$L6,"AA",IF(Y26&lt;='组合输入'!$M6,"A",IF(Y26&lt;='组合输入'!$N6,"BBB",IF(Y26&lt;='组合输入'!$O6,"BB",IF(Y26&lt;='组合输入'!$P6,"B",IF(Y26&lt;='组合输入'!$Q6,"CCC","D")))))))</f>
        <v/>
      </c>
      <c r="AA26" s="12">
        <f>IF(Z26="","",INDEX('状态价值'!$D6:$K6,MATCH(Z26,'状态价值'!$D$1:$K$1,0)))</f>
        <v/>
      </c>
      <c r="AB26" s="15">
        <f>NORM.S.INV(RAND())</f>
        <v/>
      </c>
      <c r="AC26" s="15">
        <f>IF('组合输入'!$C7="","",'组合输入'!$H7*$B26+SQRT(1-'组合输入'!$H7^2)*AB26)</f>
        <v/>
      </c>
      <c r="AD26" s="7">
        <f>IF(AC26="","",NORM.S.DIST(AC26,TRUE))</f>
        <v/>
      </c>
      <c r="AE26" s="13">
        <f>IF(AD26="","",IF(AD26&lt;='组合输入'!$K7,"AAA",IF(AD26&lt;='组合输入'!$L7,"AA",IF(AD26&lt;='组合输入'!$M7,"A",IF(AD26&lt;='组合输入'!$N7,"BBB",IF(AD26&lt;='组合输入'!$O7,"BB",IF(AD26&lt;='组合输入'!$P7,"B",IF(AD26&lt;='组合输入'!$Q7,"CCC","D")))))))</f>
        <v/>
      </c>
      <c r="AF26" s="12">
        <f>IF(AE26="","",INDEX('状态价值'!$D7:$K7,MATCH(AE26,'状态价值'!$D$1:$K$1,0)))</f>
        <v/>
      </c>
      <c r="AG26" s="15">
        <f>NORM.S.INV(RAND())</f>
        <v/>
      </c>
      <c r="AH26" s="15">
        <f>IF('组合输入'!$C8="","",'组合输入'!$H8*$B26+SQRT(1-'组合输入'!$H8^2)*AG26)</f>
        <v/>
      </c>
      <c r="AI26" s="7">
        <f>IF(AH26="","",NORM.S.DIST(AH26,TRUE))</f>
        <v/>
      </c>
      <c r="AJ26" s="13">
        <f>IF(AI26="","",IF(AI26&lt;='组合输入'!$K8,"AAA",IF(AI26&lt;='组合输入'!$L8,"AA",IF(AI26&lt;='组合输入'!$M8,"A",IF(AI26&lt;='组合输入'!$N8,"BBB",IF(AI26&lt;='组合输入'!$O8,"BB",IF(AI26&lt;='组合输入'!$P8,"B",IF(AI26&lt;='组合输入'!$Q8,"CCC","D")))))))</f>
        <v/>
      </c>
      <c r="AK26" s="12">
        <f>IF(AJ26="","",INDEX('状态价值'!$D8:$K8,MATCH(AJ26,'状态价值'!$D$1:$K$1,0)))</f>
        <v/>
      </c>
      <c r="AL26" s="15">
        <f>NORM.S.INV(RAND())</f>
        <v/>
      </c>
      <c r="AM26" s="15">
        <f>IF('组合输入'!$C9="","",'组合输入'!$H9*$B26+SQRT(1-'组合输入'!$H9^2)*AL26)</f>
        <v/>
      </c>
      <c r="AN26" s="7">
        <f>IF(AM26="","",NORM.S.DIST(AM26,TRUE))</f>
        <v/>
      </c>
      <c r="AO26" s="13">
        <f>IF(AN26="","",IF(AN26&lt;='组合输入'!$K9,"AAA",IF(AN26&lt;='组合输入'!$L9,"AA",IF(AN26&lt;='组合输入'!$M9,"A",IF(AN26&lt;='组合输入'!$N9,"BBB",IF(AN26&lt;='组合输入'!$O9,"BB",IF(AN26&lt;='组合输入'!$P9,"B",IF(AN26&lt;='组合输入'!$Q9,"CCC","D")))))))</f>
        <v/>
      </c>
      <c r="AP26" s="12">
        <f>IF(AO26="","",INDEX('状态价值'!$D9:$K9,MATCH(AO26,'状态价值'!$D$1:$K$1,0)))</f>
        <v/>
      </c>
      <c r="AQ26" s="15">
        <f>NORM.S.INV(RAND())</f>
        <v/>
      </c>
      <c r="AR26" s="15">
        <f>IF('组合输入'!$C10="","",'组合输入'!$H10*$B26+SQRT(1-'组合输入'!$H10^2)*AQ26)</f>
        <v/>
      </c>
      <c r="AS26" s="7">
        <f>IF(AR26="","",NORM.S.DIST(AR26,TRUE))</f>
        <v/>
      </c>
      <c r="AT26" s="13">
        <f>IF(AS26="","",IF(AS26&lt;='组合输入'!$K10,"AAA",IF(AS26&lt;='组合输入'!$L10,"AA",IF(AS26&lt;='组合输入'!$M10,"A",IF(AS26&lt;='组合输入'!$N10,"BBB",IF(AS26&lt;='组合输入'!$O10,"BB",IF(AS26&lt;='组合输入'!$P10,"B",IF(AS26&lt;='组合输入'!$Q10,"CCC","D")))))))</f>
        <v/>
      </c>
      <c r="AU26" s="12">
        <f>IF(AT26="","",INDEX('状态价值'!$D10:$K10,MATCH(AT26,'状态价值'!$D$1:$K$1,0)))</f>
        <v/>
      </c>
      <c r="AV26" s="15">
        <f>NORM.S.INV(RAND())</f>
        <v/>
      </c>
      <c r="AW26" s="15">
        <f>IF('组合输入'!$C11="","",'组合输入'!$H11*$B26+SQRT(1-'组合输入'!$H11^2)*AV26)</f>
        <v/>
      </c>
      <c r="AX26" s="7">
        <f>IF(AW26="","",NORM.S.DIST(AW26,TRUE))</f>
        <v/>
      </c>
      <c r="AY26" s="13">
        <f>IF(AX26="","",IF(AX26&lt;='组合输入'!$K11,"AAA",IF(AX26&lt;='组合输入'!$L11,"AA",IF(AX26&lt;='组合输入'!$M11,"A",IF(AX26&lt;='组合输入'!$N11,"BBB",IF(AX26&lt;='组合输入'!$O11,"BB",IF(AX26&lt;='组合输入'!$P11,"B",IF(AX26&lt;='组合输入'!$Q11,"CCC","D")))))))</f>
        <v/>
      </c>
      <c r="AZ26" s="12">
        <f>IF(AY26="","",INDEX('状态价值'!$D11:$K11,MATCH(AY26,'状态价值'!$D$1:$K$1,0)))</f>
        <v/>
      </c>
      <c r="BA26" s="12">
        <f>G26+L26+Q26+V26+AA26+AF26+AK26+AP26+AU26+AZ26</f>
        <v/>
      </c>
      <c r="BB26" s="12">
        <f>SUM('组合输入'!$J$2:$J$11)-BA26</f>
        <v/>
      </c>
    </row>
    <row r="27">
      <c r="A27" s="11" t="n">
        <v>26</v>
      </c>
      <c r="B27" s="14">
        <f>NORM.S.INV(RAND())</f>
        <v/>
      </c>
      <c r="C27" s="14">
        <f>NORM.S.INV(RAND())</f>
        <v/>
      </c>
      <c r="D27" s="15">
        <f>IF('组合输入'!$C2="","",'组合输入'!$H2*$B27+SQRT(1-'组合输入'!$H2^2)*C27)</f>
        <v/>
      </c>
      <c r="E27" s="7">
        <f>IF(D27="","",NORM.S.DIST(D27,TRUE))</f>
        <v/>
      </c>
      <c r="F27" s="13">
        <f>IF(E27="","",IF(E27&lt;='组合输入'!$K2,"AAA",IF(E27&lt;='组合输入'!$L2,"AA",IF(E27&lt;='组合输入'!$M2,"A",IF(E27&lt;='组合输入'!$N2,"BBB",IF(E27&lt;='组合输入'!$O2,"BB",IF(E27&lt;='组合输入'!$P2,"B",IF(E27&lt;='组合输入'!$Q2,"CCC","D")))))))</f>
        <v/>
      </c>
      <c r="G27" s="12">
        <f>IF(F27="","",INDEX('状态价值'!$D2:$K2,MATCH(F27,'状态价值'!$D$1:$K$1,0)))</f>
        <v/>
      </c>
      <c r="H27" s="15">
        <f>NORM.S.INV(RAND())</f>
        <v/>
      </c>
      <c r="I27" s="15">
        <f>IF('组合输入'!$C3="","",'组合输入'!$H3*$B27+SQRT(1-'组合输入'!$H3^2)*H27)</f>
        <v/>
      </c>
      <c r="J27" s="7">
        <f>IF(I27="","",NORM.S.DIST(I27,TRUE))</f>
        <v/>
      </c>
      <c r="K27" s="13">
        <f>IF(J27="","",IF(J27&lt;='组合输入'!$K3,"AAA",IF(J27&lt;='组合输入'!$L3,"AA",IF(J27&lt;='组合输入'!$M3,"A",IF(J27&lt;='组合输入'!$N3,"BBB",IF(J27&lt;='组合输入'!$O3,"BB",IF(J27&lt;='组合输入'!$P3,"B",IF(J27&lt;='组合输入'!$Q3,"CCC","D")))))))</f>
        <v/>
      </c>
      <c r="L27" s="12">
        <f>IF(K27="","",INDEX('状态价值'!$D3:$K3,MATCH(K27,'状态价值'!$D$1:$K$1,0)))</f>
        <v/>
      </c>
      <c r="M27" s="15">
        <f>NORM.S.INV(RAND())</f>
        <v/>
      </c>
      <c r="N27" s="15">
        <f>IF('组合输入'!$C4="","",'组合输入'!$H4*$B27+SQRT(1-'组合输入'!$H4^2)*M27)</f>
        <v/>
      </c>
      <c r="O27" s="7">
        <f>IF(N27="","",NORM.S.DIST(N27,TRUE))</f>
        <v/>
      </c>
      <c r="P27" s="13">
        <f>IF(O27="","",IF(O27&lt;='组合输入'!$K4,"AAA",IF(O27&lt;='组合输入'!$L4,"AA",IF(O27&lt;='组合输入'!$M4,"A",IF(O27&lt;='组合输入'!$N4,"BBB",IF(O27&lt;='组合输入'!$O4,"BB",IF(O27&lt;='组合输入'!$P4,"B",IF(O27&lt;='组合输入'!$Q4,"CCC","D")))))))</f>
        <v/>
      </c>
      <c r="Q27" s="12">
        <f>IF(P27="","",INDEX('状态价值'!$D4:$K4,MATCH(P27,'状态价值'!$D$1:$K$1,0)))</f>
        <v/>
      </c>
      <c r="R27" s="15">
        <f>NORM.S.INV(RAND())</f>
        <v/>
      </c>
      <c r="S27" s="15">
        <f>IF('组合输入'!$C5="","",'组合输入'!$H5*$B27+SQRT(1-'组合输入'!$H5^2)*R27)</f>
        <v/>
      </c>
      <c r="T27" s="7">
        <f>IF(S27="","",NORM.S.DIST(S27,TRUE))</f>
        <v/>
      </c>
      <c r="U27" s="13">
        <f>IF(T27="","",IF(T27&lt;='组合输入'!$K5,"AAA",IF(T27&lt;='组合输入'!$L5,"AA",IF(T27&lt;='组合输入'!$M5,"A",IF(T27&lt;='组合输入'!$N5,"BBB",IF(T27&lt;='组合输入'!$O5,"BB",IF(T27&lt;='组合输入'!$P5,"B",IF(T27&lt;='组合输入'!$Q5,"CCC","D")))))))</f>
        <v/>
      </c>
      <c r="V27" s="12">
        <f>IF(U27="","",INDEX('状态价值'!$D5:$K5,MATCH(U27,'状态价值'!$D$1:$K$1,0)))</f>
        <v/>
      </c>
      <c r="W27" s="15">
        <f>NORM.S.INV(RAND())</f>
        <v/>
      </c>
      <c r="X27" s="15">
        <f>IF('组合输入'!$C6="","",'组合输入'!$H6*$B27+SQRT(1-'组合输入'!$H6^2)*W27)</f>
        <v/>
      </c>
      <c r="Y27" s="7">
        <f>IF(X27="","",NORM.S.DIST(X27,TRUE))</f>
        <v/>
      </c>
      <c r="Z27" s="13">
        <f>IF(Y27="","",IF(Y27&lt;='组合输入'!$K6,"AAA",IF(Y27&lt;='组合输入'!$L6,"AA",IF(Y27&lt;='组合输入'!$M6,"A",IF(Y27&lt;='组合输入'!$N6,"BBB",IF(Y27&lt;='组合输入'!$O6,"BB",IF(Y27&lt;='组合输入'!$P6,"B",IF(Y27&lt;='组合输入'!$Q6,"CCC","D")))))))</f>
        <v/>
      </c>
      <c r="AA27" s="12">
        <f>IF(Z27="","",INDEX('状态价值'!$D6:$K6,MATCH(Z27,'状态价值'!$D$1:$K$1,0)))</f>
        <v/>
      </c>
      <c r="AB27" s="15">
        <f>NORM.S.INV(RAND())</f>
        <v/>
      </c>
      <c r="AC27" s="15">
        <f>IF('组合输入'!$C7="","",'组合输入'!$H7*$B27+SQRT(1-'组合输入'!$H7^2)*AB27)</f>
        <v/>
      </c>
      <c r="AD27" s="7">
        <f>IF(AC27="","",NORM.S.DIST(AC27,TRUE))</f>
        <v/>
      </c>
      <c r="AE27" s="13">
        <f>IF(AD27="","",IF(AD27&lt;='组合输入'!$K7,"AAA",IF(AD27&lt;='组合输入'!$L7,"AA",IF(AD27&lt;='组合输入'!$M7,"A",IF(AD27&lt;='组合输入'!$N7,"BBB",IF(AD27&lt;='组合输入'!$O7,"BB",IF(AD27&lt;='组合输入'!$P7,"B",IF(AD27&lt;='组合输入'!$Q7,"CCC","D")))))))</f>
        <v/>
      </c>
      <c r="AF27" s="12">
        <f>IF(AE27="","",INDEX('状态价值'!$D7:$K7,MATCH(AE27,'状态价值'!$D$1:$K$1,0)))</f>
        <v/>
      </c>
      <c r="AG27" s="15">
        <f>NORM.S.INV(RAND())</f>
        <v/>
      </c>
      <c r="AH27" s="15">
        <f>IF('组合输入'!$C8="","",'组合输入'!$H8*$B27+SQRT(1-'组合输入'!$H8^2)*AG27)</f>
        <v/>
      </c>
      <c r="AI27" s="7">
        <f>IF(AH27="","",NORM.S.DIST(AH27,TRUE))</f>
        <v/>
      </c>
      <c r="AJ27" s="13">
        <f>IF(AI27="","",IF(AI27&lt;='组合输入'!$K8,"AAA",IF(AI27&lt;='组合输入'!$L8,"AA",IF(AI27&lt;='组合输入'!$M8,"A",IF(AI27&lt;='组合输入'!$N8,"BBB",IF(AI27&lt;='组合输入'!$O8,"BB",IF(AI27&lt;='组合输入'!$P8,"B",IF(AI27&lt;='组合输入'!$Q8,"CCC","D")))))))</f>
        <v/>
      </c>
      <c r="AK27" s="12">
        <f>IF(AJ27="","",INDEX('状态价值'!$D8:$K8,MATCH(AJ27,'状态价值'!$D$1:$K$1,0)))</f>
        <v/>
      </c>
      <c r="AL27" s="15">
        <f>NORM.S.INV(RAND())</f>
        <v/>
      </c>
      <c r="AM27" s="15">
        <f>IF('组合输入'!$C9="","",'组合输入'!$H9*$B27+SQRT(1-'组合输入'!$H9^2)*AL27)</f>
        <v/>
      </c>
      <c r="AN27" s="7">
        <f>IF(AM27="","",NORM.S.DIST(AM27,TRUE))</f>
        <v/>
      </c>
      <c r="AO27" s="13">
        <f>IF(AN27="","",IF(AN27&lt;='组合输入'!$K9,"AAA",IF(AN27&lt;='组合输入'!$L9,"AA",IF(AN27&lt;='组合输入'!$M9,"A",IF(AN27&lt;='组合输入'!$N9,"BBB",IF(AN27&lt;='组合输入'!$O9,"BB",IF(AN27&lt;='组合输入'!$P9,"B",IF(AN27&lt;='组合输入'!$Q9,"CCC","D")))))))</f>
        <v/>
      </c>
      <c r="AP27" s="12">
        <f>IF(AO27="","",INDEX('状态价值'!$D9:$K9,MATCH(AO27,'状态价值'!$D$1:$K$1,0)))</f>
        <v/>
      </c>
      <c r="AQ27" s="15">
        <f>NORM.S.INV(RAND())</f>
        <v/>
      </c>
      <c r="AR27" s="15">
        <f>IF('组合输入'!$C10="","",'组合输入'!$H10*$B27+SQRT(1-'组合输入'!$H10^2)*AQ27)</f>
        <v/>
      </c>
      <c r="AS27" s="7">
        <f>IF(AR27="","",NORM.S.DIST(AR27,TRUE))</f>
        <v/>
      </c>
      <c r="AT27" s="13">
        <f>IF(AS27="","",IF(AS27&lt;='组合输入'!$K10,"AAA",IF(AS27&lt;='组合输入'!$L10,"AA",IF(AS27&lt;='组合输入'!$M10,"A",IF(AS27&lt;='组合输入'!$N10,"BBB",IF(AS27&lt;='组合输入'!$O10,"BB",IF(AS27&lt;='组合输入'!$P10,"B",IF(AS27&lt;='组合输入'!$Q10,"CCC","D")))))))</f>
        <v/>
      </c>
      <c r="AU27" s="12">
        <f>IF(AT27="","",INDEX('状态价值'!$D10:$K10,MATCH(AT27,'状态价值'!$D$1:$K$1,0)))</f>
        <v/>
      </c>
      <c r="AV27" s="15">
        <f>NORM.S.INV(RAND())</f>
        <v/>
      </c>
      <c r="AW27" s="15">
        <f>IF('组合输入'!$C11="","",'组合输入'!$H11*$B27+SQRT(1-'组合输入'!$H11^2)*AV27)</f>
        <v/>
      </c>
      <c r="AX27" s="7">
        <f>IF(AW27="","",NORM.S.DIST(AW27,TRUE))</f>
        <v/>
      </c>
      <c r="AY27" s="13">
        <f>IF(AX27="","",IF(AX27&lt;='组合输入'!$K11,"AAA",IF(AX27&lt;='组合输入'!$L11,"AA",IF(AX27&lt;='组合输入'!$M11,"A",IF(AX27&lt;='组合输入'!$N11,"BBB",IF(AX27&lt;='组合输入'!$O11,"BB",IF(AX27&lt;='组合输入'!$P11,"B",IF(AX27&lt;='组合输入'!$Q11,"CCC","D")))))))</f>
        <v/>
      </c>
      <c r="AZ27" s="12">
        <f>IF(AY27="","",INDEX('状态价值'!$D11:$K11,MATCH(AY27,'状态价值'!$D$1:$K$1,0)))</f>
        <v/>
      </c>
      <c r="BA27" s="12">
        <f>G27+L27+Q27+V27+AA27+AF27+AK27+AP27+AU27+AZ27</f>
        <v/>
      </c>
      <c r="BB27" s="12">
        <f>SUM('组合输入'!$J$2:$J$11)-BA27</f>
        <v/>
      </c>
    </row>
    <row r="28">
      <c r="A28" s="11" t="n">
        <v>27</v>
      </c>
      <c r="B28" s="14">
        <f>NORM.S.INV(RAND())</f>
        <v/>
      </c>
      <c r="C28" s="14">
        <f>NORM.S.INV(RAND())</f>
        <v/>
      </c>
      <c r="D28" s="15">
        <f>IF('组合输入'!$C2="","",'组合输入'!$H2*$B28+SQRT(1-'组合输入'!$H2^2)*C28)</f>
        <v/>
      </c>
      <c r="E28" s="7">
        <f>IF(D28="","",NORM.S.DIST(D28,TRUE))</f>
        <v/>
      </c>
      <c r="F28" s="13">
        <f>IF(E28="","",IF(E28&lt;='组合输入'!$K2,"AAA",IF(E28&lt;='组合输入'!$L2,"AA",IF(E28&lt;='组合输入'!$M2,"A",IF(E28&lt;='组合输入'!$N2,"BBB",IF(E28&lt;='组合输入'!$O2,"BB",IF(E28&lt;='组合输入'!$P2,"B",IF(E28&lt;='组合输入'!$Q2,"CCC","D")))))))</f>
        <v/>
      </c>
      <c r="G28" s="12">
        <f>IF(F28="","",INDEX('状态价值'!$D2:$K2,MATCH(F28,'状态价值'!$D$1:$K$1,0)))</f>
        <v/>
      </c>
      <c r="H28" s="15">
        <f>NORM.S.INV(RAND())</f>
        <v/>
      </c>
      <c r="I28" s="15">
        <f>IF('组合输入'!$C3="","",'组合输入'!$H3*$B28+SQRT(1-'组合输入'!$H3^2)*H28)</f>
        <v/>
      </c>
      <c r="J28" s="7">
        <f>IF(I28="","",NORM.S.DIST(I28,TRUE))</f>
        <v/>
      </c>
      <c r="K28" s="13">
        <f>IF(J28="","",IF(J28&lt;='组合输入'!$K3,"AAA",IF(J28&lt;='组合输入'!$L3,"AA",IF(J28&lt;='组合输入'!$M3,"A",IF(J28&lt;='组合输入'!$N3,"BBB",IF(J28&lt;='组合输入'!$O3,"BB",IF(J28&lt;='组合输入'!$P3,"B",IF(J28&lt;='组合输入'!$Q3,"CCC","D")))))))</f>
        <v/>
      </c>
      <c r="L28" s="12">
        <f>IF(K28="","",INDEX('状态价值'!$D3:$K3,MATCH(K28,'状态价值'!$D$1:$K$1,0)))</f>
        <v/>
      </c>
      <c r="M28" s="15">
        <f>NORM.S.INV(RAND())</f>
        <v/>
      </c>
      <c r="N28" s="15">
        <f>IF('组合输入'!$C4="","",'组合输入'!$H4*$B28+SQRT(1-'组合输入'!$H4^2)*M28)</f>
        <v/>
      </c>
      <c r="O28" s="7">
        <f>IF(N28="","",NORM.S.DIST(N28,TRUE))</f>
        <v/>
      </c>
      <c r="P28" s="13">
        <f>IF(O28="","",IF(O28&lt;='组合输入'!$K4,"AAA",IF(O28&lt;='组合输入'!$L4,"AA",IF(O28&lt;='组合输入'!$M4,"A",IF(O28&lt;='组合输入'!$N4,"BBB",IF(O28&lt;='组合输入'!$O4,"BB",IF(O28&lt;='组合输入'!$P4,"B",IF(O28&lt;='组合输入'!$Q4,"CCC","D")))))))</f>
        <v/>
      </c>
      <c r="Q28" s="12">
        <f>IF(P28="","",INDEX('状态价值'!$D4:$K4,MATCH(P28,'状态价值'!$D$1:$K$1,0)))</f>
        <v/>
      </c>
      <c r="R28" s="15">
        <f>NORM.S.INV(RAND())</f>
        <v/>
      </c>
      <c r="S28" s="15">
        <f>IF('组合输入'!$C5="","",'组合输入'!$H5*$B28+SQRT(1-'组合输入'!$H5^2)*R28)</f>
        <v/>
      </c>
      <c r="T28" s="7">
        <f>IF(S28="","",NORM.S.DIST(S28,TRUE))</f>
        <v/>
      </c>
      <c r="U28" s="13">
        <f>IF(T28="","",IF(T28&lt;='组合输入'!$K5,"AAA",IF(T28&lt;='组合输入'!$L5,"AA",IF(T28&lt;='组合输入'!$M5,"A",IF(T28&lt;='组合输入'!$N5,"BBB",IF(T28&lt;='组合输入'!$O5,"BB",IF(T28&lt;='组合输入'!$P5,"B",IF(T28&lt;='组合输入'!$Q5,"CCC","D")))))))</f>
        <v/>
      </c>
      <c r="V28" s="12">
        <f>IF(U28="","",INDEX('状态价值'!$D5:$K5,MATCH(U28,'状态价值'!$D$1:$K$1,0)))</f>
        <v/>
      </c>
      <c r="W28" s="15">
        <f>NORM.S.INV(RAND())</f>
        <v/>
      </c>
      <c r="X28" s="15">
        <f>IF('组合输入'!$C6="","",'组合输入'!$H6*$B28+SQRT(1-'组合输入'!$H6^2)*W28)</f>
        <v/>
      </c>
      <c r="Y28" s="7">
        <f>IF(X28="","",NORM.S.DIST(X28,TRUE))</f>
        <v/>
      </c>
      <c r="Z28" s="13">
        <f>IF(Y28="","",IF(Y28&lt;='组合输入'!$K6,"AAA",IF(Y28&lt;='组合输入'!$L6,"AA",IF(Y28&lt;='组合输入'!$M6,"A",IF(Y28&lt;='组合输入'!$N6,"BBB",IF(Y28&lt;='组合输入'!$O6,"BB",IF(Y28&lt;='组合输入'!$P6,"B",IF(Y28&lt;='组合输入'!$Q6,"CCC","D")))))))</f>
        <v/>
      </c>
      <c r="AA28" s="12">
        <f>IF(Z28="","",INDEX('状态价值'!$D6:$K6,MATCH(Z28,'状态价值'!$D$1:$K$1,0)))</f>
        <v/>
      </c>
      <c r="AB28" s="15">
        <f>NORM.S.INV(RAND())</f>
        <v/>
      </c>
      <c r="AC28" s="15">
        <f>IF('组合输入'!$C7="","",'组合输入'!$H7*$B28+SQRT(1-'组合输入'!$H7^2)*AB28)</f>
        <v/>
      </c>
      <c r="AD28" s="7">
        <f>IF(AC28="","",NORM.S.DIST(AC28,TRUE))</f>
        <v/>
      </c>
      <c r="AE28" s="13">
        <f>IF(AD28="","",IF(AD28&lt;='组合输入'!$K7,"AAA",IF(AD28&lt;='组合输入'!$L7,"AA",IF(AD28&lt;='组合输入'!$M7,"A",IF(AD28&lt;='组合输入'!$N7,"BBB",IF(AD28&lt;='组合输入'!$O7,"BB",IF(AD28&lt;='组合输入'!$P7,"B",IF(AD28&lt;='组合输入'!$Q7,"CCC","D")))))))</f>
        <v/>
      </c>
      <c r="AF28" s="12">
        <f>IF(AE28="","",INDEX('状态价值'!$D7:$K7,MATCH(AE28,'状态价值'!$D$1:$K$1,0)))</f>
        <v/>
      </c>
      <c r="AG28" s="15">
        <f>NORM.S.INV(RAND())</f>
        <v/>
      </c>
      <c r="AH28" s="15">
        <f>IF('组合输入'!$C8="","",'组合输入'!$H8*$B28+SQRT(1-'组合输入'!$H8^2)*AG28)</f>
        <v/>
      </c>
      <c r="AI28" s="7">
        <f>IF(AH28="","",NORM.S.DIST(AH28,TRUE))</f>
        <v/>
      </c>
      <c r="AJ28" s="13">
        <f>IF(AI28="","",IF(AI28&lt;='组合输入'!$K8,"AAA",IF(AI28&lt;='组合输入'!$L8,"AA",IF(AI28&lt;='组合输入'!$M8,"A",IF(AI28&lt;='组合输入'!$N8,"BBB",IF(AI28&lt;='组合输入'!$O8,"BB",IF(AI28&lt;='组合输入'!$P8,"B",IF(AI28&lt;='组合输入'!$Q8,"CCC","D")))))))</f>
        <v/>
      </c>
      <c r="AK28" s="12">
        <f>IF(AJ28="","",INDEX('状态价值'!$D8:$K8,MATCH(AJ28,'状态价值'!$D$1:$K$1,0)))</f>
        <v/>
      </c>
      <c r="AL28" s="15">
        <f>NORM.S.INV(RAND())</f>
        <v/>
      </c>
      <c r="AM28" s="15">
        <f>IF('组合输入'!$C9="","",'组合输入'!$H9*$B28+SQRT(1-'组合输入'!$H9^2)*AL28)</f>
        <v/>
      </c>
      <c r="AN28" s="7">
        <f>IF(AM28="","",NORM.S.DIST(AM28,TRUE))</f>
        <v/>
      </c>
      <c r="AO28" s="13">
        <f>IF(AN28="","",IF(AN28&lt;='组合输入'!$K9,"AAA",IF(AN28&lt;='组合输入'!$L9,"AA",IF(AN28&lt;='组合输入'!$M9,"A",IF(AN28&lt;='组合输入'!$N9,"BBB",IF(AN28&lt;='组合输入'!$O9,"BB",IF(AN28&lt;='组合输入'!$P9,"B",IF(AN28&lt;='组合输入'!$Q9,"CCC","D")))))))</f>
        <v/>
      </c>
      <c r="AP28" s="12">
        <f>IF(AO28="","",INDEX('状态价值'!$D9:$K9,MATCH(AO28,'状态价值'!$D$1:$K$1,0)))</f>
        <v/>
      </c>
      <c r="AQ28" s="15">
        <f>NORM.S.INV(RAND())</f>
        <v/>
      </c>
      <c r="AR28" s="15">
        <f>IF('组合输入'!$C10="","",'组合输入'!$H10*$B28+SQRT(1-'组合输入'!$H10^2)*AQ28)</f>
        <v/>
      </c>
      <c r="AS28" s="7">
        <f>IF(AR28="","",NORM.S.DIST(AR28,TRUE))</f>
        <v/>
      </c>
      <c r="AT28" s="13">
        <f>IF(AS28="","",IF(AS28&lt;='组合输入'!$K10,"AAA",IF(AS28&lt;='组合输入'!$L10,"AA",IF(AS28&lt;='组合输入'!$M10,"A",IF(AS28&lt;='组合输入'!$N10,"BBB",IF(AS28&lt;='组合输入'!$O10,"BB",IF(AS28&lt;='组合输入'!$P10,"B",IF(AS28&lt;='组合输入'!$Q10,"CCC","D")))))))</f>
        <v/>
      </c>
      <c r="AU28" s="12">
        <f>IF(AT28="","",INDEX('状态价值'!$D10:$K10,MATCH(AT28,'状态价值'!$D$1:$K$1,0)))</f>
        <v/>
      </c>
      <c r="AV28" s="15">
        <f>NORM.S.INV(RAND())</f>
        <v/>
      </c>
      <c r="AW28" s="15">
        <f>IF('组合输入'!$C11="","",'组合输入'!$H11*$B28+SQRT(1-'组合输入'!$H11^2)*AV28)</f>
        <v/>
      </c>
      <c r="AX28" s="7">
        <f>IF(AW28="","",NORM.S.DIST(AW28,TRUE))</f>
        <v/>
      </c>
      <c r="AY28" s="13">
        <f>IF(AX28="","",IF(AX28&lt;='组合输入'!$K11,"AAA",IF(AX28&lt;='组合输入'!$L11,"AA",IF(AX28&lt;='组合输入'!$M11,"A",IF(AX28&lt;='组合输入'!$N11,"BBB",IF(AX28&lt;='组合输入'!$O11,"BB",IF(AX28&lt;='组合输入'!$P11,"B",IF(AX28&lt;='组合输入'!$Q11,"CCC","D")))))))</f>
        <v/>
      </c>
      <c r="AZ28" s="12">
        <f>IF(AY28="","",INDEX('状态价值'!$D11:$K11,MATCH(AY28,'状态价值'!$D$1:$K$1,0)))</f>
        <v/>
      </c>
      <c r="BA28" s="12">
        <f>G28+L28+Q28+V28+AA28+AF28+AK28+AP28+AU28+AZ28</f>
        <v/>
      </c>
      <c r="BB28" s="12">
        <f>SUM('组合输入'!$J$2:$J$11)-BA28</f>
        <v/>
      </c>
    </row>
    <row r="29">
      <c r="A29" s="11" t="n">
        <v>28</v>
      </c>
      <c r="B29" s="14">
        <f>NORM.S.INV(RAND())</f>
        <v/>
      </c>
      <c r="C29" s="14">
        <f>NORM.S.INV(RAND())</f>
        <v/>
      </c>
      <c r="D29" s="15">
        <f>IF('组合输入'!$C2="","",'组合输入'!$H2*$B29+SQRT(1-'组合输入'!$H2^2)*C29)</f>
        <v/>
      </c>
      <c r="E29" s="7">
        <f>IF(D29="","",NORM.S.DIST(D29,TRUE))</f>
        <v/>
      </c>
      <c r="F29" s="13">
        <f>IF(E29="","",IF(E29&lt;='组合输入'!$K2,"AAA",IF(E29&lt;='组合输入'!$L2,"AA",IF(E29&lt;='组合输入'!$M2,"A",IF(E29&lt;='组合输入'!$N2,"BBB",IF(E29&lt;='组合输入'!$O2,"BB",IF(E29&lt;='组合输入'!$P2,"B",IF(E29&lt;='组合输入'!$Q2,"CCC","D")))))))</f>
        <v/>
      </c>
      <c r="G29" s="12">
        <f>IF(F29="","",INDEX('状态价值'!$D2:$K2,MATCH(F29,'状态价值'!$D$1:$K$1,0)))</f>
        <v/>
      </c>
      <c r="H29" s="15">
        <f>NORM.S.INV(RAND())</f>
        <v/>
      </c>
      <c r="I29" s="15">
        <f>IF('组合输入'!$C3="","",'组合输入'!$H3*$B29+SQRT(1-'组合输入'!$H3^2)*H29)</f>
        <v/>
      </c>
      <c r="J29" s="7">
        <f>IF(I29="","",NORM.S.DIST(I29,TRUE))</f>
        <v/>
      </c>
      <c r="K29" s="13">
        <f>IF(J29="","",IF(J29&lt;='组合输入'!$K3,"AAA",IF(J29&lt;='组合输入'!$L3,"AA",IF(J29&lt;='组合输入'!$M3,"A",IF(J29&lt;='组合输入'!$N3,"BBB",IF(J29&lt;='组合输入'!$O3,"BB",IF(J29&lt;='组合输入'!$P3,"B",IF(J29&lt;='组合输入'!$Q3,"CCC","D")))))))</f>
        <v/>
      </c>
      <c r="L29" s="12">
        <f>IF(K29="","",INDEX('状态价值'!$D3:$K3,MATCH(K29,'状态价值'!$D$1:$K$1,0)))</f>
        <v/>
      </c>
      <c r="M29" s="15">
        <f>NORM.S.INV(RAND())</f>
        <v/>
      </c>
      <c r="N29" s="15">
        <f>IF('组合输入'!$C4="","",'组合输入'!$H4*$B29+SQRT(1-'组合输入'!$H4^2)*M29)</f>
        <v/>
      </c>
      <c r="O29" s="7">
        <f>IF(N29="","",NORM.S.DIST(N29,TRUE))</f>
        <v/>
      </c>
      <c r="P29" s="13">
        <f>IF(O29="","",IF(O29&lt;='组合输入'!$K4,"AAA",IF(O29&lt;='组合输入'!$L4,"AA",IF(O29&lt;='组合输入'!$M4,"A",IF(O29&lt;='组合输入'!$N4,"BBB",IF(O29&lt;='组合输入'!$O4,"BB",IF(O29&lt;='组合输入'!$P4,"B",IF(O29&lt;='组合输入'!$Q4,"CCC","D")))))))</f>
        <v/>
      </c>
      <c r="Q29" s="12">
        <f>IF(P29="","",INDEX('状态价值'!$D4:$K4,MATCH(P29,'状态价值'!$D$1:$K$1,0)))</f>
        <v/>
      </c>
      <c r="R29" s="15">
        <f>NORM.S.INV(RAND())</f>
        <v/>
      </c>
      <c r="S29" s="15">
        <f>IF('组合输入'!$C5="","",'组合输入'!$H5*$B29+SQRT(1-'组合输入'!$H5^2)*R29)</f>
        <v/>
      </c>
      <c r="T29" s="7">
        <f>IF(S29="","",NORM.S.DIST(S29,TRUE))</f>
        <v/>
      </c>
      <c r="U29" s="13">
        <f>IF(T29="","",IF(T29&lt;='组合输入'!$K5,"AAA",IF(T29&lt;='组合输入'!$L5,"AA",IF(T29&lt;='组合输入'!$M5,"A",IF(T29&lt;='组合输入'!$N5,"BBB",IF(T29&lt;='组合输入'!$O5,"BB",IF(T29&lt;='组合输入'!$P5,"B",IF(T29&lt;='组合输入'!$Q5,"CCC","D")))))))</f>
        <v/>
      </c>
      <c r="V29" s="12">
        <f>IF(U29="","",INDEX('状态价值'!$D5:$K5,MATCH(U29,'状态价值'!$D$1:$K$1,0)))</f>
        <v/>
      </c>
      <c r="W29" s="15">
        <f>NORM.S.INV(RAND())</f>
        <v/>
      </c>
      <c r="X29" s="15">
        <f>IF('组合输入'!$C6="","",'组合输入'!$H6*$B29+SQRT(1-'组合输入'!$H6^2)*W29)</f>
        <v/>
      </c>
      <c r="Y29" s="7">
        <f>IF(X29="","",NORM.S.DIST(X29,TRUE))</f>
        <v/>
      </c>
      <c r="Z29" s="13">
        <f>IF(Y29="","",IF(Y29&lt;='组合输入'!$K6,"AAA",IF(Y29&lt;='组合输入'!$L6,"AA",IF(Y29&lt;='组合输入'!$M6,"A",IF(Y29&lt;='组合输入'!$N6,"BBB",IF(Y29&lt;='组合输入'!$O6,"BB",IF(Y29&lt;='组合输入'!$P6,"B",IF(Y29&lt;='组合输入'!$Q6,"CCC","D")))))))</f>
        <v/>
      </c>
      <c r="AA29" s="12">
        <f>IF(Z29="","",INDEX('状态价值'!$D6:$K6,MATCH(Z29,'状态价值'!$D$1:$K$1,0)))</f>
        <v/>
      </c>
      <c r="AB29" s="15">
        <f>NORM.S.INV(RAND())</f>
        <v/>
      </c>
      <c r="AC29" s="15">
        <f>IF('组合输入'!$C7="","",'组合输入'!$H7*$B29+SQRT(1-'组合输入'!$H7^2)*AB29)</f>
        <v/>
      </c>
      <c r="AD29" s="7">
        <f>IF(AC29="","",NORM.S.DIST(AC29,TRUE))</f>
        <v/>
      </c>
      <c r="AE29" s="13">
        <f>IF(AD29="","",IF(AD29&lt;='组合输入'!$K7,"AAA",IF(AD29&lt;='组合输入'!$L7,"AA",IF(AD29&lt;='组合输入'!$M7,"A",IF(AD29&lt;='组合输入'!$N7,"BBB",IF(AD29&lt;='组合输入'!$O7,"BB",IF(AD29&lt;='组合输入'!$P7,"B",IF(AD29&lt;='组合输入'!$Q7,"CCC","D")))))))</f>
        <v/>
      </c>
      <c r="AF29" s="12">
        <f>IF(AE29="","",INDEX('状态价值'!$D7:$K7,MATCH(AE29,'状态价值'!$D$1:$K$1,0)))</f>
        <v/>
      </c>
      <c r="AG29" s="15">
        <f>NORM.S.INV(RAND())</f>
        <v/>
      </c>
      <c r="AH29" s="15">
        <f>IF('组合输入'!$C8="","",'组合输入'!$H8*$B29+SQRT(1-'组合输入'!$H8^2)*AG29)</f>
        <v/>
      </c>
      <c r="AI29" s="7">
        <f>IF(AH29="","",NORM.S.DIST(AH29,TRUE))</f>
        <v/>
      </c>
      <c r="AJ29" s="13">
        <f>IF(AI29="","",IF(AI29&lt;='组合输入'!$K8,"AAA",IF(AI29&lt;='组合输入'!$L8,"AA",IF(AI29&lt;='组合输入'!$M8,"A",IF(AI29&lt;='组合输入'!$N8,"BBB",IF(AI29&lt;='组合输入'!$O8,"BB",IF(AI29&lt;='组合输入'!$P8,"B",IF(AI29&lt;='组合输入'!$Q8,"CCC","D")))))))</f>
        <v/>
      </c>
      <c r="AK29" s="12">
        <f>IF(AJ29="","",INDEX('状态价值'!$D8:$K8,MATCH(AJ29,'状态价值'!$D$1:$K$1,0)))</f>
        <v/>
      </c>
      <c r="AL29" s="15">
        <f>NORM.S.INV(RAND())</f>
        <v/>
      </c>
      <c r="AM29" s="15">
        <f>IF('组合输入'!$C9="","",'组合输入'!$H9*$B29+SQRT(1-'组合输入'!$H9^2)*AL29)</f>
        <v/>
      </c>
      <c r="AN29" s="7">
        <f>IF(AM29="","",NORM.S.DIST(AM29,TRUE))</f>
        <v/>
      </c>
      <c r="AO29" s="13">
        <f>IF(AN29="","",IF(AN29&lt;='组合输入'!$K9,"AAA",IF(AN29&lt;='组合输入'!$L9,"AA",IF(AN29&lt;='组合输入'!$M9,"A",IF(AN29&lt;='组合输入'!$N9,"BBB",IF(AN29&lt;='组合输入'!$O9,"BB",IF(AN29&lt;='组合输入'!$P9,"B",IF(AN29&lt;='组合输入'!$Q9,"CCC","D")))))))</f>
        <v/>
      </c>
      <c r="AP29" s="12">
        <f>IF(AO29="","",INDEX('状态价值'!$D9:$K9,MATCH(AO29,'状态价值'!$D$1:$K$1,0)))</f>
        <v/>
      </c>
      <c r="AQ29" s="15">
        <f>NORM.S.INV(RAND())</f>
        <v/>
      </c>
      <c r="AR29" s="15">
        <f>IF('组合输入'!$C10="","",'组合输入'!$H10*$B29+SQRT(1-'组合输入'!$H10^2)*AQ29)</f>
        <v/>
      </c>
      <c r="AS29" s="7">
        <f>IF(AR29="","",NORM.S.DIST(AR29,TRUE))</f>
        <v/>
      </c>
      <c r="AT29" s="13">
        <f>IF(AS29="","",IF(AS29&lt;='组合输入'!$K10,"AAA",IF(AS29&lt;='组合输入'!$L10,"AA",IF(AS29&lt;='组合输入'!$M10,"A",IF(AS29&lt;='组合输入'!$N10,"BBB",IF(AS29&lt;='组合输入'!$O10,"BB",IF(AS29&lt;='组合输入'!$P10,"B",IF(AS29&lt;='组合输入'!$Q10,"CCC","D")))))))</f>
        <v/>
      </c>
      <c r="AU29" s="12">
        <f>IF(AT29="","",INDEX('状态价值'!$D10:$K10,MATCH(AT29,'状态价值'!$D$1:$K$1,0)))</f>
        <v/>
      </c>
      <c r="AV29" s="15">
        <f>NORM.S.INV(RAND())</f>
        <v/>
      </c>
      <c r="AW29" s="15">
        <f>IF('组合输入'!$C11="","",'组合输入'!$H11*$B29+SQRT(1-'组合输入'!$H11^2)*AV29)</f>
        <v/>
      </c>
      <c r="AX29" s="7">
        <f>IF(AW29="","",NORM.S.DIST(AW29,TRUE))</f>
        <v/>
      </c>
      <c r="AY29" s="13">
        <f>IF(AX29="","",IF(AX29&lt;='组合输入'!$K11,"AAA",IF(AX29&lt;='组合输入'!$L11,"AA",IF(AX29&lt;='组合输入'!$M11,"A",IF(AX29&lt;='组合输入'!$N11,"BBB",IF(AX29&lt;='组合输入'!$O11,"BB",IF(AX29&lt;='组合输入'!$P11,"B",IF(AX29&lt;='组合输入'!$Q11,"CCC","D")))))))</f>
        <v/>
      </c>
      <c r="AZ29" s="12">
        <f>IF(AY29="","",INDEX('状态价值'!$D11:$K11,MATCH(AY29,'状态价值'!$D$1:$K$1,0)))</f>
        <v/>
      </c>
      <c r="BA29" s="12">
        <f>G29+L29+Q29+V29+AA29+AF29+AK29+AP29+AU29+AZ29</f>
        <v/>
      </c>
      <c r="BB29" s="12">
        <f>SUM('组合输入'!$J$2:$J$11)-BA29</f>
        <v/>
      </c>
    </row>
    <row r="30">
      <c r="A30" s="11" t="n">
        <v>29</v>
      </c>
      <c r="B30" s="14">
        <f>NORM.S.INV(RAND())</f>
        <v/>
      </c>
      <c r="C30" s="14">
        <f>NORM.S.INV(RAND())</f>
        <v/>
      </c>
      <c r="D30" s="15">
        <f>IF('组合输入'!$C2="","",'组合输入'!$H2*$B30+SQRT(1-'组合输入'!$H2^2)*C30)</f>
        <v/>
      </c>
      <c r="E30" s="7">
        <f>IF(D30="","",NORM.S.DIST(D30,TRUE))</f>
        <v/>
      </c>
      <c r="F30" s="13">
        <f>IF(E30="","",IF(E30&lt;='组合输入'!$K2,"AAA",IF(E30&lt;='组合输入'!$L2,"AA",IF(E30&lt;='组合输入'!$M2,"A",IF(E30&lt;='组合输入'!$N2,"BBB",IF(E30&lt;='组合输入'!$O2,"BB",IF(E30&lt;='组合输入'!$P2,"B",IF(E30&lt;='组合输入'!$Q2,"CCC","D")))))))</f>
        <v/>
      </c>
      <c r="G30" s="12">
        <f>IF(F30="","",INDEX('状态价值'!$D2:$K2,MATCH(F30,'状态价值'!$D$1:$K$1,0)))</f>
        <v/>
      </c>
      <c r="H30" s="15">
        <f>NORM.S.INV(RAND())</f>
        <v/>
      </c>
      <c r="I30" s="15">
        <f>IF('组合输入'!$C3="","",'组合输入'!$H3*$B30+SQRT(1-'组合输入'!$H3^2)*H30)</f>
        <v/>
      </c>
      <c r="J30" s="7">
        <f>IF(I30="","",NORM.S.DIST(I30,TRUE))</f>
        <v/>
      </c>
      <c r="K30" s="13">
        <f>IF(J30="","",IF(J30&lt;='组合输入'!$K3,"AAA",IF(J30&lt;='组合输入'!$L3,"AA",IF(J30&lt;='组合输入'!$M3,"A",IF(J30&lt;='组合输入'!$N3,"BBB",IF(J30&lt;='组合输入'!$O3,"BB",IF(J30&lt;='组合输入'!$P3,"B",IF(J30&lt;='组合输入'!$Q3,"CCC","D")))))))</f>
        <v/>
      </c>
      <c r="L30" s="12">
        <f>IF(K30="","",INDEX('状态价值'!$D3:$K3,MATCH(K30,'状态价值'!$D$1:$K$1,0)))</f>
        <v/>
      </c>
      <c r="M30" s="15">
        <f>NORM.S.INV(RAND())</f>
        <v/>
      </c>
      <c r="N30" s="15">
        <f>IF('组合输入'!$C4="","",'组合输入'!$H4*$B30+SQRT(1-'组合输入'!$H4^2)*M30)</f>
        <v/>
      </c>
      <c r="O30" s="7">
        <f>IF(N30="","",NORM.S.DIST(N30,TRUE))</f>
        <v/>
      </c>
      <c r="P30" s="13">
        <f>IF(O30="","",IF(O30&lt;='组合输入'!$K4,"AAA",IF(O30&lt;='组合输入'!$L4,"AA",IF(O30&lt;='组合输入'!$M4,"A",IF(O30&lt;='组合输入'!$N4,"BBB",IF(O30&lt;='组合输入'!$O4,"BB",IF(O30&lt;='组合输入'!$P4,"B",IF(O30&lt;='组合输入'!$Q4,"CCC","D")))))))</f>
        <v/>
      </c>
      <c r="Q30" s="12">
        <f>IF(P30="","",INDEX('状态价值'!$D4:$K4,MATCH(P30,'状态价值'!$D$1:$K$1,0)))</f>
        <v/>
      </c>
      <c r="R30" s="15">
        <f>NORM.S.INV(RAND())</f>
        <v/>
      </c>
      <c r="S30" s="15">
        <f>IF('组合输入'!$C5="","",'组合输入'!$H5*$B30+SQRT(1-'组合输入'!$H5^2)*R30)</f>
        <v/>
      </c>
      <c r="T30" s="7">
        <f>IF(S30="","",NORM.S.DIST(S30,TRUE))</f>
        <v/>
      </c>
      <c r="U30" s="13">
        <f>IF(T30="","",IF(T30&lt;='组合输入'!$K5,"AAA",IF(T30&lt;='组合输入'!$L5,"AA",IF(T30&lt;='组合输入'!$M5,"A",IF(T30&lt;='组合输入'!$N5,"BBB",IF(T30&lt;='组合输入'!$O5,"BB",IF(T30&lt;='组合输入'!$P5,"B",IF(T30&lt;='组合输入'!$Q5,"CCC","D")))))))</f>
        <v/>
      </c>
      <c r="V30" s="12">
        <f>IF(U30="","",INDEX('状态价值'!$D5:$K5,MATCH(U30,'状态价值'!$D$1:$K$1,0)))</f>
        <v/>
      </c>
      <c r="W30" s="15">
        <f>NORM.S.INV(RAND())</f>
        <v/>
      </c>
      <c r="X30" s="15">
        <f>IF('组合输入'!$C6="","",'组合输入'!$H6*$B30+SQRT(1-'组合输入'!$H6^2)*W30)</f>
        <v/>
      </c>
      <c r="Y30" s="7">
        <f>IF(X30="","",NORM.S.DIST(X30,TRUE))</f>
        <v/>
      </c>
      <c r="Z30" s="13">
        <f>IF(Y30="","",IF(Y30&lt;='组合输入'!$K6,"AAA",IF(Y30&lt;='组合输入'!$L6,"AA",IF(Y30&lt;='组合输入'!$M6,"A",IF(Y30&lt;='组合输入'!$N6,"BBB",IF(Y30&lt;='组合输入'!$O6,"BB",IF(Y30&lt;='组合输入'!$P6,"B",IF(Y30&lt;='组合输入'!$Q6,"CCC","D")))))))</f>
        <v/>
      </c>
      <c r="AA30" s="12">
        <f>IF(Z30="","",INDEX('状态价值'!$D6:$K6,MATCH(Z30,'状态价值'!$D$1:$K$1,0)))</f>
        <v/>
      </c>
      <c r="AB30" s="15">
        <f>NORM.S.INV(RAND())</f>
        <v/>
      </c>
      <c r="AC30" s="15">
        <f>IF('组合输入'!$C7="","",'组合输入'!$H7*$B30+SQRT(1-'组合输入'!$H7^2)*AB30)</f>
        <v/>
      </c>
      <c r="AD30" s="7">
        <f>IF(AC30="","",NORM.S.DIST(AC30,TRUE))</f>
        <v/>
      </c>
      <c r="AE30" s="13">
        <f>IF(AD30="","",IF(AD30&lt;='组合输入'!$K7,"AAA",IF(AD30&lt;='组合输入'!$L7,"AA",IF(AD30&lt;='组合输入'!$M7,"A",IF(AD30&lt;='组合输入'!$N7,"BBB",IF(AD30&lt;='组合输入'!$O7,"BB",IF(AD30&lt;='组合输入'!$P7,"B",IF(AD30&lt;='组合输入'!$Q7,"CCC","D")))))))</f>
        <v/>
      </c>
      <c r="AF30" s="12">
        <f>IF(AE30="","",INDEX('状态价值'!$D7:$K7,MATCH(AE30,'状态价值'!$D$1:$K$1,0)))</f>
        <v/>
      </c>
      <c r="AG30" s="15">
        <f>NORM.S.INV(RAND())</f>
        <v/>
      </c>
      <c r="AH30" s="15">
        <f>IF('组合输入'!$C8="","",'组合输入'!$H8*$B30+SQRT(1-'组合输入'!$H8^2)*AG30)</f>
        <v/>
      </c>
      <c r="AI30" s="7">
        <f>IF(AH30="","",NORM.S.DIST(AH30,TRUE))</f>
        <v/>
      </c>
      <c r="AJ30" s="13">
        <f>IF(AI30="","",IF(AI30&lt;='组合输入'!$K8,"AAA",IF(AI30&lt;='组合输入'!$L8,"AA",IF(AI30&lt;='组合输入'!$M8,"A",IF(AI30&lt;='组合输入'!$N8,"BBB",IF(AI30&lt;='组合输入'!$O8,"BB",IF(AI30&lt;='组合输入'!$P8,"B",IF(AI30&lt;='组合输入'!$Q8,"CCC","D")))))))</f>
        <v/>
      </c>
      <c r="AK30" s="12">
        <f>IF(AJ30="","",INDEX('状态价值'!$D8:$K8,MATCH(AJ30,'状态价值'!$D$1:$K$1,0)))</f>
        <v/>
      </c>
      <c r="AL30" s="15">
        <f>NORM.S.INV(RAND())</f>
        <v/>
      </c>
      <c r="AM30" s="15">
        <f>IF('组合输入'!$C9="","",'组合输入'!$H9*$B30+SQRT(1-'组合输入'!$H9^2)*AL30)</f>
        <v/>
      </c>
      <c r="AN30" s="7">
        <f>IF(AM30="","",NORM.S.DIST(AM30,TRUE))</f>
        <v/>
      </c>
      <c r="AO30" s="13">
        <f>IF(AN30="","",IF(AN30&lt;='组合输入'!$K9,"AAA",IF(AN30&lt;='组合输入'!$L9,"AA",IF(AN30&lt;='组合输入'!$M9,"A",IF(AN30&lt;='组合输入'!$N9,"BBB",IF(AN30&lt;='组合输入'!$O9,"BB",IF(AN30&lt;='组合输入'!$P9,"B",IF(AN30&lt;='组合输入'!$Q9,"CCC","D")))))))</f>
        <v/>
      </c>
      <c r="AP30" s="12">
        <f>IF(AO30="","",INDEX('状态价值'!$D9:$K9,MATCH(AO30,'状态价值'!$D$1:$K$1,0)))</f>
        <v/>
      </c>
      <c r="AQ30" s="15">
        <f>NORM.S.INV(RAND())</f>
        <v/>
      </c>
      <c r="AR30" s="15">
        <f>IF('组合输入'!$C10="","",'组合输入'!$H10*$B30+SQRT(1-'组合输入'!$H10^2)*AQ30)</f>
        <v/>
      </c>
      <c r="AS30" s="7">
        <f>IF(AR30="","",NORM.S.DIST(AR30,TRUE))</f>
        <v/>
      </c>
      <c r="AT30" s="13">
        <f>IF(AS30="","",IF(AS30&lt;='组合输入'!$K10,"AAA",IF(AS30&lt;='组合输入'!$L10,"AA",IF(AS30&lt;='组合输入'!$M10,"A",IF(AS30&lt;='组合输入'!$N10,"BBB",IF(AS30&lt;='组合输入'!$O10,"BB",IF(AS30&lt;='组合输入'!$P10,"B",IF(AS30&lt;='组合输入'!$Q10,"CCC","D")))))))</f>
        <v/>
      </c>
      <c r="AU30" s="12">
        <f>IF(AT30="","",INDEX('状态价值'!$D10:$K10,MATCH(AT30,'状态价值'!$D$1:$K$1,0)))</f>
        <v/>
      </c>
      <c r="AV30" s="15">
        <f>NORM.S.INV(RAND())</f>
        <v/>
      </c>
      <c r="AW30" s="15">
        <f>IF('组合输入'!$C11="","",'组合输入'!$H11*$B30+SQRT(1-'组合输入'!$H11^2)*AV30)</f>
        <v/>
      </c>
      <c r="AX30" s="7">
        <f>IF(AW30="","",NORM.S.DIST(AW30,TRUE))</f>
        <v/>
      </c>
      <c r="AY30" s="13">
        <f>IF(AX30="","",IF(AX30&lt;='组合输入'!$K11,"AAA",IF(AX30&lt;='组合输入'!$L11,"AA",IF(AX30&lt;='组合输入'!$M11,"A",IF(AX30&lt;='组合输入'!$N11,"BBB",IF(AX30&lt;='组合输入'!$O11,"BB",IF(AX30&lt;='组合输入'!$P11,"B",IF(AX30&lt;='组合输入'!$Q11,"CCC","D")))))))</f>
        <v/>
      </c>
      <c r="AZ30" s="12">
        <f>IF(AY30="","",INDEX('状态价值'!$D11:$K11,MATCH(AY30,'状态价值'!$D$1:$K$1,0)))</f>
        <v/>
      </c>
      <c r="BA30" s="12">
        <f>G30+L30+Q30+V30+AA30+AF30+AK30+AP30+AU30+AZ30</f>
        <v/>
      </c>
      <c r="BB30" s="12">
        <f>SUM('组合输入'!$J$2:$J$11)-BA30</f>
        <v/>
      </c>
    </row>
    <row r="31">
      <c r="A31" s="11" t="n">
        <v>30</v>
      </c>
      <c r="B31" s="14">
        <f>NORM.S.INV(RAND())</f>
        <v/>
      </c>
      <c r="C31" s="14">
        <f>NORM.S.INV(RAND())</f>
        <v/>
      </c>
      <c r="D31" s="15">
        <f>IF('组合输入'!$C2="","",'组合输入'!$H2*$B31+SQRT(1-'组合输入'!$H2^2)*C31)</f>
        <v/>
      </c>
      <c r="E31" s="7">
        <f>IF(D31="","",NORM.S.DIST(D31,TRUE))</f>
        <v/>
      </c>
      <c r="F31" s="13">
        <f>IF(E31="","",IF(E31&lt;='组合输入'!$K2,"AAA",IF(E31&lt;='组合输入'!$L2,"AA",IF(E31&lt;='组合输入'!$M2,"A",IF(E31&lt;='组合输入'!$N2,"BBB",IF(E31&lt;='组合输入'!$O2,"BB",IF(E31&lt;='组合输入'!$P2,"B",IF(E31&lt;='组合输入'!$Q2,"CCC","D")))))))</f>
        <v/>
      </c>
      <c r="G31" s="12">
        <f>IF(F31="","",INDEX('状态价值'!$D2:$K2,MATCH(F31,'状态价值'!$D$1:$K$1,0)))</f>
        <v/>
      </c>
      <c r="H31" s="15">
        <f>NORM.S.INV(RAND())</f>
        <v/>
      </c>
      <c r="I31" s="15">
        <f>IF('组合输入'!$C3="","",'组合输入'!$H3*$B31+SQRT(1-'组合输入'!$H3^2)*H31)</f>
        <v/>
      </c>
      <c r="J31" s="7">
        <f>IF(I31="","",NORM.S.DIST(I31,TRUE))</f>
        <v/>
      </c>
      <c r="K31" s="13">
        <f>IF(J31="","",IF(J31&lt;='组合输入'!$K3,"AAA",IF(J31&lt;='组合输入'!$L3,"AA",IF(J31&lt;='组合输入'!$M3,"A",IF(J31&lt;='组合输入'!$N3,"BBB",IF(J31&lt;='组合输入'!$O3,"BB",IF(J31&lt;='组合输入'!$P3,"B",IF(J31&lt;='组合输入'!$Q3,"CCC","D")))))))</f>
        <v/>
      </c>
      <c r="L31" s="12">
        <f>IF(K31="","",INDEX('状态价值'!$D3:$K3,MATCH(K31,'状态价值'!$D$1:$K$1,0)))</f>
        <v/>
      </c>
      <c r="M31" s="15">
        <f>NORM.S.INV(RAND())</f>
        <v/>
      </c>
      <c r="N31" s="15">
        <f>IF('组合输入'!$C4="","",'组合输入'!$H4*$B31+SQRT(1-'组合输入'!$H4^2)*M31)</f>
        <v/>
      </c>
      <c r="O31" s="7">
        <f>IF(N31="","",NORM.S.DIST(N31,TRUE))</f>
        <v/>
      </c>
      <c r="P31" s="13">
        <f>IF(O31="","",IF(O31&lt;='组合输入'!$K4,"AAA",IF(O31&lt;='组合输入'!$L4,"AA",IF(O31&lt;='组合输入'!$M4,"A",IF(O31&lt;='组合输入'!$N4,"BBB",IF(O31&lt;='组合输入'!$O4,"BB",IF(O31&lt;='组合输入'!$P4,"B",IF(O31&lt;='组合输入'!$Q4,"CCC","D")))))))</f>
        <v/>
      </c>
      <c r="Q31" s="12">
        <f>IF(P31="","",INDEX('状态价值'!$D4:$K4,MATCH(P31,'状态价值'!$D$1:$K$1,0)))</f>
        <v/>
      </c>
      <c r="R31" s="15">
        <f>NORM.S.INV(RAND())</f>
        <v/>
      </c>
      <c r="S31" s="15">
        <f>IF('组合输入'!$C5="","",'组合输入'!$H5*$B31+SQRT(1-'组合输入'!$H5^2)*R31)</f>
        <v/>
      </c>
      <c r="T31" s="7">
        <f>IF(S31="","",NORM.S.DIST(S31,TRUE))</f>
        <v/>
      </c>
      <c r="U31" s="13">
        <f>IF(T31="","",IF(T31&lt;='组合输入'!$K5,"AAA",IF(T31&lt;='组合输入'!$L5,"AA",IF(T31&lt;='组合输入'!$M5,"A",IF(T31&lt;='组合输入'!$N5,"BBB",IF(T31&lt;='组合输入'!$O5,"BB",IF(T31&lt;='组合输入'!$P5,"B",IF(T31&lt;='组合输入'!$Q5,"CCC","D")))))))</f>
        <v/>
      </c>
      <c r="V31" s="12">
        <f>IF(U31="","",INDEX('状态价值'!$D5:$K5,MATCH(U31,'状态价值'!$D$1:$K$1,0)))</f>
        <v/>
      </c>
      <c r="W31" s="15">
        <f>NORM.S.INV(RAND())</f>
        <v/>
      </c>
      <c r="X31" s="15">
        <f>IF('组合输入'!$C6="","",'组合输入'!$H6*$B31+SQRT(1-'组合输入'!$H6^2)*W31)</f>
        <v/>
      </c>
      <c r="Y31" s="7">
        <f>IF(X31="","",NORM.S.DIST(X31,TRUE))</f>
        <v/>
      </c>
      <c r="Z31" s="13">
        <f>IF(Y31="","",IF(Y31&lt;='组合输入'!$K6,"AAA",IF(Y31&lt;='组合输入'!$L6,"AA",IF(Y31&lt;='组合输入'!$M6,"A",IF(Y31&lt;='组合输入'!$N6,"BBB",IF(Y31&lt;='组合输入'!$O6,"BB",IF(Y31&lt;='组合输入'!$P6,"B",IF(Y31&lt;='组合输入'!$Q6,"CCC","D")))))))</f>
        <v/>
      </c>
      <c r="AA31" s="12">
        <f>IF(Z31="","",INDEX('状态价值'!$D6:$K6,MATCH(Z31,'状态价值'!$D$1:$K$1,0)))</f>
        <v/>
      </c>
      <c r="AB31" s="15">
        <f>NORM.S.INV(RAND())</f>
        <v/>
      </c>
      <c r="AC31" s="15">
        <f>IF('组合输入'!$C7="","",'组合输入'!$H7*$B31+SQRT(1-'组合输入'!$H7^2)*AB31)</f>
        <v/>
      </c>
      <c r="AD31" s="7">
        <f>IF(AC31="","",NORM.S.DIST(AC31,TRUE))</f>
        <v/>
      </c>
      <c r="AE31" s="13">
        <f>IF(AD31="","",IF(AD31&lt;='组合输入'!$K7,"AAA",IF(AD31&lt;='组合输入'!$L7,"AA",IF(AD31&lt;='组合输入'!$M7,"A",IF(AD31&lt;='组合输入'!$N7,"BBB",IF(AD31&lt;='组合输入'!$O7,"BB",IF(AD31&lt;='组合输入'!$P7,"B",IF(AD31&lt;='组合输入'!$Q7,"CCC","D")))))))</f>
        <v/>
      </c>
      <c r="AF31" s="12">
        <f>IF(AE31="","",INDEX('状态价值'!$D7:$K7,MATCH(AE31,'状态价值'!$D$1:$K$1,0)))</f>
        <v/>
      </c>
      <c r="AG31" s="15">
        <f>NORM.S.INV(RAND())</f>
        <v/>
      </c>
      <c r="AH31" s="15">
        <f>IF('组合输入'!$C8="","",'组合输入'!$H8*$B31+SQRT(1-'组合输入'!$H8^2)*AG31)</f>
        <v/>
      </c>
      <c r="AI31" s="7">
        <f>IF(AH31="","",NORM.S.DIST(AH31,TRUE))</f>
        <v/>
      </c>
      <c r="AJ31" s="13">
        <f>IF(AI31="","",IF(AI31&lt;='组合输入'!$K8,"AAA",IF(AI31&lt;='组合输入'!$L8,"AA",IF(AI31&lt;='组合输入'!$M8,"A",IF(AI31&lt;='组合输入'!$N8,"BBB",IF(AI31&lt;='组合输入'!$O8,"BB",IF(AI31&lt;='组合输入'!$P8,"B",IF(AI31&lt;='组合输入'!$Q8,"CCC","D")))))))</f>
        <v/>
      </c>
      <c r="AK31" s="12">
        <f>IF(AJ31="","",INDEX('状态价值'!$D8:$K8,MATCH(AJ31,'状态价值'!$D$1:$K$1,0)))</f>
        <v/>
      </c>
      <c r="AL31" s="15">
        <f>NORM.S.INV(RAND())</f>
        <v/>
      </c>
      <c r="AM31" s="15">
        <f>IF('组合输入'!$C9="","",'组合输入'!$H9*$B31+SQRT(1-'组合输入'!$H9^2)*AL31)</f>
        <v/>
      </c>
      <c r="AN31" s="7">
        <f>IF(AM31="","",NORM.S.DIST(AM31,TRUE))</f>
        <v/>
      </c>
      <c r="AO31" s="13">
        <f>IF(AN31="","",IF(AN31&lt;='组合输入'!$K9,"AAA",IF(AN31&lt;='组合输入'!$L9,"AA",IF(AN31&lt;='组合输入'!$M9,"A",IF(AN31&lt;='组合输入'!$N9,"BBB",IF(AN31&lt;='组合输入'!$O9,"BB",IF(AN31&lt;='组合输入'!$P9,"B",IF(AN31&lt;='组合输入'!$Q9,"CCC","D")))))))</f>
        <v/>
      </c>
      <c r="AP31" s="12">
        <f>IF(AO31="","",INDEX('状态价值'!$D9:$K9,MATCH(AO31,'状态价值'!$D$1:$K$1,0)))</f>
        <v/>
      </c>
      <c r="AQ31" s="15">
        <f>NORM.S.INV(RAND())</f>
        <v/>
      </c>
      <c r="AR31" s="15">
        <f>IF('组合输入'!$C10="","",'组合输入'!$H10*$B31+SQRT(1-'组合输入'!$H10^2)*AQ31)</f>
        <v/>
      </c>
      <c r="AS31" s="7">
        <f>IF(AR31="","",NORM.S.DIST(AR31,TRUE))</f>
        <v/>
      </c>
      <c r="AT31" s="13">
        <f>IF(AS31="","",IF(AS31&lt;='组合输入'!$K10,"AAA",IF(AS31&lt;='组合输入'!$L10,"AA",IF(AS31&lt;='组合输入'!$M10,"A",IF(AS31&lt;='组合输入'!$N10,"BBB",IF(AS31&lt;='组合输入'!$O10,"BB",IF(AS31&lt;='组合输入'!$P10,"B",IF(AS31&lt;='组合输入'!$Q10,"CCC","D")))))))</f>
        <v/>
      </c>
      <c r="AU31" s="12">
        <f>IF(AT31="","",INDEX('状态价值'!$D10:$K10,MATCH(AT31,'状态价值'!$D$1:$K$1,0)))</f>
        <v/>
      </c>
      <c r="AV31" s="15">
        <f>NORM.S.INV(RAND())</f>
        <v/>
      </c>
      <c r="AW31" s="15">
        <f>IF('组合输入'!$C11="","",'组合输入'!$H11*$B31+SQRT(1-'组合输入'!$H11^2)*AV31)</f>
        <v/>
      </c>
      <c r="AX31" s="7">
        <f>IF(AW31="","",NORM.S.DIST(AW31,TRUE))</f>
        <v/>
      </c>
      <c r="AY31" s="13">
        <f>IF(AX31="","",IF(AX31&lt;='组合输入'!$K11,"AAA",IF(AX31&lt;='组合输入'!$L11,"AA",IF(AX31&lt;='组合输入'!$M11,"A",IF(AX31&lt;='组合输入'!$N11,"BBB",IF(AX31&lt;='组合输入'!$O11,"BB",IF(AX31&lt;='组合输入'!$P11,"B",IF(AX31&lt;='组合输入'!$Q11,"CCC","D")))))))</f>
        <v/>
      </c>
      <c r="AZ31" s="12">
        <f>IF(AY31="","",INDEX('状态价值'!$D11:$K11,MATCH(AY31,'状态价值'!$D$1:$K$1,0)))</f>
        <v/>
      </c>
      <c r="BA31" s="12">
        <f>G31+L31+Q31+V31+AA31+AF31+AK31+AP31+AU31+AZ31</f>
        <v/>
      </c>
      <c r="BB31" s="12">
        <f>SUM('组合输入'!$J$2:$J$11)-BA31</f>
        <v/>
      </c>
    </row>
    <row r="32">
      <c r="A32" s="11" t="n">
        <v>31</v>
      </c>
      <c r="B32" s="14">
        <f>NORM.S.INV(RAND())</f>
        <v/>
      </c>
      <c r="C32" s="14">
        <f>NORM.S.INV(RAND())</f>
        <v/>
      </c>
      <c r="D32" s="15">
        <f>IF('组合输入'!$C2="","",'组合输入'!$H2*$B32+SQRT(1-'组合输入'!$H2^2)*C32)</f>
        <v/>
      </c>
      <c r="E32" s="7">
        <f>IF(D32="","",NORM.S.DIST(D32,TRUE))</f>
        <v/>
      </c>
      <c r="F32" s="13">
        <f>IF(E32="","",IF(E32&lt;='组合输入'!$K2,"AAA",IF(E32&lt;='组合输入'!$L2,"AA",IF(E32&lt;='组合输入'!$M2,"A",IF(E32&lt;='组合输入'!$N2,"BBB",IF(E32&lt;='组合输入'!$O2,"BB",IF(E32&lt;='组合输入'!$P2,"B",IF(E32&lt;='组合输入'!$Q2,"CCC","D")))))))</f>
        <v/>
      </c>
      <c r="G32" s="12">
        <f>IF(F32="","",INDEX('状态价值'!$D2:$K2,MATCH(F32,'状态价值'!$D$1:$K$1,0)))</f>
        <v/>
      </c>
      <c r="H32" s="15">
        <f>NORM.S.INV(RAND())</f>
        <v/>
      </c>
      <c r="I32" s="15">
        <f>IF('组合输入'!$C3="","",'组合输入'!$H3*$B32+SQRT(1-'组合输入'!$H3^2)*H32)</f>
        <v/>
      </c>
      <c r="J32" s="7">
        <f>IF(I32="","",NORM.S.DIST(I32,TRUE))</f>
        <v/>
      </c>
      <c r="K32" s="13">
        <f>IF(J32="","",IF(J32&lt;='组合输入'!$K3,"AAA",IF(J32&lt;='组合输入'!$L3,"AA",IF(J32&lt;='组合输入'!$M3,"A",IF(J32&lt;='组合输入'!$N3,"BBB",IF(J32&lt;='组合输入'!$O3,"BB",IF(J32&lt;='组合输入'!$P3,"B",IF(J32&lt;='组合输入'!$Q3,"CCC","D")))))))</f>
        <v/>
      </c>
      <c r="L32" s="12">
        <f>IF(K32="","",INDEX('状态价值'!$D3:$K3,MATCH(K32,'状态价值'!$D$1:$K$1,0)))</f>
        <v/>
      </c>
      <c r="M32" s="15">
        <f>NORM.S.INV(RAND())</f>
        <v/>
      </c>
      <c r="N32" s="15">
        <f>IF('组合输入'!$C4="","",'组合输入'!$H4*$B32+SQRT(1-'组合输入'!$H4^2)*M32)</f>
        <v/>
      </c>
      <c r="O32" s="7">
        <f>IF(N32="","",NORM.S.DIST(N32,TRUE))</f>
        <v/>
      </c>
      <c r="P32" s="13">
        <f>IF(O32="","",IF(O32&lt;='组合输入'!$K4,"AAA",IF(O32&lt;='组合输入'!$L4,"AA",IF(O32&lt;='组合输入'!$M4,"A",IF(O32&lt;='组合输入'!$N4,"BBB",IF(O32&lt;='组合输入'!$O4,"BB",IF(O32&lt;='组合输入'!$P4,"B",IF(O32&lt;='组合输入'!$Q4,"CCC","D")))))))</f>
        <v/>
      </c>
      <c r="Q32" s="12">
        <f>IF(P32="","",INDEX('状态价值'!$D4:$K4,MATCH(P32,'状态价值'!$D$1:$K$1,0)))</f>
        <v/>
      </c>
      <c r="R32" s="15">
        <f>NORM.S.INV(RAND())</f>
        <v/>
      </c>
      <c r="S32" s="15">
        <f>IF('组合输入'!$C5="","",'组合输入'!$H5*$B32+SQRT(1-'组合输入'!$H5^2)*R32)</f>
        <v/>
      </c>
      <c r="T32" s="7">
        <f>IF(S32="","",NORM.S.DIST(S32,TRUE))</f>
        <v/>
      </c>
      <c r="U32" s="13">
        <f>IF(T32="","",IF(T32&lt;='组合输入'!$K5,"AAA",IF(T32&lt;='组合输入'!$L5,"AA",IF(T32&lt;='组合输入'!$M5,"A",IF(T32&lt;='组合输入'!$N5,"BBB",IF(T32&lt;='组合输入'!$O5,"BB",IF(T32&lt;='组合输入'!$P5,"B",IF(T32&lt;='组合输入'!$Q5,"CCC","D")))))))</f>
        <v/>
      </c>
      <c r="V32" s="12">
        <f>IF(U32="","",INDEX('状态价值'!$D5:$K5,MATCH(U32,'状态价值'!$D$1:$K$1,0)))</f>
        <v/>
      </c>
      <c r="W32" s="15">
        <f>NORM.S.INV(RAND())</f>
        <v/>
      </c>
      <c r="X32" s="15">
        <f>IF('组合输入'!$C6="","",'组合输入'!$H6*$B32+SQRT(1-'组合输入'!$H6^2)*W32)</f>
        <v/>
      </c>
      <c r="Y32" s="7">
        <f>IF(X32="","",NORM.S.DIST(X32,TRUE))</f>
        <v/>
      </c>
      <c r="Z32" s="13">
        <f>IF(Y32="","",IF(Y32&lt;='组合输入'!$K6,"AAA",IF(Y32&lt;='组合输入'!$L6,"AA",IF(Y32&lt;='组合输入'!$M6,"A",IF(Y32&lt;='组合输入'!$N6,"BBB",IF(Y32&lt;='组合输入'!$O6,"BB",IF(Y32&lt;='组合输入'!$P6,"B",IF(Y32&lt;='组合输入'!$Q6,"CCC","D")))))))</f>
        <v/>
      </c>
      <c r="AA32" s="12">
        <f>IF(Z32="","",INDEX('状态价值'!$D6:$K6,MATCH(Z32,'状态价值'!$D$1:$K$1,0)))</f>
        <v/>
      </c>
      <c r="AB32" s="15">
        <f>NORM.S.INV(RAND())</f>
        <v/>
      </c>
      <c r="AC32" s="15">
        <f>IF('组合输入'!$C7="","",'组合输入'!$H7*$B32+SQRT(1-'组合输入'!$H7^2)*AB32)</f>
        <v/>
      </c>
      <c r="AD32" s="7">
        <f>IF(AC32="","",NORM.S.DIST(AC32,TRUE))</f>
        <v/>
      </c>
      <c r="AE32" s="13">
        <f>IF(AD32="","",IF(AD32&lt;='组合输入'!$K7,"AAA",IF(AD32&lt;='组合输入'!$L7,"AA",IF(AD32&lt;='组合输入'!$M7,"A",IF(AD32&lt;='组合输入'!$N7,"BBB",IF(AD32&lt;='组合输入'!$O7,"BB",IF(AD32&lt;='组合输入'!$P7,"B",IF(AD32&lt;='组合输入'!$Q7,"CCC","D")))))))</f>
        <v/>
      </c>
      <c r="AF32" s="12">
        <f>IF(AE32="","",INDEX('状态价值'!$D7:$K7,MATCH(AE32,'状态价值'!$D$1:$K$1,0)))</f>
        <v/>
      </c>
      <c r="AG32" s="15">
        <f>NORM.S.INV(RAND())</f>
        <v/>
      </c>
      <c r="AH32" s="15">
        <f>IF('组合输入'!$C8="","",'组合输入'!$H8*$B32+SQRT(1-'组合输入'!$H8^2)*AG32)</f>
        <v/>
      </c>
      <c r="AI32" s="7">
        <f>IF(AH32="","",NORM.S.DIST(AH32,TRUE))</f>
        <v/>
      </c>
      <c r="AJ32" s="13">
        <f>IF(AI32="","",IF(AI32&lt;='组合输入'!$K8,"AAA",IF(AI32&lt;='组合输入'!$L8,"AA",IF(AI32&lt;='组合输入'!$M8,"A",IF(AI32&lt;='组合输入'!$N8,"BBB",IF(AI32&lt;='组合输入'!$O8,"BB",IF(AI32&lt;='组合输入'!$P8,"B",IF(AI32&lt;='组合输入'!$Q8,"CCC","D")))))))</f>
        <v/>
      </c>
      <c r="AK32" s="12">
        <f>IF(AJ32="","",INDEX('状态价值'!$D8:$K8,MATCH(AJ32,'状态价值'!$D$1:$K$1,0)))</f>
        <v/>
      </c>
      <c r="AL32" s="15">
        <f>NORM.S.INV(RAND())</f>
        <v/>
      </c>
      <c r="AM32" s="15">
        <f>IF('组合输入'!$C9="","",'组合输入'!$H9*$B32+SQRT(1-'组合输入'!$H9^2)*AL32)</f>
        <v/>
      </c>
      <c r="AN32" s="7">
        <f>IF(AM32="","",NORM.S.DIST(AM32,TRUE))</f>
        <v/>
      </c>
      <c r="AO32" s="13">
        <f>IF(AN32="","",IF(AN32&lt;='组合输入'!$K9,"AAA",IF(AN32&lt;='组合输入'!$L9,"AA",IF(AN32&lt;='组合输入'!$M9,"A",IF(AN32&lt;='组合输入'!$N9,"BBB",IF(AN32&lt;='组合输入'!$O9,"BB",IF(AN32&lt;='组合输入'!$P9,"B",IF(AN32&lt;='组合输入'!$Q9,"CCC","D")))))))</f>
        <v/>
      </c>
      <c r="AP32" s="12">
        <f>IF(AO32="","",INDEX('状态价值'!$D9:$K9,MATCH(AO32,'状态价值'!$D$1:$K$1,0)))</f>
        <v/>
      </c>
      <c r="AQ32" s="15">
        <f>NORM.S.INV(RAND())</f>
        <v/>
      </c>
      <c r="AR32" s="15">
        <f>IF('组合输入'!$C10="","",'组合输入'!$H10*$B32+SQRT(1-'组合输入'!$H10^2)*AQ32)</f>
        <v/>
      </c>
      <c r="AS32" s="7">
        <f>IF(AR32="","",NORM.S.DIST(AR32,TRUE))</f>
        <v/>
      </c>
      <c r="AT32" s="13">
        <f>IF(AS32="","",IF(AS32&lt;='组合输入'!$K10,"AAA",IF(AS32&lt;='组合输入'!$L10,"AA",IF(AS32&lt;='组合输入'!$M10,"A",IF(AS32&lt;='组合输入'!$N10,"BBB",IF(AS32&lt;='组合输入'!$O10,"BB",IF(AS32&lt;='组合输入'!$P10,"B",IF(AS32&lt;='组合输入'!$Q10,"CCC","D")))))))</f>
        <v/>
      </c>
      <c r="AU32" s="12">
        <f>IF(AT32="","",INDEX('状态价值'!$D10:$K10,MATCH(AT32,'状态价值'!$D$1:$K$1,0)))</f>
        <v/>
      </c>
      <c r="AV32" s="15">
        <f>NORM.S.INV(RAND())</f>
        <v/>
      </c>
      <c r="AW32" s="15">
        <f>IF('组合输入'!$C11="","",'组合输入'!$H11*$B32+SQRT(1-'组合输入'!$H11^2)*AV32)</f>
        <v/>
      </c>
      <c r="AX32" s="7">
        <f>IF(AW32="","",NORM.S.DIST(AW32,TRUE))</f>
        <v/>
      </c>
      <c r="AY32" s="13">
        <f>IF(AX32="","",IF(AX32&lt;='组合输入'!$K11,"AAA",IF(AX32&lt;='组合输入'!$L11,"AA",IF(AX32&lt;='组合输入'!$M11,"A",IF(AX32&lt;='组合输入'!$N11,"BBB",IF(AX32&lt;='组合输入'!$O11,"BB",IF(AX32&lt;='组合输入'!$P11,"B",IF(AX32&lt;='组合输入'!$Q11,"CCC","D")))))))</f>
        <v/>
      </c>
      <c r="AZ32" s="12">
        <f>IF(AY32="","",INDEX('状态价值'!$D11:$K11,MATCH(AY32,'状态价值'!$D$1:$K$1,0)))</f>
        <v/>
      </c>
      <c r="BA32" s="12">
        <f>G32+L32+Q32+V32+AA32+AF32+AK32+AP32+AU32+AZ32</f>
        <v/>
      </c>
      <c r="BB32" s="12">
        <f>SUM('组合输入'!$J$2:$J$11)-BA32</f>
        <v/>
      </c>
    </row>
    <row r="33">
      <c r="A33" s="11" t="n">
        <v>32</v>
      </c>
      <c r="B33" s="14">
        <f>NORM.S.INV(RAND())</f>
        <v/>
      </c>
      <c r="C33" s="14">
        <f>NORM.S.INV(RAND())</f>
        <v/>
      </c>
      <c r="D33" s="15">
        <f>IF('组合输入'!$C2="","",'组合输入'!$H2*$B33+SQRT(1-'组合输入'!$H2^2)*C33)</f>
        <v/>
      </c>
      <c r="E33" s="7">
        <f>IF(D33="","",NORM.S.DIST(D33,TRUE))</f>
        <v/>
      </c>
      <c r="F33" s="13">
        <f>IF(E33="","",IF(E33&lt;='组合输入'!$K2,"AAA",IF(E33&lt;='组合输入'!$L2,"AA",IF(E33&lt;='组合输入'!$M2,"A",IF(E33&lt;='组合输入'!$N2,"BBB",IF(E33&lt;='组合输入'!$O2,"BB",IF(E33&lt;='组合输入'!$P2,"B",IF(E33&lt;='组合输入'!$Q2,"CCC","D")))))))</f>
        <v/>
      </c>
      <c r="G33" s="12">
        <f>IF(F33="","",INDEX('状态价值'!$D2:$K2,MATCH(F33,'状态价值'!$D$1:$K$1,0)))</f>
        <v/>
      </c>
      <c r="H33" s="15">
        <f>NORM.S.INV(RAND())</f>
        <v/>
      </c>
      <c r="I33" s="15">
        <f>IF('组合输入'!$C3="","",'组合输入'!$H3*$B33+SQRT(1-'组合输入'!$H3^2)*H33)</f>
        <v/>
      </c>
      <c r="J33" s="7">
        <f>IF(I33="","",NORM.S.DIST(I33,TRUE))</f>
        <v/>
      </c>
      <c r="K33" s="13">
        <f>IF(J33="","",IF(J33&lt;='组合输入'!$K3,"AAA",IF(J33&lt;='组合输入'!$L3,"AA",IF(J33&lt;='组合输入'!$M3,"A",IF(J33&lt;='组合输入'!$N3,"BBB",IF(J33&lt;='组合输入'!$O3,"BB",IF(J33&lt;='组合输入'!$P3,"B",IF(J33&lt;='组合输入'!$Q3,"CCC","D")))))))</f>
        <v/>
      </c>
      <c r="L33" s="12">
        <f>IF(K33="","",INDEX('状态价值'!$D3:$K3,MATCH(K33,'状态价值'!$D$1:$K$1,0)))</f>
        <v/>
      </c>
      <c r="M33" s="15">
        <f>NORM.S.INV(RAND())</f>
        <v/>
      </c>
      <c r="N33" s="15">
        <f>IF('组合输入'!$C4="","",'组合输入'!$H4*$B33+SQRT(1-'组合输入'!$H4^2)*M33)</f>
        <v/>
      </c>
      <c r="O33" s="7">
        <f>IF(N33="","",NORM.S.DIST(N33,TRUE))</f>
        <v/>
      </c>
      <c r="P33" s="13">
        <f>IF(O33="","",IF(O33&lt;='组合输入'!$K4,"AAA",IF(O33&lt;='组合输入'!$L4,"AA",IF(O33&lt;='组合输入'!$M4,"A",IF(O33&lt;='组合输入'!$N4,"BBB",IF(O33&lt;='组合输入'!$O4,"BB",IF(O33&lt;='组合输入'!$P4,"B",IF(O33&lt;='组合输入'!$Q4,"CCC","D")))))))</f>
        <v/>
      </c>
      <c r="Q33" s="12">
        <f>IF(P33="","",INDEX('状态价值'!$D4:$K4,MATCH(P33,'状态价值'!$D$1:$K$1,0)))</f>
        <v/>
      </c>
      <c r="R33" s="15">
        <f>NORM.S.INV(RAND())</f>
        <v/>
      </c>
      <c r="S33" s="15">
        <f>IF('组合输入'!$C5="","",'组合输入'!$H5*$B33+SQRT(1-'组合输入'!$H5^2)*R33)</f>
        <v/>
      </c>
      <c r="T33" s="7">
        <f>IF(S33="","",NORM.S.DIST(S33,TRUE))</f>
        <v/>
      </c>
      <c r="U33" s="13">
        <f>IF(T33="","",IF(T33&lt;='组合输入'!$K5,"AAA",IF(T33&lt;='组合输入'!$L5,"AA",IF(T33&lt;='组合输入'!$M5,"A",IF(T33&lt;='组合输入'!$N5,"BBB",IF(T33&lt;='组合输入'!$O5,"BB",IF(T33&lt;='组合输入'!$P5,"B",IF(T33&lt;='组合输入'!$Q5,"CCC","D")))))))</f>
        <v/>
      </c>
      <c r="V33" s="12">
        <f>IF(U33="","",INDEX('状态价值'!$D5:$K5,MATCH(U33,'状态价值'!$D$1:$K$1,0)))</f>
        <v/>
      </c>
      <c r="W33" s="15">
        <f>NORM.S.INV(RAND())</f>
        <v/>
      </c>
      <c r="X33" s="15">
        <f>IF('组合输入'!$C6="","",'组合输入'!$H6*$B33+SQRT(1-'组合输入'!$H6^2)*W33)</f>
        <v/>
      </c>
      <c r="Y33" s="7">
        <f>IF(X33="","",NORM.S.DIST(X33,TRUE))</f>
        <v/>
      </c>
      <c r="Z33" s="13">
        <f>IF(Y33="","",IF(Y33&lt;='组合输入'!$K6,"AAA",IF(Y33&lt;='组合输入'!$L6,"AA",IF(Y33&lt;='组合输入'!$M6,"A",IF(Y33&lt;='组合输入'!$N6,"BBB",IF(Y33&lt;='组合输入'!$O6,"BB",IF(Y33&lt;='组合输入'!$P6,"B",IF(Y33&lt;='组合输入'!$Q6,"CCC","D")))))))</f>
        <v/>
      </c>
      <c r="AA33" s="12">
        <f>IF(Z33="","",INDEX('状态价值'!$D6:$K6,MATCH(Z33,'状态价值'!$D$1:$K$1,0)))</f>
        <v/>
      </c>
      <c r="AB33" s="15">
        <f>NORM.S.INV(RAND())</f>
        <v/>
      </c>
      <c r="AC33" s="15">
        <f>IF('组合输入'!$C7="","",'组合输入'!$H7*$B33+SQRT(1-'组合输入'!$H7^2)*AB33)</f>
        <v/>
      </c>
      <c r="AD33" s="7">
        <f>IF(AC33="","",NORM.S.DIST(AC33,TRUE))</f>
        <v/>
      </c>
      <c r="AE33" s="13">
        <f>IF(AD33="","",IF(AD33&lt;='组合输入'!$K7,"AAA",IF(AD33&lt;='组合输入'!$L7,"AA",IF(AD33&lt;='组合输入'!$M7,"A",IF(AD33&lt;='组合输入'!$N7,"BBB",IF(AD33&lt;='组合输入'!$O7,"BB",IF(AD33&lt;='组合输入'!$P7,"B",IF(AD33&lt;='组合输入'!$Q7,"CCC","D")))))))</f>
        <v/>
      </c>
      <c r="AF33" s="12">
        <f>IF(AE33="","",INDEX('状态价值'!$D7:$K7,MATCH(AE33,'状态价值'!$D$1:$K$1,0)))</f>
        <v/>
      </c>
      <c r="AG33" s="15">
        <f>NORM.S.INV(RAND())</f>
        <v/>
      </c>
      <c r="AH33" s="15">
        <f>IF('组合输入'!$C8="","",'组合输入'!$H8*$B33+SQRT(1-'组合输入'!$H8^2)*AG33)</f>
        <v/>
      </c>
      <c r="AI33" s="7">
        <f>IF(AH33="","",NORM.S.DIST(AH33,TRUE))</f>
        <v/>
      </c>
      <c r="AJ33" s="13">
        <f>IF(AI33="","",IF(AI33&lt;='组合输入'!$K8,"AAA",IF(AI33&lt;='组合输入'!$L8,"AA",IF(AI33&lt;='组合输入'!$M8,"A",IF(AI33&lt;='组合输入'!$N8,"BBB",IF(AI33&lt;='组合输入'!$O8,"BB",IF(AI33&lt;='组合输入'!$P8,"B",IF(AI33&lt;='组合输入'!$Q8,"CCC","D")))))))</f>
        <v/>
      </c>
      <c r="AK33" s="12">
        <f>IF(AJ33="","",INDEX('状态价值'!$D8:$K8,MATCH(AJ33,'状态价值'!$D$1:$K$1,0)))</f>
        <v/>
      </c>
      <c r="AL33" s="15">
        <f>NORM.S.INV(RAND())</f>
        <v/>
      </c>
      <c r="AM33" s="15">
        <f>IF('组合输入'!$C9="","",'组合输入'!$H9*$B33+SQRT(1-'组合输入'!$H9^2)*AL33)</f>
        <v/>
      </c>
      <c r="AN33" s="7">
        <f>IF(AM33="","",NORM.S.DIST(AM33,TRUE))</f>
        <v/>
      </c>
      <c r="AO33" s="13">
        <f>IF(AN33="","",IF(AN33&lt;='组合输入'!$K9,"AAA",IF(AN33&lt;='组合输入'!$L9,"AA",IF(AN33&lt;='组合输入'!$M9,"A",IF(AN33&lt;='组合输入'!$N9,"BBB",IF(AN33&lt;='组合输入'!$O9,"BB",IF(AN33&lt;='组合输入'!$P9,"B",IF(AN33&lt;='组合输入'!$Q9,"CCC","D")))))))</f>
        <v/>
      </c>
      <c r="AP33" s="12">
        <f>IF(AO33="","",INDEX('状态价值'!$D9:$K9,MATCH(AO33,'状态价值'!$D$1:$K$1,0)))</f>
        <v/>
      </c>
      <c r="AQ33" s="15">
        <f>NORM.S.INV(RAND())</f>
        <v/>
      </c>
      <c r="AR33" s="15">
        <f>IF('组合输入'!$C10="","",'组合输入'!$H10*$B33+SQRT(1-'组合输入'!$H10^2)*AQ33)</f>
        <v/>
      </c>
      <c r="AS33" s="7">
        <f>IF(AR33="","",NORM.S.DIST(AR33,TRUE))</f>
        <v/>
      </c>
      <c r="AT33" s="13">
        <f>IF(AS33="","",IF(AS33&lt;='组合输入'!$K10,"AAA",IF(AS33&lt;='组合输入'!$L10,"AA",IF(AS33&lt;='组合输入'!$M10,"A",IF(AS33&lt;='组合输入'!$N10,"BBB",IF(AS33&lt;='组合输入'!$O10,"BB",IF(AS33&lt;='组合输入'!$P10,"B",IF(AS33&lt;='组合输入'!$Q10,"CCC","D")))))))</f>
        <v/>
      </c>
      <c r="AU33" s="12">
        <f>IF(AT33="","",INDEX('状态价值'!$D10:$K10,MATCH(AT33,'状态价值'!$D$1:$K$1,0)))</f>
        <v/>
      </c>
      <c r="AV33" s="15">
        <f>NORM.S.INV(RAND())</f>
        <v/>
      </c>
      <c r="AW33" s="15">
        <f>IF('组合输入'!$C11="","",'组合输入'!$H11*$B33+SQRT(1-'组合输入'!$H11^2)*AV33)</f>
        <v/>
      </c>
      <c r="AX33" s="7">
        <f>IF(AW33="","",NORM.S.DIST(AW33,TRUE))</f>
        <v/>
      </c>
      <c r="AY33" s="13">
        <f>IF(AX33="","",IF(AX33&lt;='组合输入'!$K11,"AAA",IF(AX33&lt;='组合输入'!$L11,"AA",IF(AX33&lt;='组合输入'!$M11,"A",IF(AX33&lt;='组合输入'!$N11,"BBB",IF(AX33&lt;='组合输入'!$O11,"BB",IF(AX33&lt;='组合输入'!$P11,"B",IF(AX33&lt;='组合输入'!$Q11,"CCC","D")))))))</f>
        <v/>
      </c>
      <c r="AZ33" s="12">
        <f>IF(AY33="","",INDEX('状态价值'!$D11:$K11,MATCH(AY33,'状态价值'!$D$1:$K$1,0)))</f>
        <v/>
      </c>
      <c r="BA33" s="12">
        <f>G33+L33+Q33+V33+AA33+AF33+AK33+AP33+AU33+AZ33</f>
        <v/>
      </c>
      <c r="BB33" s="12">
        <f>SUM('组合输入'!$J$2:$J$11)-BA33</f>
        <v/>
      </c>
    </row>
    <row r="34">
      <c r="A34" s="11" t="n">
        <v>33</v>
      </c>
      <c r="B34" s="14">
        <f>NORM.S.INV(RAND())</f>
        <v/>
      </c>
      <c r="C34" s="14">
        <f>NORM.S.INV(RAND())</f>
        <v/>
      </c>
      <c r="D34" s="15">
        <f>IF('组合输入'!$C2="","",'组合输入'!$H2*$B34+SQRT(1-'组合输入'!$H2^2)*C34)</f>
        <v/>
      </c>
      <c r="E34" s="7">
        <f>IF(D34="","",NORM.S.DIST(D34,TRUE))</f>
        <v/>
      </c>
      <c r="F34" s="13">
        <f>IF(E34="","",IF(E34&lt;='组合输入'!$K2,"AAA",IF(E34&lt;='组合输入'!$L2,"AA",IF(E34&lt;='组合输入'!$M2,"A",IF(E34&lt;='组合输入'!$N2,"BBB",IF(E34&lt;='组合输入'!$O2,"BB",IF(E34&lt;='组合输入'!$P2,"B",IF(E34&lt;='组合输入'!$Q2,"CCC","D")))))))</f>
        <v/>
      </c>
      <c r="G34" s="12">
        <f>IF(F34="","",INDEX('状态价值'!$D2:$K2,MATCH(F34,'状态价值'!$D$1:$K$1,0)))</f>
        <v/>
      </c>
      <c r="H34" s="15">
        <f>NORM.S.INV(RAND())</f>
        <v/>
      </c>
      <c r="I34" s="15">
        <f>IF('组合输入'!$C3="","",'组合输入'!$H3*$B34+SQRT(1-'组合输入'!$H3^2)*H34)</f>
        <v/>
      </c>
      <c r="J34" s="7">
        <f>IF(I34="","",NORM.S.DIST(I34,TRUE))</f>
        <v/>
      </c>
      <c r="K34" s="13">
        <f>IF(J34="","",IF(J34&lt;='组合输入'!$K3,"AAA",IF(J34&lt;='组合输入'!$L3,"AA",IF(J34&lt;='组合输入'!$M3,"A",IF(J34&lt;='组合输入'!$N3,"BBB",IF(J34&lt;='组合输入'!$O3,"BB",IF(J34&lt;='组合输入'!$P3,"B",IF(J34&lt;='组合输入'!$Q3,"CCC","D")))))))</f>
        <v/>
      </c>
      <c r="L34" s="12">
        <f>IF(K34="","",INDEX('状态价值'!$D3:$K3,MATCH(K34,'状态价值'!$D$1:$K$1,0)))</f>
        <v/>
      </c>
      <c r="M34" s="15">
        <f>NORM.S.INV(RAND())</f>
        <v/>
      </c>
      <c r="N34" s="15">
        <f>IF('组合输入'!$C4="","",'组合输入'!$H4*$B34+SQRT(1-'组合输入'!$H4^2)*M34)</f>
        <v/>
      </c>
      <c r="O34" s="7">
        <f>IF(N34="","",NORM.S.DIST(N34,TRUE))</f>
        <v/>
      </c>
      <c r="P34" s="13">
        <f>IF(O34="","",IF(O34&lt;='组合输入'!$K4,"AAA",IF(O34&lt;='组合输入'!$L4,"AA",IF(O34&lt;='组合输入'!$M4,"A",IF(O34&lt;='组合输入'!$N4,"BBB",IF(O34&lt;='组合输入'!$O4,"BB",IF(O34&lt;='组合输入'!$P4,"B",IF(O34&lt;='组合输入'!$Q4,"CCC","D")))))))</f>
        <v/>
      </c>
      <c r="Q34" s="12">
        <f>IF(P34="","",INDEX('状态价值'!$D4:$K4,MATCH(P34,'状态价值'!$D$1:$K$1,0)))</f>
        <v/>
      </c>
      <c r="R34" s="15">
        <f>NORM.S.INV(RAND())</f>
        <v/>
      </c>
      <c r="S34" s="15">
        <f>IF('组合输入'!$C5="","",'组合输入'!$H5*$B34+SQRT(1-'组合输入'!$H5^2)*R34)</f>
        <v/>
      </c>
      <c r="T34" s="7">
        <f>IF(S34="","",NORM.S.DIST(S34,TRUE))</f>
        <v/>
      </c>
      <c r="U34" s="13">
        <f>IF(T34="","",IF(T34&lt;='组合输入'!$K5,"AAA",IF(T34&lt;='组合输入'!$L5,"AA",IF(T34&lt;='组合输入'!$M5,"A",IF(T34&lt;='组合输入'!$N5,"BBB",IF(T34&lt;='组合输入'!$O5,"BB",IF(T34&lt;='组合输入'!$P5,"B",IF(T34&lt;='组合输入'!$Q5,"CCC","D")))))))</f>
        <v/>
      </c>
      <c r="V34" s="12">
        <f>IF(U34="","",INDEX('状态价值'!$D5:$K5,MATCH(U34,'状态价值'!$D$1:$K$1,0)))</f>
        <v/>
      </c>
      <c r="W34" s="15">
        <f>NORM.S.INV(RAND())</f>
        <v/>
      </c>
      <c r="X34" s="15">
        <f>IF('组合输入'!$C6="","",'组合输入'!$H6*$B34+SQRT(1-'组合输入'!$H6^2)*W34)</f>
        <v/>
      </c>
      <c r="Y34" s="7">
        <f>IF(X34="","",NORM.S.DIST(X34,TRUE))</f>
        <v/>
      </c>
      <c r="Z34" s="13">
        <f>IF(Y34="","",IF(Y34&lt;='组合输入'!$K6,"AAA",IF(Y34&lt;='组合输入'!$L6,"AA",IF(Y34&lt;='组合输入'!$M6,"A",IF(Y34&lt;='组合输入'!$N6,"BBB",IF(Y34&lt;='组合输入'!$O6,"BB",IF(Y34&lt;='组合输入'!$P6,"B",IF(Y34&lt;='组合输入'!$Q6,"CCC","D")))))))</f>
        <v/>
      </c>
      <c r="AA34" s="12">
        <f>IF(Z34="","",INDEX('状态价值'!$D6:$K6,MATCH(Z34,'状态价值'!$D$1:$K$1,0)))</f>
        <v/>
      </c>
      <c r="AB34" s="15">
        <f>NORM.S.INV(RAND())</f>
        <v/>
      </c>
      <c r="AC34" s="15">
        <f>IF('组合输入'!$C7="","",'组合输入'!$H7*$B34+SQRT(1-'组合输入'!$H7^2)*AB34)</f>
        <v/>
      </c>
      <c r="AD34" s="7">
        <f>IF(AC34="","",NORM.S.DIST(AC34,TRUE))</f>
        <v/>
      </c>
      <c r="AE34" s="13">
        <f>IF(AD34="","",IF(AD34&lt;='组合输入'!$K7,"AAA",IF(AD34&lt;='组合输入'!$L7,"AA",IF(AD34&lt;='组合输入'!$M7,"A",IF(AD34&lt;='组合输入'!$N7,"BBB",IF(AD34&lt;='组合输入'!$O7,"BB",IF(AD34&lt;='组合输入'!$P7,"B",IF(AD34&lt;='组合输入'!$Q7,"CCC","D")))))))</f>
        <v/>
      </c>
      <c r="AF34" s="12">
        <f>IF(AE34="","",INDEX('状态价值'!$D7:$K7,MATCH(AE34,'状态价值'!$D$1:$K$1,0)))</f>
        <v/>
      </c>
      <c r="AG34" s="15">
        <f>NORM.S.INV(RAND())</f>
        <v/>
      </c>
      <c r="AH34" s="15">
        <f>IF('组合输入'!$C8="","",'组合输入'!$H8*$B34+SQRT(1-'组合输入'!$H8^2)*AG34)</f>
        <v/>
      </c>
      <c r="AI34" s="7">
        <f>IF(AH34="","",NORM.S.DIST(AH34,TRUE))</f>
        <v/>
      </c>
      <c r="AJ34" s="13">
        <f>IF(AI34="","",IF(AI34&lt;='组合输入'!$K8,"AAA",IF(AI34&lt;='组合输入'!$L8,"AA",IF(AI34&lt;='组合输入'!$M8,"A",IF(AI34&lt;='组合输入'!$N8,"BBB",IF(AI34&lt;='组合输入'!$O8,"BB",IF(AI34&lt;='组合输入'!$P8,"B",IF(AI34&lt;='组合输入'!$Q8,"CCC","D")))))))</f>
        <v/>
      </c>
      <c r="AK34" s="12">
        <f>IF(AJ34="","",INDEX('状态价值'!$D8:$K8,MATCH(AJ34,'状态价值'!$D$1:$K$1,0)))</f>
        <v/>
      </c>
      <c r="AL34" s="15">
        <f>NORM.S.INV(RAND())</f>
        <v/>
      </c>
      <c r="AM34" s="15">
        <f>IF('组合输入'!$C9="","",'组合输入'!$H9*$B34+SQRT(1-'组合输入'!$H9^2)*AL34)</f>
        <v/>
      </c>
      <c r="AN34" s="7">
        <f>IF(AM34="","",NORM.S.DIST(AM34,TRUE))</f>
        <v/>
      </c>
      <c r="AO34" s="13">
        <f>IF(AN34="","",IF(AN34&lt;='组合输入'!$K9,"AAA",IF(AN34&lt;='组合输入'!$L9,"AA",IF(AN34&lt;='组合输入'!$M9,"A",IF(AN34&lt;='组合输入'!$N9,"BBB",IF(AN34&lt;='组合输入'!$O9,"BB",IF(AN34&lt;='组合输入'!$P9,"B",IF(AN34&lt;='组合输入'!$Q9,"CCC","D")))))))</f>
        <v/>
      </c>
      <c r="AP34" s="12">
        <f>IF(AO34="","",INDEX('状态价值'!$D9:$K9,MATCH(AO34,'状态价值'!$D$1:$K$1,0)))</f>
        <v/>
      </c>
      <c r="AQ34" s="15">
        <f>NORM.S.INV(RAND())</f>
        <v/>
      </c>
      <c r="AR34" s="15">
        <f>IF('组合输入'!$C10="","",'组合输入'!$H10*$B34+SQRT(1-'组合输入'!$H10^2)*AQ34)</f>
        <v/>
      </c>
      <c r="AS34" s="7">
        <f>IF(AR34="","",NORM.S.DIST(AR34,TRUE))</f>
        <v/>
      </c>
      <c r="AT34" s="13">
        <f>IF(AS34="","",IF(AS34&lt;='组合输入'!$K10,"AAA",IF(AS34&lt;='组合输入'!$L10,"AA",IF(AS34&lt;='组合输入'!$M10,"A",IF(AS34&lt;='组合输入'!$N10,"BBB",IF(AS34&lt;='组合输入'!$O10,"BB",IF(AS34&lt;='组合输入'!$P10,"B",IF(AS34&lt;='组合输入'!$Q10,"CCC","D")))))))</f>
        <v/>
      </c>
      <c r="AU34" s="12">
        <f>IF(AT34="","",INDEX('状态价值'!$D10:$K10,MATCH(AT34,'状态价值'!$D$1:$K$1,0)))</f>
        <v/>
      </c>
      <c r="AV34" s="15">
        <f>NORM.S.INV(RAND())</f>
        <v/>
      </c>
      <c r="AW34" s="15">
        <f>IF('组合输入'!$C11="","",'组合输入'!$H11*$B34+SQRT(1-'组合输入'!$H11^2)*AV34)</f>
        <v/>
      </c>
      <c r="AX34" s="7">
        <f>IF(AW34="","",NORM.S.DIST(AW34,TRUE))</f>
        <v/>
      </c>
      <c r="AY34" s="13">
        <f>IF(AX34="","",IF(AX34&lt;='组合输入'!$K11,"AAA",IF(AX34&lt;='组合输入'!$L11,"AA",IF(AX34&lt;='组合输入'!$M11,"A",IF(AX34&lt;='组合输入'!$N11,"BBB",IF(AX34&lt;='组合输入'!$O11,"BB",IF(AX34&lt;='组合输入'!$P11,"B",IF(AX34&lt;='组合输入'!$Q11,"CCC","D")))))))</f>
        <v/>
      </c>
      <c r="AZ34" s="12">
        <f>IF(AY34="","",INDEX('状态价值'!$D11:$K11,MATCH(AY34,'状态价值'!$D$1:$K$1,0)))</f>
        <v/>
      </c>
      <c r="BA34" s="12">
        <f>G34+L34+Q34+V34+AA34+AF34+AK34+AP34+AU34+AZ34</f>
        <v/>
      </c>
      <c r="BB34" s="12">
        <f>SUM('组合输入'!$J$2:$J$11)-BA34</f>
        <v/>
      </c>
    </row>
    <row r="35">
      <c r="A35" s="11" t="n">
        <v>34</v>
      </c>
      <c r="B35" s="14">
        <f>NORM.S.INV(RAND())</f>
        <v/>
      </c>
      <c r="C35" s="14">
        <f>NORM.S.INV(RAND())</f>
        <v/>
      </c>
      <c r="D35" s="15">
        <f>IF('组合输入'!$C2="","",'组合输入'!$H2*$B35+SQRT(1-'组合输入'!$H2^2)*C35)</f>
        <v/>
      </c>
      <c r="E35" s="7">
        <f>IF(D35="","",NORM.S.DIST(D35,TRUE))</f>
        <v/>
      </c>
      <c r="F35" s="13">
        <f>IF(E35="","",IF(E35&lt;='组合输入'!$K2,"AAA",IF(E35&lt;='组合输入'!$L2,"AA",IF(E35&lt;='组合输入'!$M2,"A",IF(E35&lt;='组合输入'!$N2,"BBB",IF(E35&lt;='组合输入'!$O2,"BB",IF(E35&lt;='组合输入'!$P2,"B",IF(E35&lt;='组合输入'!$Q2,"CCC","D")))))))</f>
        <v/>
      </c>
      <c r="G35" s="12">
        <f>IF(F35="","",INDEX('状态价值'!$D2:$K2,MATCH(F35,'状态价值'!$D$1:$K$1,0)))</f>
        <v/>
      </c>
      <c r="H35" s="15">
        <f>NORM.S.INV(RAND())</f>
        <v/>
      </c>
      <c r="I35" s="15">
        <f>IF('组合输入'!$C3="","",'组合输入'!$H3*$B35+SQRT(1-'组合输入'!$H3^2)*H35)</f>
        <v/>
      </c>
      <c r="J35" s="7">
        <f>IF(I35="","",NORM.S.DIST(I35,TRUE))</f>
        <v/>
      </c>
      <c r="K35" s="13">
        <f>IF(J35="","",IF(J35&lt;='组合输入'!$K3,"AAA",IF(J35&lt;='组合输入'!$L3,"AA",IF(J35&lt;='组合输入'!$M3,"A",IF(J35&lt;='组合输入'!$N3,"BBB",IF(J35&lt;='组合输入'!$O3,"BB",IF(J35&lt;='组合输入'!$P3,"B",IF(J35&lt;='组合输入'!$Q3,"CCC","D")))))))</f>
        <v/>
      </c>
      <c r="L35" s="12">
        <f>IF(K35="","",INDEX('状态价值'!$D3:$K3,MATCH(K35,'状态价值'!$D$1:$K$1,0)))</f>
        <v/>
      </c>
      <c r="M35" s="15">
        <f>NORM.S.INV(RAND())</f>
        <v/>
      </c>
      <c r="N35" s="15">
        <f>IF('组合输入'!$C4="","",'组合输入'!$H4*$B35+SQRT(1-'组合输入'!$H4^2)*M35)</f>
        <v/>
      </c>
      <c r="O35" s="7">
        <f>IF(N35="","",NORM.S.DIST(N35,TRUE))</f>
        <v/>
      </c>
      <c r="P35" s="13">
        <f>IF(O35="","",IF(O35&lt;='组合输入'!$K4,"AAA",IF(O35&lt;='组合输入'!$L4,"AA",IF(O35&lt;='组合输入'!$M4,"A",IF(O35&lt;='组合输入'!$N4,"BBB",IF(O35&lt;='组合输入'!$O4,"BB",IF(O35&lt;='组合输入'!$P4,"B",IF(O35&lt;='组合输入'!$Q4,"CCC","D")))))))</f>
        <v/>
      </c>
      <c r="Q35" s="12">
        <f>IF(P35="","",INDEX('状态价值'!$D4:$K4,MATCH(P35,'状态价值'!$D$1:$K$1,0)))</f>
        <v/>
      </c>
      <c r="R35" s="15">
        <f>NORM.S.INV(RAND())</f>
        <v/>
      </c>
      <c r="S35" s="15">
        <f>IF('组合输入'!$C5="","",'组合输入'!$H5*$B35+SQRT(1-'组合输入'!$H5^2)*R35)</f>
        <v/>
      </c>
      <c r="T35" s="7">
        <f>IF(S35="","",NORM.S.DIST(S35,TRUE))</f>
        <v/>
      </c>
      <c r="U35" s="13">
        <f>IF(T35="","",IF(T35&lt;='组合输入'!$K5,"AAA",IF(T35&lt;='组合输入'!$L5,"AA",IF(T35&lt;='组合输入'!$M5,"A",IF(T35&lt;='组合输入'!$N5,"BBB",IF(T35&lt;='组合输入'!$O5,"BB",IF(T35&lt;='组合输入'!$P5,"B",IF(T35&lt;='组合输入'!$Q5,"CCC","D")))))))</f>
        <v/>
      </c>
      <c r="V35" s="12">
        <f>IF(U35="","",INDEX('状态价值'!$D5:$K5,MATCH(U35,'状态价值'!$D$1:$K$1,0)))</f>
        <v/>
      </c>
      <c r="W35" s="15">
        <f>NORM.S.INV(RAND())</f>
        <v/>
      </c>
      <c r="X35" s="15">
        <f>IF('组合输入'!$C6="","",'组合输入'!$H6*$B35+SQRT(1-'组合输入'!$H6^2)*W35)</f>
        <v/>
      </c>
      <c r="Y35" s="7">
        <f>IF(X35="","",NORM.S.DIST(X35,TRUE))</f>
        <v/>
      </c>
      <c r="Z35" s="13">
        <f>IF(Y35="","",IF(Y35&lt;='组合输入'!$K6,"AAA",IF(Y35&lt;='组合输入'!$L6,"AA",IF(Y35&lt;='组合输入'!$M6,"A",IF(Y35&lt;='组合输入'!$N6,"BBB",IF(Y35&lt;='组合输入'!$O6,"BB",IF(Y35&lt;='组合输入'!$P6,"B",IF(Y35&lt;='组合输入'!$Q6,"CCC","D")))))))</f>
        <v/>
      </c>
      <c r="AA35" s="12">
        <f>IF(Z35="","",INDEX('状态价值'!$D6:$K6,MATCH(Z35,'状态价值'!$D$1:$K$1,0)))</f>
        <v/>
      </c>
      <c r="AB35" s="15">
        <f>NORM.S.INV(RAND())</f>
        <v/>
      </c>
      <c r="AC35" s="15">
        <f>IF('组合输入'!$C7="","",'组合输入'!$H7*$B35+SQRT(1-'组合输入'!$H7^2)*AB35)</f>
        <v/>
      </c>
      <c r="AD35" s="7">
        <f>IF(AC35="","",NORM.S.DIST(AC35,TRUE))</f>
        <v/>
      </c>
      <c r="AE35" s="13">
        <f>IF(AD35="","",IF(AD35&lt;='组合输入'!$K7,"AAA",IF(AD35&lt;='组合输入'!$L7,"AA",IF(AD35&lt;='组合输入'!$M7,"A",IF(AD35&lt;='组合输入'!$N7,"BBB",IF(AD35&lt;='组合输入'!$O7,"BB",IF(AD35&lt;='组合输入'!$P7,"B",IF(AD35&lt;='组合输入'!$Q7,"CCC","D")))))))</f>
        <v/>
      </c>
      <c r="AF35" s="12">
        <f>IF(AE35="","",INDEX('状态价值'!$D7:$K7,MATCH(AE35,'状态价值'!$D$1:$K$1,0)))</f>
        <v/>
      </c>
      <c r="AG35" s="15">
        <f>NORM.S.INV(RAND())</f>
        <v/>
      </c>
      <c r="AH35" s="15">
        <f>IF('组合输入'!$C8="","",'组合输入'!$H8*$B35+SQRT(1-'组合输入'!$H8^2)*AG35)</f>
        <v/>
      </c>
      <c r="AI35" s="7">
        <f>IF(AH35="","",NORM.S.DIST(AH35,TRUE))</f>
        <v/>
      </c>
      <c r="AJ35" s="13">
        <f>IF(AI35="","",IF(AI35&lt;='组合输入'!$K8,"AAA",IF(AI35&lt;='组合输入'!$L8,"AA",IF(AI35&lt;='组合输入'!$M8,"A",IF(AI35&lt;='组合输入'!$N8,"BBB",IF(AI35&lt;='组合输入'!$O8,"BB",IF(AI35&lt;='组合输入'!$P8,"B",IF(AI35&lt;='组合输入'!$Q8,"CCC","D")))))))</f>
        <v/>
      </c>
      <c r="AK35" s="12">
        <f>IF(AJ35="","",INDEX('状态价值'!$D8:$K8,MATCH(AJ35,'状态价值'!$D$1:$K$1,0)))</f>
        <v/>
      </c>
      <c r="AL35" s="15">
        <f>NORM.S.INV(RAND())</f>
        <v/>
      </c>
      <c r="AM35" s="15">
        <f>IF('组合输入'!$C9="","",'组合输入'!$H9*$B35+SQRT(1-'组合输入'!$H9^2)*AL35)</f>
        <v/>
      </c>
      <c r="AN35" s="7">
        <f>IF(AM35="","",NORM.S.DIST(AM35,TRUE))</f>
        <v/>
      </c>
      <c r="AO35" s="13">
        <f>IF(AN35="","",IF(AN35&lt;='组合输入'!$K9,"AAA",IF(AN35&lt;='组合输入'!$L9,"AA",IF(AN35&lt;='组合输入'!$M9,"A",IF(AN35&lt;='组合输入'!$N9,"BBB",IF(AN35&lt;='组合输入'!$O9,"BB",IF(AN35&lt;='组合输入'!$P9,"B",IF(AN35&lt;='组合输入'!$Q9,"CCC","D")))))))</f>
        <v/>
      </c>
      <c r="AP35" s="12">
        <f>IF(AO35="","",INDEX('状态价值'!$D9:$K9,MATCH(AO35,'状态价值'!$D$1:$K$1,0)))</f>
        <v/>
      </c>
      <c r="AQ35" s="15">
        <f>NORM.S.INV(RAND())</f>
        <v/>
      </c>
      <c r="AR35" s="15">
        <f>IF('组合输入'!$C10="","",'组合输入'!$H10*$B35+SQRT(1-'组合输入'!$H10^2)*AQ35)</f>
        <v/>
      </c>
      <c r="AS35" s="7">
        <f>IF(AR35="","",NORM.S.DIST(AR35,TRUE))</f>
        <v/>
      </c>
      <c r="AT35" s="13">
        <f>IF(AS35="","",IF(AS35&lt;='组合输入'!$K10,"AAA",IF(AS35&lt;='组合输入'!$L10,"AA",IF(AS35&lt;='组合输入'!$M10,"A",IF(AS35&lt;='组合输入'!$N10,"BBB",IF(AS35&lt;='组合输入'!$O10,"BB",IF(AS35&lt;='组合输入'!$P10,"B",IF(AS35&lt;='组合输入'!$Q10,"CCC","D")))))))</f>
        <v/>
      </c>
      <c r="AU35" s="12">
        <f>IF(AT35="","",INDEX('状态价值'!$D10:$K10,MATCH(AT35,'状态价值'!$D$1:$K$1,0)))</f>
        <v/>
      </c>
      <c r="AV35" s="15">
        <f>NORM.S.INV(RAND())</f>
        <v/>
      </c>
      <c r="AW35" s="15">
        <f>IF('组合输入'!$C11="","",'组合输入'!$H11*$B35+SQRT(1-'组合输入'!$H11^2)*AV35)</f>
        <v/>
      </c>
      <c r="AX35" s="7">
        <f>IF(AW35="","",NORM.S.DIST(AW35,TRUE))</f>
        <v/>
      </c>
      <c r="AY35" s="13">
        <f>IF(AX35="","",IF(AX35&lt;='组合输入'!$K11,"AAA",IF(AX35&lt;='组合输入'!$L11,"AA",IF(AX35&lt;='组合输入'!$M11,"A",IF(AX35&lt;='组合输入'!$N11,"BBB",IF(AX35&lt;='组合输入'!$O11,"BB",IF(AX35&lt;='组合输入'!$P11,"B",IF(AX35&lt;='组合输入'!$Q11,"CCC","D")))))))</f>
        <v/>
      </c>
      <c r="AZ35" s="12">
        <f>IF(AY35="","",INDEX('状态价值'!$D11:$K11,MATCH(AY35,'状态价值'!$D$1:$K$1,0)))</f>
        <v/>
      </c>
      <c r="BA35" s="12">
        <f>G35+L35+Q35+V35+AA35+AF35+AK35+AP35+AU35+AZ35</f>
        <v/>
      </c>
      <c r="BB35" s="12">
        <f>SUM('组合输入'!$J$2:$J$11)-BA35</f>
        <v/>
      </c>
    </row>
    <row r="36">
      <c r="A36" s="11" t="n">
        <v>35</v>
      </c>
      <c r="B36" s="14">
        <f>NORM.S.INV(RAND())</f>
        <v/>
      </c>
      <c r="C36" s="14">
        <f>NORM.S.INV(RAND())</f>
        <v/>
      </c>
      <c r="D36" s="15">
        <f>IF('组合输入'!$C2="","",'组合输入'!$H2*$B36+SQRT(1-'组合输入'!$H2^2)*C36)</f>
        <v/>
      </c>
      <c r="E36" s="7">
        <f>IF(D36="","",NORM.S.DIST(D36,TRUE))</f>
        <v/>
      </c>
      <c r="F36" s="13">
        <f>IF(E36="","",IF(E36&lt;='组合输入'!$K2,"AAA",IF(E36&lt;='组合输入'!$L2,"AA",IF(E36&lt;='组合输入'!$M2,"A",IF(E36&lt;='组合输入'!$N2,"BBB",IF(E36&lt;='组合输入'!$O2,"BB",IF(E36&lt;='组合输入'!$P2,"B",IF(E36&lt;='组合输入'!$Q2,"CCC","D")))))))</f>
        <v/>
      </c>
      <c r="G36" s="12">
        <f>IF(F36="","",INDEX('状态价值'!$D2:$K2,MATCH(F36,'状态价值'!$D$1:$K$1,0)))</f>
        <v/>
      </c>
      <c r="H36" s="15">
        <f>NORM.S.INV(RAND())</f>
        <v/>
      </c>
      <c r="I36" s="15">
        <f>IF('组合输入'!$C3="","",'组合输入'!$H3*$B36+SQRT(1-'组合输入'!$H3^2)*H36)</f>
        <v/>
      </c>
      <c r="J36" s="7">
        <f>IF(I36="","",NORM.S.DIST(I36,TRUE))</f>
        <v/>
      </c>
      <c r="K36" s="13">
        <f>IF(J36="","",IF(J36&lt;='组合输入'!$K3,"AAA",IF(J36&lt;='组合输入'!$L3,"AA",IF(J36&lt;='组合输入'!$M3,"A",IF(J36&lt;='组合输入'!$N3,"BBB",IF(J36&lt;='组合输入'!$O3,"BB",IF(J36&lt;='组合输入'!$P3,"B",IF(J36&lt;='组合输入'!$Q3,"CCC","D")))))))</f>
        <v/>
      </c>
      <c r="L36" s="12">
        <f>IF(K36="","",INDEX('状态价值'!$D3:$K3,MATCH(K36,'状态价值'!$D$1:$K$1,0)))</f>
        <v/>
      </c>
      <c r="M36" s="15">
        <f>NORM.S.INV(RAND())</f>
        <v/>
      </c>
      <c r="N36" s="15">
        <f>IF('组合输入'!$C4="","",'组合输入'!$H4*$B36+SQRT(1-'组合输入'!$H4^2)*M36)</f>
        <v/>
      </c>
      <c r="O36" s="7">
        <f>IF(N36="","",NORM.S.DIST(N36,TRUE))</f>
        <v/>
      </c>
      <c r="P36" s="13">
        <f>IF(O36="","",IF(O36&lt;='组合输入'!$K4,"AAA",IF(O36&lt;='组合输入'!$L4,"AA",IF(O36&lt;='组合输入'!$M4,"A",IF(O36&lt;='组合输入'!$N4,"BBB",IF(O36&lt;='组合输入'!$O4,"BB",IF(O36&lt;='组合输入'!$P4,"B",IF(O36&lt;='组合输入'!$Q4,"CCC","D")))))))</f>
        <v/>
      </c>
      <c r="Q36" s="12">
        <f>IF(P36="","",INDEX('状态价值'!$D4:$K4,MATCH(P36,'状态价值'!$D$1:$K$1,0)))</f>
        <v/>
      </c>
      <c r="R36" s="15">
        <f>NORM.S.INV(RAND())</f>
        <v/>
      </c>
      <c r="S36" s="15">
        <f>IF('组合输入'!$C5="","",'组合输入'!$H5*$B36+SQRT(1-'组合输入'!$H5^2)*R36)</f>
        <v/>
      </c>
      <c r="T36" s="7">
        <f>IF(S36="","",NORM.S.DIST(S36,TRUE))</f>
        <v/>
      </c>
      <c r="U36" s="13">
        <f>IF(T36="","",IF(T36&lt;='组合输入'!$K5,"AAA",IF(T36&lt;='组合输入'!$L5,"AA",IF(T36&lt;='组合输入'!$M5,"A",IF(T36&lt;='组合输入'!$N5,"BBB",IF(T36&lt;='组合输入'!$O5,"BB",IF(T36&lt;='组合输入'!$P5,"B",IF(T36&lt;='组合输入'!$Q5,"CCC","D")))))))</f>
        <v/>
      </c>
      <c r="V36" s="12">
        <f>IF(U36="","",INDEX('状态价值'!$D5:$K5,MATCH(U36,'状态价值'!$D$1:$K$1,0)))</f>
        <v/>
      </c>
      <c r="W36" s="15">
        <f>NORM.S.INV(RAND())</f>
        <v/>
      </c>
      <c r="X36" s="15">
        <f>IF('组合输入'!$C6="","",'组合输入'!$H6*$B36+SQRT(1-'组合输入'!$H6^2)*W36)</f>
        <v/>
      </c>
      <c r="Y36" s="7">
        <f>IF(X36="","",NORM.S.DIST(X36,TRUE))</f>
        <v/>
      </c>
      <c r="Z36" s="13">
        <f>IF(Y36="","",IF(Y36&lt;='组合输入'!$K6,"AAA",IF(Y36&lt;='组合输入'!$L6,"AA",IF(Y36&lt;='组合输入'!$M6,"A",IF(Y36&lt;='组合输入'!$N6,"BBB",IF(Y36&lt;='组合输入'!$O6,"BB",IF(Y36&lt;='组合输入'!$P6,"B",IF(Y36&lt;='组合输入'!$Q6,"CCC","D")))))))</f>
        <v/>
      </c>
      <c r="AA36" s="12">
        <f>IF(Z36="","",INDEX('状态价值'!$D6:$K6,MATCH(Z36,'状态价值'!$D$1:$K$1,0)))</f>
        <v/>
      </c>
      <c r="AB36" s="15">
        <f>NORM.S.INV(RAND())</f>
        <v/>
      </c>
      <c r="AC36" s="15">
        <f>IF('组合输入'!$C7="","",'组合输入'!$H7*$B36+SQRT(1-'组合输入'!$H7^2)*AB36)</f>
        <v/>
      </c>
      <c r="AD36" s="7">
        <f>IF(AC36="","",NORM.S.DIST(AC36,TRUE))</f>
        <v/>
      </c>
      <c r="AE36" s="13">
        <f>IF(AD36="","",IF(AD36&lt;='组合输入'!$K7,"AAA",IF(AD36&lt;='组合输入'!$L7,"AA",IF(AD36&lt;='组合输入'!$M7,"A",IF(AD36&lt;='组合输入'!$N7,"BBB",IF(AD36&lt;='组合输入'!$O7,"BB",IF(AD36&lt;='组合输入'!$P7,"B",IF(AD36&lt;='组合输入'!$Q7,"CCC","D")))))))</f>
        <v/>
      </c>
      <c r="AF36" s="12">
        <f>IF(AE36="","",INDEX('状态价值'!$D7:$K7,MATCH(AE36,'状态价值'!$D$1:$K$1,0)))</f>
        <v/>
      </c>
      <c r="AG36" s="15">
        <f>NORM.S.INV(RAND())</f>
        <v/>
      </c>
      <c r="AH36" s="15">
        <f>IF('组合输入'!$C8="","",'组合输入'!$H8*$B36+SQRT(1-'组合输入'!$H8^2)*AG36)</f>
        <v/>
      </c>
      <c r="AI36" s="7">
        <f>IF(AH36="","",NORM.S.DIST(AH36,TRUE))</f>
        <v/>
      </c>
      <c r="AJ36" s="13">
        <f>IF(AI36="","",IF(AI36&lt;='组合输入'!$K8,"AAA",IF(AI36&lt;='组合输入'!$L8,"AA",IF(AI36&lt;='组合输入'!$M8,"A",IF(AI36&lt;='组合输入'!$N8,"BBB",IF(AI36&lt;='组合输入'!$O8,"BB",IF(AI36&lt;='组合输入'!$P8,"B",IF(AI36&lt;='组合输入'!$Q8,"CCC","D")))))))</f>
        <v/>
      </c>
      <c r="AK36" s="12">
        <f>IF(AJ36="","",INDEX('状态价值'!$D8:$K8,MATCH(AJ36,'状态价值'!$D$1:$K$1,0)))</f>
        <v/>
      </c>
      <c r="AL36" s="15">
        <f>NORM.S.INV(RAND())</f>
        <v/>
      </c>
      <c r="AM36" s="15">
        <f>IF('组合输入'!$C9="","",'组合输入'!$H9*$B36+SQRT(1-'组合输入'!$H9^2)*AL36)</f>
        <v/>
      </c>
      <c r="AN36" s="7">
        <f>IF(AM36="","",NORM.S.DIST(AM36,TRUE))</f>
        <v/>
      </c>
      <c r="AO36" s="13">
        <f>IF(AN36="","",IF(AN36&lt;='组合输入'!$K9,"AAA",IF(AN36&lt;='组合输入'!$L9,"AA",IF(AN36&lt;='组合输入'!$M9,"A",IF(AN36&lt;='组合输入'!$N9,"BBB",IF(AN36&lt;='组合输入'!$O9,"BB",IF(AN36&lt;='组合输入'!$P9,"B",IF(AN36&lt;='组合输入'!$Q9,"CCC","D")))))))</f>
        <v/>
      </c>
      <c r="AP36" s="12">
        <f>IF(AO36="","",INDEX('状态价值'!$D9:$K9,MATCH(AO36,'状态价值'!$D$1:$K$1,0)))</f>
        <v/>
      </c>
      <c r="AQ36" s="15">
        <f>NORM.S.INV(RAND())</f>
        <v/>
      </c>
      <c r="AR36" s="15">
        <f>IF('组合输入'!$C10="","",'组合输入'!$H10*$B36+SQRT(1-'组合输入'!$H10^2)*AQ36)</f>
        <v/>
      </c>
      <c r="AS36" s="7">
        <f>IF(AR36="","",NORM.S.DIST(AR36,TRUE))</f>
        <v/>
      </c>
      <c r="AT36" s="13">
        <f>IF(AS36="","",IF(AS36&lt;='组合输入'!$K10,"AAA",IF(AS36&lt;='组合输入'!$L10,"AA",IF(AS36&lt;='组合输入'!$M10,"A",IF(AS36&lt;='组合输入'!$N10,"BBB",IF(AS36&lt;='组合输入'!$O10,"BB",IF(AS36&lt;='组合输入'!$P10,"B",IF(AS36&lt;='组合输入'!$Q10,"CCC","D")))))))</f>
        <v/>
      </c>
      <c r="AU36" s="12">
        <f>IF(AT36="","",INDEX('状态价值'!$D10:$K10,MATCH(AT36,'状态价值'!$D$1:$K$1,0)))</f>
        <v/>
      </c>
      <c r="AV36" s="15">
        <f>NORM.S.INV(RAND())</f>
        <v/>
      </c>
      <c r="AW36" s="15">
        <f>IF('组合输入'!$C11="","",'组合输入'!$H11*$B36+SQRT(1-'组合输入'!$H11^2)*AV36)</f>
        <v/>
      </c>
      <c r="AX36" s="7">
        <f>IF(AW36="","",NORM.S.DIST(AW36,TRUE))</f>
        <v/>
      </c>
      <c r="AY36" s="13">
        <f>IF(AX36="","",IF(AX36&lt;='组合输入'!$K11,"AAA",IF(AX36&lt;='组合输入'!$L11,"AA",IF(AX36&lt;='组合输入'!$M11,"A",IF(AX36&lt;='组合输入'!$N11,"BBB",IF(AX36&lt;='组合输入'!$O11,"BB",IF(AX36&lt;='组合输入'!$P11,"B",IF(AX36&lt;='组合输入'!$Q11,"CCC","D")))))))</f>
        <v/>
      </c>
      <c r="AZ36" s="12">
        <f>IF(AY36="","",INDEX('状态价值'!$D11:$K11,MATCH(AY36,'状态价值'!$D$1:$K$1,0)))</f>
        <v/>
      </c>
      <c r="BA36" s="12">
        <f>G36+L36+Q36+V36+AA36+AF36+AK36+AP36+AU36+AZ36</f>
        <v/>
      </c>
      <c r="BB36" s="12">
        <f>SUM('组合输入'!$J$2:$J$11)-BA36</f>
        <v/>
      </c>
    </row>
    <row r="37">
      <c r="A37" s="11" t="n">
        <v>36</v>
      </c>
      <c r="B37" s="14">
        <f>NORM.S.INV(RAND())</f>
        <v/>
      </c>
      <c r="C37" s="14">
        <f>NORM.S.INV(RAND())</f>
        <v/>
      </c>
      <c r="D37" s="15">
        <f>IF('组合输入'!$C2="","",'组合输入'!$H2*$B37+SQRT(1-'组合输入'!$H2^2)*C37)</f>
        <v/>
      </c>
      <c r="E37" s="7">
        <f>IF(D37="","",NORM.S.DIST(D37,TRUE))</f>
        <v/>
      </c>
      <c r="F37" s="13">
        <f>IF(E37="","",IF(E37&lt;='组合输入'!$K2,"AAA",IF(E37&lt;='组合输入'!$L2,"AA",IF(E37&lt;='组合输入'!$M2,"A",IF(E37&lt;='组合输入'!$N2,"BBB",IF(E37&lt;='组合输入'!$O2,"BB",IF(E37&lt;='组合输入'!$P2,"B",IF(E37&lt;='组合输入'!$Q2,"CCC","D")))))))</f>
        <v/>
      </c>
      <c r="G37" s="12">
        <f>IF(F37="","",INDEX('状态价值'!$D2:$K2,MATCH(F37,'状态价值'!$D$1:$K$1,0)))</f>
        <v/>
      </c>
      <c r="H37" s="15">
        <f>NORM.S.INV(RAND())</f>
        <v/>
      </c>
      <c r="I37" s="15">
        <f>IF('组合输入'!$C3="","",'组合输入'!$H3*$B37+SQRT(1-'组合输入'!$H3^2)*H37)</f>
        <v/>
      </c>
      <c r="J37" s="7">
        <f>IF(I37="","",NORM.S.DIST(I37,TRUE))</f>
        <v/>
      </c>
      <c r="K37" s="13">
        <f>IF(J37="","",IF(J37&lt;='组合输入'!$K3,"AAA",IF(J37&lt;='组合输入'!$L3,"AA",IF(J37&lt;='组合输入'!$M3,"A",IF(J37&lt;='组合输入'!$N3,"BBB",IF(J37&lt;='组合输入'!$O3,"BB",IF(J37&lt;='组合输入'!$P3,"B",IF(J37&lt;='组合输入'!$Q3,"CCC","D")))))))</f>
        <v/>
      </c>
      <c r="L37" s="12">
        <f>IF(K37="","",INDEX('状态价值'!$D3:$K3,MATCH(K37,'状态价值'!$D$1:$K$1,0)))</f>
        <v/>
      </c>
      <c r="M37" s="15">
        <f>NORM.S.INV(RAND())</f>
        <v/>
      </c>
      <c r="N37" s="15">
        <f>IF('组合输入'!$C4="","",'组合输入'!$H4*$B37+SQRT(1-'组合输入'!$H4^2)*M37)</f>
        <v/>
      </c>
      <c r="O37" s="7">
        <f>IF(N37="","",NORM.S.DIST(N37,TRUE))</f>
        <v/>
      </c>
      <c r="P37" s="13">
        <f>IF(O37="","",IF(O37&lt;='组合输入'!$K4,"AAA",IF(O37&lt;='组合输入'!$L4,"AA",IF(O37&lt;='组合输入'!$M4,"A",IF(O37&lt;='组合输入'!$N4,"BBB",IF(O37&lt;='组合输入'!$O4,"BB",IF(O37&lt;='组合输入'!$P4,"B",IF(O37&lt;='组合输入'!$Q4,"CCC","D")))))))</f>
        <v/>
      </c>
      <c r="Q37" s="12">
        <f>IF(P37="","",INDEX('状态价值'!$D4:$K4,MATCH(P37,'状态价值'!$D$1:$K$1,0)))</f>
        <v/>
      </c>
      <c r="R37" s="15">
        <f>NORM.S.INV(RAND())</f>
        <v/>
      </c>
      <c r="S37" s="15">
        <f>IF('组合输入'!$C5="","",'组合输入'!$H5*$B37+SQRT(1-'组合输入'!$H5^2)*R37)</f>
        <v/>
      </c>
      <c r="T37" s="7">
        <f>IF(S37="","",NORM.S.DIST(S37,TRUE))</f>
        <v/>
      </c>
      <c r="U37" s="13">
        <f>IF(T37="","",IF(T37&lt;='组合输入'!$K5,"AAA",IF(T37&lt;='组合输入'!$L5,"AA",IF(T37&lt;='组合输入'!$M5,"A",IF(T37&lt;='组合输入'!$N5,"BBB",IF(T37&lt;='组合输入'!$O5,"BB",IF(T37&lt;='组合输入'!$P5,"B",IF(T37&lt;='组合输入'!$Q5,"CCC","D")))))))</f>
        <v/>
      </c>
      <c r="V37" s="12">
        <f>IF(U37="","",INDEX('状态价值'!$D5:$K5,MATCH(U37,'状态价值'!$D$1:$K$1,0)))</f>
        <v/>
      </c>
      <c r="W37" s="15">
        <f>NORM.S.INV(RAND())</f>
        <v/>
      </c>
      <c r="X37" s="15">
        <f>IF('组合输入'!$C6="","",'组合输入'!$H6*$B37+SQRT(1-'组合输入'!$H6^2)*W37)</f>
        <v/>
      </c>
      <c r="Y37" s="7">
        <f>IF(X37="","",NORM.S.DIST(X37,TRUE))</f>
        <v/>
      </c>
      <c r="Z37" s="13">
        <f>IF(Y37="","",IF(Y37&lt;='组合输入'!$K6,"AAA",IF(Y37&lt;='组合输入'!$L6,"AA",IF(Y37&lt;='组合输入'!$M6,"A",IF(Y37&lt;='组合输入'!$N6,"BBB",IF(Y37&lt;='组合输入'!$O6,"BB",IF(Y37&lt;='组合输入'!$P6,"B",IF(Y37&lt;='组合输入'!$Q6,"CCC","D")))))))</f>
        <v/>
      </c>
      <c r="AA37" s="12">
        <f>IF(Z37="","",INDEX('状态价值'!$D6:$K6,MATCH(Z37,'状态价值'!$D$1:$K$1,0)))</f>
        <v/>
      </c>
      <c r="AB37" s="15">
        <f>NORM.S.INV(RAND())</f>
        <v/>
      </c>
      <c r="AC37" s="15">
        <f>IF('组合输入'!$C7="","",'组合输入'!$H7*$B37+SQRT(1-'组合输入'!$H7^2)*AB37)</f>
        <v/>
      </c>
      <c r="AD37" s="7">
        <f>IF(AC37="","",NORM.S.DIST(AC37,TRUE))</f>
        <v/>
      </c>
      <c r="AE37" s="13">
        <f>IF(AD37="","",IF(AD37&lt;='组合输入'!$K7,"AAA",IF(AD37&lt;='组合输入'!$L7,"AA",IF(AD37&lt;='组合输入'!$M7,"A",IF(AD37&lt;='组合输入'!$N7,"BBB",IF(AD37&lt;='组合输入'!$O7,"BB",IF(AD37&lt;='组合输入'!$P7,"B",IF(AD37&lt;='组合输入'!$Q7,"CCC","D")))))))</f>
        <v/>
      </c>
      <c r="AF37" s="12">
        <f>IF(AE37="","",INDEX('状态价值'!$D7:$K7,MATCH(AE37,'状态价值'!$D$1:$K$1,0)))</f>
        <v/>
      </c>
      <c r="AG37" s="15">
        <f>NORM.S.INV(RAND())</f>
        <v/>
      </c>
      <c r="AH37" s="15">
        <f>IF('组合输入'!$C8="","",'组合输入'!$H8*$B37+SQRT(1-'组合输入'!$H8^2)*AG37)</f>
        <v/>
      </c>
      <c r="AI37" s="7">
        <f>IF(AH37="","",NORM.S.DIST(AH37,TRUE))</f>
        <v/>
      </c>
      <c r="AJ37" s="13">
        <f>IF(AI37="","",IF(AI37&lt;='组合输入'!$K8,"AAA",IF(AI37&lt;='组合输入'!$L8,"AA",IF(AI37&lt;='组合输入'!$M8,"A",IF(AI37&lt;='组合输入'!$N8,"BBB",IF(AI37&lt;='组合输入'!$O8,"BB",IF(AI37&lt;='组合输入'!$P8,"B",IF(AI37&lt;='组合输入'!$Q8,"CCC","D")))))))</f>
        <v/>
      </c>
      <c r="AK37" s="12">
        <f>IF(AJ37="","",INDEX('状态价值'!$D8:$K8,MATCH(AJ37,'状态价值'!$D$1:$K$1,0)))</f>
        <v/>
      </c>
      <c r="AL37" s="15">
        <f>NORM.S.INV(RAND())</f>
        <v/>
      </c>
      <c r="AM37" s="15">
        <f>IF('组合输入'!$C9="","",'组合输入'!$H9*$B37+SQRT(1-'组合输入'!$H9^2)*AL37)</f>
        <v/>
      </c>
      <c r="AN37" s="7">
        <f>IF(AM37="","",NORM.S.DIST(AM37,TRUE))</f>
        <v/>
      </c>
      <c r="AO37" s="13">
        <f>IF(AN37="","",IF(AN37&lt;='组合输入'!$K9,"AAA",IF(AN37&lt;='组合输入'!$L9,"AA",IF(AN37&lt;='组合输入'!$M9,"A",IF(AN37&lt;='组合输入'!$N9,"BBB",IF(AN37&lt;='组合输入'!$O9,"BB",IF(AN37&lt;='组合输入'!$P9,"B",IF(AN37&lt;='组合输入'!$Q9,"CCC","D")))))))</f>
        <v/>
      </c>
      <c r="AP37" s="12">
        <f>IF(AO37="","",INDEX('状态价值'!$D9:$K9,MATCH(AO37,'状态价值'!$D$1:$K$1,0)))</f>
        <v/>
      </c>
      <c r="AQ37" s="15">
        <f>NORM.S.INV(RAND())</f>
        <v/>
      </c>
      <c r="AR37" s="15">
        <f>IF('组合输入'!$C10="","",'组合输入'!$H10*$B37+SQRT(1-'组合输入'!$H10^2)*AQ37)</f>
        <v/>
      </c>
      <c r="AS37" s="7">
        <f>IF(AR37="","",NORM.S.DIST(AR37,TRUE))</f>
        <v/>
      </c>
      <c r="AT37" s="13">
        <f>IF(AS37="","",IF(AS37&lt;='组合输入'!$K10,"AAA",IF(AS37&lt;='组合输入'!$L10,"AA",IF(AS37&lt;='组合输入'!$M10,"A",IF(AS37&lt;='组合输入'!$N10,"BBB",IF(AS37&lt;='组合输入'!$O10,"BB",IF(AS37&lt;='组合输入'!$P10,"B",IF(AS37&lt;='组合输入'!$Q10,"CCC","D")))))))</f>
        <v/>
      </c>
      <c r="AU37" s="12">
        <f>IF(AT37="","",INDEX('状态价值'!$D10:$K10,MATCH(AT37,'状态价值'!$D$1:$K$1,0)))</f>
        <v/>
      </c>
      <c r="AV37" s="15">
        <f>NORM.S.INV(RAND())</f>
        <v/>
      </c>
      <c r="AW37" s="15">
        <f>IF('组合输入'!$C11="","",'组合输入'!$H11*$B37+SQRT(1-'组合输入'!$H11^2)*AV37)</f>
        <v/>
      </c>
      <c r="AX37" s="7">
        <f>IF(AW37="","",NORM.S.DIST(AW37,TRUE))</f>
        <v/>
      </c>
      <c r="AY37" s="13">
        <f>IF(AX37="","",IF(AX37&lt;='组合输入'!$K11,"AAA",IF(AX37&lt;='组合输入'!$L11,"AA",IF(AX37&lt;='组合输入'!$M11,"A",IF(AX37&lt;='组合输入'!$N11,"BBB",IF(AX37&lt;='组合输入'!$O11,"BB",IF(AX37&lt;='组合输入'!$P11,"B",IF(AX37&lt;='组合输入'!$Q11,"CCC","D")))))))</f>
        <v/>
      </c>
      <c r="AZ37" s="12">
        <f>IF(AY37="","",INDEX('状态价值'!$D11:$K11,MATCH(AY37,'状态价值'!$D$1:$K$1,0)))</f>
        <v/>
      </c>
      <c r="BA37" s="12">
        <f>G37+L37+Q37+V37+AA37+AF37+AK37+AP37+AU37+AZ37</f>
        <v/>
      </c>
      <c r="BB37" s="12">
        <f>SUM('组合输入'!$J$2:$J$11)-BA37</f>
        <v/>
      </c>
    </row>
    <row r="38">
      <c r="A38" s="11" t="n">
        <v>37</v>
      </c>
      <c r="B38" s="14">
        <f>NORM.S.INV(RAND())</f>
        <v/>
      </c>
      <c r="C38" s="14">
        <f>NORM.S.INV(RAND())</f>
        <v/>
      </c>
      <c r="D38" s="15">
        <f>IF('组合输入'!$C2="","",'组合输入'!$H2*$B38+SQRT(1-'组合输入'!$H2^2)*C38)</f>
        <v/>
      </c>
      <c r="E38" s="7">
        <f>IF(D38="","",NORM.S.DIST(D38,TRUE))</f>
        <v/>
      </c>
      <c r="F38" s="13">
        <f>IF(E38="","",IF(E38&lt;='组合输入'!$K2,"AAA",IF(E38&lt;='组合输入'!$L2,"AA",IF(E38&lt;='组合输入'!$M2,"A",IF(E38&lt;='组合输入'!$N2,"BBB",IF(E38&lt;='组合输入'!$O2,"BB",IF(E38&lt;='组合输入'!$P2,"B",IF(E38&lt;='组合输入'!$Q2,"CCC","D")))))))</f>
        <v/>
      </c>
      <c r="G38" s="12">
        <f>IF(F38="","",INDEX('状态价值'!$D2:$K2,MATCH(F38,'状态价值'!$D$1:$K$1,0)))</f>
        <v/>
      </c>
      <c r="H38" s="15">
        <f>NORM.S.INV(RAND())</f>
        <v/>
      </c>
      <c r="I38" s="15">
        <f>IF('组合输入'!$C3="","",'组合输入'!$H3*$B38+SQRT(1-'组合输入'!$H3^2)*H38)</f>
        <v/>
      </c>
      <c r="J38" s="7">
        <f>IF(I38="","",NORM.S.DIST(I38,TRUE))</f>
        <v/>
      </c>
      <c r="K38" s="13">
        <f>IF(J38="","",IF(J38&lt;='组合输入'!$K3,"AAA",IF(J38&lt;='组合输入'!$L3,"AA",IF(J38&lt;='组合输入'!$M3,"A",IF(J38&lt;='组合输入'!$N3,"BBB",IF(J38&lt;='组合输入'!$O3,"BB",IF(J38&lt;='组合输入'!$P3,"B",IF(J38&lt;='组合输入'!$Q3,"CCC","D")))))))</f>
        <v/>
      </c>
      <c r="L38" s="12">
        <f>IF(K38="","",INDEX('状态价值'!$D3:$K3,MATCH(K38,'状态价值'!$D$1:$K$1,0)))</f>
        <v/>
      </c>
      <c r="M38" s="15">
        <f>NORM.S.INV(RAND())</f>
        <v/>
      </c>
      <c r="N38" s="15">
        <f>IF('组合输入'!$C4="","",'组合输入'!$H4*$B38+SQRT(1-'组合输入'!$H4^2)*M38)</f>
        <v/>
      </c>
      <c r="O38" s="7">
        <f>IF(N38="","",NORM.S.DIST(N38,TRUE))</f>
        <v/>
      </c>
      <c r="P38" s="13">
        <f>IF(O38="","",IF(O38&lt;='组合输入'!$K4,"AAA",IF(O38&lt;='组合输入'!$L4,"AA",IF(O38&lt;='组合输入'!$M4,"A",IF(O38&lt;='组合输入'!$N4,"BBB",IF(O38&lt;='组合输入'!$O4,"BB",IF(O38&lt;='组合输入'!$P4,"B",IF(O38&lt;='组合输入'!$Q4,"CCC","D")))))))</f>
        <v/>
      </c>
      <c r="Q38" s="12">
        <f>IF(P38="","",INDEX('状态价值'!$D4:$K4,MATCH(P38,'状态价值'!$D$1:$K$1,0)))</f>
        <v/>
      </c>
      <c r="R38" s="15">
        <f>NORM.S.INV(RAND())</f>
        <v/>
      </c>
      <c r="S38" s="15">
        <f>IF('组合输入'!$C5="","",'组合输入'!$H5*$B38+SQRT(1-'组合输入'!$H5^2)*R38)</f>
        <v/>
      </c>
      <c r="T38" s="7">
        <f>IF(S38="","",NORM.S.DIST(S38,TRUE))</f>
        <v/>
      </c>
      <c r="U38" s="13">
        <f>IF(T38="","",IF(T38&lt;='组合输入'!$K5,"AAA",IF(T38&lt;='组合输入'!$L5,"AA",IF(T38&lt;='组合输入'!$M5,"A",IF(T38&lt;='组合输入'!$N5,"BBB",IF(T38&lt;='组合输入'!$O5,"BB",IF(T38&lt;='组合输入'!$P5,"B",IF(T38&lt;='组合输入'!$Q5,"CCC","D")))))))</f>
        <v/>
      </c>
      <c r="V38" s="12">
        <f>IF(U38="","",INDEX('状态价值'!$D5:$K5,MATCH(U38,'状态价值'!$D$1:$K$1,0)))</f>
        <v/>
      </c>
      <c r="W38" s="15">
        <f>NORM.S.INV(RAND())</f>
        <v/>
      </c>
      <c r="X38" s="15">
        <f>IF('组合输入'!$C6="","",'组合输入'!$H6*$B38+SQRT(1-'组合输入'!$H6^2)*W38)</f>
        <v/>
      </c>
      <c r="Y38" s="7">
        <f>IF(X38="","",NORM.S.DIST(X38,TRUE))</f>
        <v/>
      </c>
      <c r="Z38" s="13">
        <f>IF(Y38="","",IF(Y38&lt;='组合输入'!$K6,"AAA",IF(Y38&lt;='组合输入'!$L6,"AA",IF(Y38&lt;='组合输入'!$M6,"A",IF(Y38&lt;='组合输入'!$N6,"BBB",IF(Y38&lt;='组合输入'!$O6,"BB",IF(Y38&lt;='组合输入'!$P6,"B",IF(Y38&lt;='组合输入'!$Q6,"CCC","D")))))))</f>
        <v/>
      </c>
      <c r="AA38" s="12">
        <f>IF(Z38="","",INDEX('状态价值'!$D6:$K6,MATCH(Z38,'状态价值'!$D$1:$K$1,0)))</f>
        <v/>
      </c>
      <c r="AB38" s="15">
        <f>NORM.S.INV(RAND())</f>
        <v/>
      </c>
      <c r="AC38" s="15">
        <f>IF('组合输入'!$C7="","",'组合输入'!$H7*$B38+SQRT(1-'组合输入'!$H7^2)*AB38)</f>
        <v/>
      </c>
      <c r="AD38" s="7">
        <f>IF(AC38="","",NORM.S.DIST(AC38,TRUE))</f>
        <v/>
      </c>
      <c r="AE38" s="13">
        <f>IF(AD38="","",IF(AD38&lt;='组合输入'!$K7,"AAA",IF(AD38&lt;='组合输入'!$L7,"AA",IF(AD38&lt;='组合输入'!$M7,"A",IF(AD38&lt;='组合输入'!$N7,"BBB",IF(AD38&lt;='组合输入'!$O7,"BB",IF(AD38&lt;='组合输入'!$P7,"B",IF(AD38&lt;='组合输入'!$Q7,"CCC","D")))))))</f>
        <v/>
      </c>
      <c r="AF38" s="12">
        <f>IF(AE38="","",INDEX('状态价值'!$D7:$K7,MATCH(AE38,'状态价值'!$D$1:$K$1,0)))</f>
        <v/>
      </c>
      <c r="AG38" s="15">
        <f>NORM.S.INV(RAND())</f>
        <v/>
      </c>
      <c r="AH38" s="15">
        <f>IF('组合输入'!$C8="","",'组合输入'!$H8*$B38+SQRT(1-'组合输入'!$H8^2)*AG38)</f>
        <v/>
      </c>
      <c r="AI38" s="7">
        <f>IF(AH38="","",NORM.S.DIST(AH38,TRUE))</f>
        <v/>
      </c>
      <c r="AJ38" s="13">
        <f>IF(AI38="","",IF(AI38&lt;='组合输入'!$K8,"AAA",IF(AI38&lt;='组合输入'!$L8,"AA",IF(AI38&lt;='组合输入'!$M8,"A",IF(AI38&lt;='组合输入'!$N8,"BBB",IF(AI38&lt;='组合输入'!$O8,"BB",IF(AI38&lt;='组合输入'!$P8,"B",IF(AI38&lt;='组合输入'!$Q8,"CCC","D")))))))</f>
        <v/>
      </c>
      <c r="AK38" s="12">
        <f>IF(AJ38="","",INDEX('状态价值'!$D8:$K8,MATCH(AJ38,'状态价值'!$D$1:$K$1,0)))</f>
        <v/>
      </c>
      <c r="AL38" s="15">
        <f>NORM.S.INV(RAND())</f>
        <v/>
      </c>
      <c r="AM38" s="15">
        <f>IF('组合输入'!$C9="","",'组合输入'!$H9*$B38+SQRT(1-'组合输入'!$H9^2)*AL38)</f>
        <v/>
      </c>
      <c r="AN38" s="7">
        <f>IF(AM38="","",NORM.S.DIST(AM38,TRUE))</f>
        <v/>
      </c>
      <c r="AO38" s="13">
        <f>IF(AN38="","",IF(AN38&lt;='组合输入'!$K9,"AAA",IF(AN38&lt;='组合输入'!$L9,"AA",IF(AN38&lt;='组合输入'!$M9,"A",IF(AN38&lt;='组合输入'!$N9,"BBB",IF(AN38&lt;='组合输入'!$O9,"BB",IF(AN38&lt;='组合输入'!$P9,"B",IF(AN38&lt;='组合输入'!$Q9,"CCC","D")))))))</f>
        <v/>
      </c>
      <c r="AP38" s="12">
        <f>IF(AO38="","",INDEX('状态价值'!$D9:$K9,MATCH(AO38,'状态价值'!$D$1:$K$1,0)))</f>
        <v/>
      </c>
      <c r="AQ38" s="15">
        <f>NORM.S.INV(RAND())</f>
        <v/>
      </c>
      <c r="AR38" s="15">
        <f>IF('组合输入'!$C10="","",'组合输入'!$H10*$B38+SQRT(1-'组合输入'!$H10^2)*AQ38)</f>
        <v/>
      </c>
      <c r="AS38" s="7">
        <f>IF(AR38="","",NORM.S.DIST(AR38,TRUE))</f>
        <v/>
      </c>
      <c r="AT38" s="13">
        <f>IF(AS38="","",IF(AS38&lt;='组合输入'!$K10,"AAA",IF(AS38&lt;='组合输入'!$L10,"AA",IF(AS38&lt;='组合输入'!$M10,"A",IF(AS38&lt;='组合输入'!$N10,"BBB",IF(AS38&lt;='组合输入'!$O10,"BB",IF(AS38&lt;='组合输入'!$P10,"B",IF(AS38&lt;='组合输入'!$Q10,"CCC","D")))))))</f>
        <v/>
      </c>
      <c r="AU38" s="12">
        <f>IF(AT38="","",INDEX('状态价值'!$D10:$K10,MATCH(AT38,'状态价值'!$D$1:$K$1,0)))</f>
        <v/>
      </c>
      <c r="AV38" s="15">
        <f>NORM.S.INV(RAND())</f>
        <v/>
      </c>
      <c r="AW38" s="15">
        <f>IF('组合输入'!$C11="","",'组合输入'!$H11*$B38+SQRT(1-'组合输入'!$H11^2)*AV38)</f>
        <v/>
      </c>
      <c r="AX38" s="7">
        <f>IF(AW38="","",NORM.S.DIST(AW38,TRUE))</f>
        <v/>
      </c>
      <c r="AY38" s="13">
        <f>IF(AX38="","",IF(AX38&lt;='组合输入'!$K11,"AAA",IF(AX38&lt;='组合输入'!$L11,"AA",IF(AX38&lt;='组合输入'!$M11,"A",IF(AX38&lt;='组合输入'!$N11,"BBB",IF(AX38&lt;='组合输入'!$O11,"BB",IF(AX38&lt;='组合输入'!$P11,"B",IF(AX38&lt;='组合输入'!$Q11,"CCC","D")))))))</f>
        <v/>
      </c>
      <c r="AZ38" s="12">
        <f>IF(AY38="","",INDEX('状态价值'!$D11:$K11,MATCH(AY38,'状态价值'!$D$1:$K$1,0)))</f>
        <v/>
      </c>
      <c r="BA38" s="12">
        <f>G38+L38+Q38+V38+AA38+AF38+AK38+AP38+AU38+AZ38</f>
        <v/>
      </c>
      <c r="BB38" s="12">
        <f>SUM('组合输入'!$J$2:$J$11)-BA38</f>
        <v/>
      </c>
    </row>
    <row r="39">
      <c r="A39" s="11" t="n">
        <v>38</v>
      </c>
      <c r="B39" s="14">
        <f>NORM.S.INV(RAND())</f>
        <v/>
      </c>
      <c r="C39" s="14">
        <f>NORM.S.INV(RAND())</f>
        <v/>
      </c>
      <c r="D39" s="15">
        <f>IF('组合输入'!$C2="","",'组合输入'!$H2*$B39+SQRT(1-'组合输入'!$H2^2)*C39)</f>
        <v/>
      </c>
      <c r="E39" s="7">
        <f>IF(D39="","",NORM.S.DIST(D39,TRUE))</f>
        <v/>
      </c>
      <c r="F39" s="13">
        <f>IF(E39="","",IF(E39&lt;='组合输入'!$K2,"AAA",IF(E39&lt;='组合输入'!$L2,"AA",IF(E39&lt;='组合输入'!$M2,"A",IF(E39&lt;='组合输入'!$N2,"BBB",IF(E39&lt;='组合输入'!$O2,"BB",IF(E39&lt;='组合输入'!$P2,"B",IF(E39&lt;='组合输入'!$Q2,"CCC","D")))))))</f>
        <v/>
      </c>
      <c r="G39" s="12">
        <f>IF(F39="","",INDEX('状态价值'!$D2:$K2,MATCH(F39,'状态价值'!$D$1:$K$1,0)))</f>
        <v/>
      </c>
      <c r="H39" s="15">
        <f>NORM.S.INV(RAND())</f>
        <v/>
      </c>
      <c r="I39" s="15">
        <f>IF('组合输入'!$C3="","",'组合输入'!$H3*$B39+SQRT(1-'组合输入'!$H3^2)*H39)</f>
        <v/>
      </c>
      <c r="J39" s="7">
        <f>IF(I39="","",NORM.S.DIST(I39,TRUE))</f>
        <v/>
      </c>
      <c r="K39" s="13">
        <f>IF(J39="","",IF(J39&lt;='组合输入'!$K3,"AAA",IF(J39&lt;='组合输入'!$L3,"AA",IF(J39&lt;='组合输入'!$M3,"A",IF(J39&lt;='组合输入'!$N3,"BBB",IF(J39&lt;='组合输入'!$O3,"BB",IF(J39&lt;='组合输入'!$P3,"B",IF(J39&lt;='组合输入'!$Q3,"CCC","D")))))))</f>
        <v/>
      </c>
      <c r="L39" s="12">
        <f>IF(K39="","",INDEX('状态价值'!$D3:$K3,MATCH(K39,'状态价值'!$D$1:$K$1,0)))</f>
        <v/>
      </c>
      <c r="M39" s="15">
        <f>NORM.S.INV(RAND())</f>
        <v/>
      </c>
      <c r="N39" s="15">
        <f>IF('组合输入'!$C4="","",'组合输入'!$H4*$B39+SQRT(1-'组合输入'!$H4^2)*M39)</f>
        <v/>
      </c>
      <c r="O39" s="7">
        <f>IF(N39="","",NORM.S.DIST(N39,TRUE))</f>
        <v/>
      </c>
      <c r="P39" s="13">
        <f>IF(O39="","",IF(O39&lt;='组合输入'!$K4,"AAA",IF(O39&lt;='组合输入'!$L4,"AA",IF(O39&lt;='组合输入'!$M4,"A",IF(O39&lt;='组合输入'!$N4,"BBB",IF(O39&lt;='组合输入'!$O4,"BB",IF(O39&lt;='组合输入'!$P4,"B",IF(O39&lt;='组合输入'!$Q4,"CCC","D")))))))</f>
        <v/>
      </c>
      <c r="Q39" s="12">
        <f>IF(P39="","",INDEX('状态价值'!$D4:$K4,MATCH(P39,'状态价值'!$D$1:$K$1,0)))</f>
        <v/>
      </c>
      <c r="R39" s="15">
        <f>NORM.S.INV(RAND())</f>
        <v/>
      </c>
      <c r="S39" s="15">
        <f>IF('组合输入'!$C5="","",'组合输入'!$H5*$B39+SQRT(1-'组合输入'!$H5^2)*R39)</f>
        <v/>
      </c>
      <c r="T39" s="7">
        <f>IF(S39="","",NORM.S.DIST(S39,TRUE))</f>
        <v/>
      </c>
      <c r="U39" s="13">
        <f>IF(T39="","",IF(T39&lt;='组合输入'!$K5,"AAA",IF(T39&lt;='组合输入'!$L5,"AA",IF(T39&lt;='组合输入'!$M5,"A",IF(T39&lt;='组合输入'!$N5,"BBB",IF(T39&lt;='组合输入'!$O5,"BB",IF(T39&lt;='组合输入'!$P5,"B",IF(T39&lt;='组合输入'!$Q5,"CCC","D")))))))</f>
        <v/>
      </c>
      <c r="V39" s="12">
        <f>IF(U39="","",INDEX('状态价值'!$D5:$K5,MATCH(U39,'状态价值'!$D$1:$K$1,0)))</f>
        <v/>
      </c>
      <c r="W39" s="15">
        <f>NORM.S.INV(RAND())</f>
        <v/>
      </c>
      <c r="X39" s="15">
        <f>IF('组合输入'!$C6="","",'组合输入'!$H6*$B39+SQRT(1-'组合输入'!$H6^2)*W39)</f>
        <v/>
      </c>
      <c r="Y39" s="7">
        <f>IF(X39="","",NORM.S.DIST(X39,TRUE))</f>
        <v/>
      </c>
      <c r="Z39" s="13">
        <f>IF(Y39="","",IF(Y39&lt;='组合输入'!$K6,"AAA",IF(Y39&lt;='组合输入'!$L6,"AA",IF(Y39&lt;='组合输入'!$M6,"A",IF(Y39&lt;='组合输入'!$N6,"BBB",IF(Y39&lt;='组合输入'!$O6,"BB",IF(Y39&lt;='组合输入'!$P6,"B",IF(Y39&lt;='组合输入'!$Q6,"CCC","D")))))))</f>
        <v/>
      </c>
      <c r="AA39" s="12">
        <f>IF(Z39="","",INDEX('状态价值'!$D6:$K6,MATCH(Z39,'状态价值'!$D$1:$K$1,0)))</f>
        <v/>
      </c>
      <c r="AB39" s="15">
        <f>NORM.S.INV(RAND())</f>
        <v/>
      </c>
      <c r="AC39" s="15">
        <f>IF('组合输入'!$C7="","",'组合输入'!$H7*$B39+SQRT(1-'组合输入'!$H7^2)*AB39)</f>
        <v/>
      </c>
      <c r="AD39" s="7">
        <f>IF(AC39="","",NORM.S.DIST(AC39,TRUE))</f>
        <v/>
      </c>
      <c r="AE39" s="13">
        <f>IF(AD39="","",IF(AD39&lt;='组合输入'!$K7,"AAA",IF(AD39&lt;='组合输入'!$L7,"AA",IF(AD39&lt;='组合输入'!$M7,"A",IF(AD39&lt;='组合输入'!$N7,"BBB",IF(AD39&lt;='组合输入'!$O7,"BB",IF(AD39&lt;='组合输入'!$P7,"B",IF(AD39&lt;='组合输入'!$Q7,"CCC","D")))))))</f>
        <v/>
      </c>
      <c r="AF39" s="12">
        <f>IF(AE39="","",INDEX('状态价值'!$D7:$K7,MATCH(AE39,'状态价值'!$D$1:$K$1,0)))</f>
        <v/>
      </c>
      <c r="AG39" s="15">
        <f>NORM.S.INV(RAND())</f>
        <v/>
      </c>
      <c r="AH39" s="15">
        <f>IF('组合输入'!$C8="","",'组合输入'!$H8*$B39+SQRT(1-'组合输入'!$H8^2)*AG39)</f>
        <v/>
      </c>
      <c r="AI39" s="7">
        <f>IF(AH39="","",NORM.S.DIST(AH39,TRUE))</f>
        <v/>
      </c>
      <c r="AJ39" s="13">
        <f>IF(AI39="","",IF(AI39&lt;='组合输入'!$K8,"AAA",IF(AI39&lt;='组合输入'!$L8,"AA",IF(AI39&lt;='组合输入'!$M8,"A",IF(AI39&lt;='组合输入'!$N8,"BBB",IF(AI39&lt;='组合输入'!$O8,"BB",IF(AI39&lt;='组合输入'!$P8,"B",IF(AI39&lt;='组合输入'!$Q8,"CCC","D")))))))</f>
        <v/>
      </c>
      <c r="AK39" s="12">
        <f>IF(AJ39="","",INDEX('状态价值'!$D8:$K8,MATCH(AJ39,'状态价值'!$D$1:$K$1,0)))</f>
        <v/>
      </c>
      <c r="AL39" s="15">
        <f>NORM.S.INV(RAND())</f>
        <v/>
      </c>
      <c r="AM39" s="15">
        <f>IF('组合输入'!$C9="","",'组合输入'!$H9*$B39+SQRT(1-'组合输入'!$H9^2)*AL39)</f>
        <v/>
      </c>
      <c r="AN39" s="7">
        <f>IF(AM39="","",NORM.S.DIST(AM39,TRUE))</f>
        <v/>
      </c>
      <c r="AO39" s="13">
        <f>IF(AN39="","",IF(AN39&lt;='组合输入'!$K9,"AAA",IF(AN39&lt;='组合输入'!$L9,"AA",IF(AN39&lt;='组合输入'!$M9,"A",IF(AN39&lt;='组合输入'!$N9,"BBB",IF(AN39&lt;='组合输入'!$O9,"BB",IF(AN39&lt;='组合输入'!$P9,"B",IF(AN39&lt;='组合输入'!$Q9,"CCC","D")))))))</f>
        <v/>
      </c>
      <c r="AP39" s="12">
        <f>IF(AO39="","",INDEX('状态价值'!$D9:$K9,MATCH(AO39,'状态价值'!$D$1:$K$1,0)))</f>
        <v/>
      </c>
      <c r="AQ39" s="15">
        <f>NORM.S.INV(RAND())</f>
        <v/>
      </c>
      <c r="AR39" s="15">
        <f>IF('组合输入'!$C10="","",'组合输入'!$H10*$B39+SQRT(1-'组合输入'!$H10^2)*AQ39)</f>
        <v/>
      </c>
      <c r="AS39" s="7">
        <f>IF(AR39="","",NORM.S.DIST(AR39,TRUE))</f>
        <v/>
      </c>
      <c r="AT39" s="13">
        <f>IF(AS39="","",IF(AS39&lt;='组合输入'!$K10,"AAA",IF(AS39&lt;='组合输入'!$L10,"AA",IF(AS39&lt;='组合输入'!$M10,"A",IF(AS39&lt;='组合输入'!$N10,"BBB",IF(AS39&lt;='组合输入'!$O10,"BB",IF(AS39&lt;='组合输入'!$P10,"B",IF(AS39&lt;='组合输入'!$Q10,"CCC","D")))))))</f>
        <v/>
      </c>
      <c r="AU39" s="12">
        <f>IF(AT39="","",INDEX('状态价值'!$D10:$K10,MATCH(AT39,'状态价值'!$D$1:$K$1,0)))</f>
        <v/>
      </c>
      <c r="AV39" s="15">
        <f>NORM.S.INV(RAND())</f>
        <v/>
      </c>
      <c r="AW39" s="15">
        <f>IF('组合输入'!$C11="","",'组合输入'!$H11*$B39+SQRT(1-'组合输入'!$H11^2)*AV39)</f>
        <v/>
      </c>
      <c r="AX39" s="7">
        <f>IF(AW39="","",NORM.S.DIST(AW39,TRUE))</f>
        <v/>
      </c>
      <c r="AY39" s="13">
        <f>IF(AX39="","",IF(AX39&lt;='组合输入'!$K11,"AAA",IF(AX39&lt;='组合输入'!$L11,"AA",IF(AX39&lt;='组合输入'!$M11,"A",IF(AX39&lt;='组合输入'!$N11,"BBB",IF(AX39&lt;='组合输入'!$O11,"BB",IF(AX39&lt;='组合输入'!$P11,"B",IF(AX39&lt;='组合输入'!$Q11,"CCC","D")))))))</f>
        <v/>
      </c>
      <c r="AZ39" s="12">
        <f>IF(AY39="","",INDEX('状态价值'!$D11:$K11,MATCH(AY39,'状态价值'!$D$1:$K$1,0)))</f>
        <v/>
      </c>
      <c r="BA39" s="12">
        <f>G39+L39+Q39+V39+AA39+AF39+AK39+AP39+AU39+AZ39</f>
        <v/>
      </c>
      <c r="BB39" s="12">
        <f>SUM('组合输入'!$J$2:$J$11)-BA39</f>
        <v/>
      </c>
    </row>
    <row r="40">
      <c r="A40" s="11" t="n">
        <v>39</v>
      </c>
      <c r="B40" s="14">
        <f>NORM.S.INV(RAND())</f>
        <v/>
      </c>
      <c r="C40" s="14">
        <f>NORM.S.INV(RAND())</f>
        <v/>
      </c>
      <c r="D40" s="15">
        <f>IF('组合输入'!$C2="","",'组合输入'!$H2*$B40+SQRT(1-'组合输入'!$H2^2)*C40)</f>
        <v/>
      </c>
      <c r="E40" s="7">
        <f>IF(D40="","",NORM.S.DIST(D40,TRUE))</f>
        <v/>
      </c>
      <c r="F40" s="13">
        <f>IF(E40="","",IF(E40&lt;='组合输入'!$K2,"AAA",IF(E40&lt;='组合输入'!$L2,"AA",IF(E40&lt;='组合输入'!$M2,"A",IF(E40&lt;='组合输入'!$N2,"BBB",IF(E40&lt;='组合输入'!$O2,"BB",IF(E40&lt;='组合输入'!$P2,"B",IF(E40&lt;='组合输入'!$Q2,"CCC","D")))))))</f>
        <v/>
      </c>
      <c r="G40" s="12">
        <f>IF(F40="","",INDEX('状态价值'!$D2:$K2,MATCH(F40,'状态价值'!$D$1:$K$1,0)))</f>
        <v/>
      </c>
      <c r="H40" s="15">
        <f>NORM.S.INV(RAND())</f>
        <v/>
      </c>
      <c r="I40" s="15">
        <f>IF('组合输入'!$C3="","",'组合输入'!$H3*$B40+SQRT(1-'组合输入'!$H3^2)*H40)</f>
        <v/>
      </c>
      <c r="J40" s="7">
        <f>IF(I40="","",NORM.S.DIST(I40,TRUE))</f>
        <v/>
      </c>
      <c r="K40" s="13">
        <f>IF(J40="","",IF(J40&lt;='组合输入'!$K3,"AAA",IF(J40&lt;='组合输入'!$L3,"AA",IF(J40&lt;='组合输入'!$M3,"A",IF(J40&lt;='组合输入'!$N3,"BBB",IF(J40&lt;='组合输入'!$O3,"BB",IF(J40&lt;='组合输入'!$P3,"B",IF(J40&lt;='组合输入'!$Q3,"CCC","D")))))))</f>
        <v/>
      </c>
      <c r="L40" s="12">
        <f>IF(K40="","",INDEX('状态价值'!$D3:$K3,MATCH(K40,'状态价值'!$D$1:$K$1,0)))</f>
        <v/>
      </c>
      <c r="M40" s="15">
        <f>NORM.S.INV(RAND())</f>
        <v/>
      </c>
      <c r="N40" s="15">
        <f>IF('组合输入'!$C4="","",'组合输入'!$H4*$B40+SQRT(1-'组合输入'!$H4^2)*M40)</f>
        <v/>
      </c>
      <c r="O40" s="7">
        <f>IF(N40="","",NORM.S.DIST(N40,TRUE))</f>
        <v/>
      </c>
      <c r="P40" s="13">
        <f>IF(O40="","",IF(O40&lt;='组合输入'!$K4,"AAA",IF(O40&lt;='组合输入'!$L4,"AA",IF(O40&lt;='组合输入'!$M4,"A",IF(O40&lt;='组合输入'!$N4,"BBB",IF(O40&lt;='组合输入'!$O4,"BB",IF(O40&lt;='组合输入'!$P4,"B",IF(O40&lt;='组合输入'!$Q4,"CCC","D")))))))</f>
        <v/>
      </c>
      <c r="Q40" s="12">
        <f>IF(P40="","",INDEX('状态价值'!$D4:$K4,MATCH(P40,'状态价值'!$D$1:$K$1,0)))</f>
        <v/>
      </c>
      <c r="R40" s="15">
        <f>NORM.S.INV(RAND())</f>
        <v/>
      </c>
      <c r="S40" s="15">
        <f>IF('组合输入'!$C5="","",'组合输入'!$H5*$B40+SQRT(1-'组合输入'!$H5^2)*R40)</f>
        <v/>
      </c>
      <c r="T40" s="7">
        <f>IF(S40="","",NORM.S.DIST(S40,TRUE))</f>
        <v/>
      </c>
      <c r="U40" s="13">
        <f>IF(T40="","",IF(T40&lt;='组合输入'!$K5,"AAA",IF(T40&lt;='组合输入'!$L5,"AA",IF(T40&lt;='组合输入'!$M5,"A",IF(T40&lt;='组合输入'!$N5,"BBB",IF(T40&lt;='组合输入'!$O5,"BB",IF(T40&lt;='组合输入'!$P5,"B",IF(T40&lt;='组合输入'!$Q5,"CCC","D")))))))</f>
        <v/>
      </c>
      <c r="V40" s="12">
        <f>IF(U40="","",INDEX('状态价值'!$D5:$K5,MATCH(U40,'状态价值'!$D$1:$K$1,0)))</f>
        <v/>
      </c>
      <c r="W40" s="15">
        <f>NORM.S.INV(RAND())</f>
        <v/>
      </c>
      <c r="X40" s="15">
        <f>IF('组合输入'!$C6="","",'组合输入'!$H6*$B40+SQRT(1-'组合输入'!$H6^2)*W40)</f>
        <v/>
      </c>
      <c r="Y40" s="7">
        <f>IF(X40="","",NORM.S.DIST(X40,TRUE))</f>
        <v/>
      </c>
      <c r="Z40" s="13">
        <f>IF(Y40="","",IF(Y40&lt;='组合输入'!$K6,"AAA",IF(Y40&lt;='组合输入'!$L6,"AA",IF(Y40&lt;='组合输入'!$M6,"A",IF(Y40&lt;='组合输入'!$N6,"BBB",IF(Y40&lt;='组合输入'!$O6,"BB",IF(Y40&lt;='组合输入'!$P6,"B",IF(Y40&lt;='组合输入'!$Q6,"CCC","D")))))))</f>
        <v/>
      </c>
      <c r="AA40" s="12">
        <f>IF(Z40="","",INDEX('状态价值'!$D6:$K6,MATCH(Z40,'状态价值'!$D$1:$K$1,0)))</f>
        <v/>
      </c>
      <c r="AB40" s="15">
        <f>NORM.S.INV(RAND())</f>
        <v/>
      </c>
      <c r="AC40" s="15">
        <f>IF('组合输入'!$C7="","",'组合输入'!$H7*$B40+SQRT(1-'组合输入'!$H7^2)*AB40)</f>
        <v/>
      </c>
      <c r="AD40" s="7">
        <f>IF(AC40="","",NORM.S.DIST(AC40,TRUE))</f>
        <v/>
      </c>
      <c r="AE40" s="13">
        <f>IF(AD40="","",IF(AD40&lt;='组合输入'!$K7,"AAA",IF(AD40&lt;='组合输入'!$L7,"AA",IF(AD40&lt;='组合输入'!$M7,"A",IF(AD40&lt;='组合输入'!$N7,"BBB",IF(AD40&lt;='组合输入'!$O7,"BB",IF(AD40&lt;='组合输入'!$P7,"B",IF(AD40&lt;='组合输入'!$Q7,"CCC","D")))))))</f>
        <v/>
      </c>
      <c r="AF40" s="12">
        <f>IF(AE40="","",INDEX('状态价值'!$D7:$K7,MATCH(AE40,'状态价值'!$D$1:$K$1,0)))</f>
        <v/>
      </c>
      <c r="AG40" s="15">
        <f>NORM.S.INV(RAND())</f>
        <v/>
      </c>
      <c r="AH40" s="15">
        <f>IF('组合输入'!$C8="","",'组合输入'!$H8*$B40+SQRT(1-'组合输入'!$H8^2)*AG40)</f>
        <v/>
      </c>
      <c r="AI40" s="7">
        <f>IF(AH40="","",NORM.S.DIST(AH40,TRUE))</f>
        <v/>
      </c>
      <c r="AJ40" s="13">
        <f>IF(AI40="","",IF(AI40&lt;='组合输入'!$K8,"AAA",IF(AI40&lt;='组合输入'!$L8,"AA",IF(AI40&lt;='组合输入'!$M8,"A",IF(AI40&lt;='组合输入'!$N8,"BBB",IF(AI40&lt;='组合输入'!$O8,"BB",IF(AI40&lt;='组合输入'!$P8,"B",IF(AI40&lt;='组合输入'!$Q8,"CCC","D")))))))</f>
        <v/>
      </c>
      <c r="AK40" s="12">
        <f>IF(AJ40="","",INDEX('状态价值'!$D8:$K8,MATCH(AJ40,'状态价值'!$D$1:$K$1,0)))</f>
        <v/>
      </c>
      <c r="AL40" s="15">
        <f>NORM.S.INV(RAND())</f>
        <v/>
      </c>
      <c r="AM40" s="15">
        <f>IF('组合输入'!$C9="","",'组合输入'!$H9*$B40+SQRT(1-'组合输入'!$H9^2)*AL40)</f>
        <v/>
      </c>
      <c r="AN40" s="7">
        <f>IF(AM40="","",NORM.S.DIST(AM40,TRUE))</f>
        <v/>
      </c>
      <c r="AO40" s="13">
        <f>IF(AN40="","",IF(AN40&lt;='组合输入'!$K9,"AAA",IF(AN40&lt;='组合输入'!$L9,"AA",IF(AN40&lt;='组合输入'!$M9,"A",IF(AN40&lt;='组合输入'!$N9,"BBB",IF(AN40&lt;='组合输入'!$O9,"BB",IF(AN40&lt;='组合输入'!$P9,"B",IF(AN40&lt;='组合输入'!$Q9,"CCC","D")))))))</f>
        <v/>
      </c>
      <c r="AP40" s="12">
        <f>IF(AO40="","",INDEX('状态价值'!$D9:$K9,MATCH(AO40,'状态价值'!$D$1:$K$1,0)))</f>
        <v/>
      </c>
      <c r="AQ40" s="15">
        <f>NORM.S.INV(RAND())</f>
        <v/>
      </c>
      <c r="AR40" s="15">
        <f>IF('组合输入'!$C10="","",'组合输入'!$H10*$B40+SQRT(1-'组合输入'!$H10^2)*AQ40)</f>
        <v/>
      </c>
      <c r="AS40" s="7">
        <f>IF(AR40="","",NORM.S.DIST(AR40,TRUE))</f>
        <v/>
      </c>
      <c r="AT40" s="13">
        <f>IF(AS40="","",IF(AS40&lt;='组合输入'!$K10,"AAA",IF(AS40&lt;='组合输入'!$L10,"AA",IF(AS40&lt;='组合输入'!$M10,"A",IF(AS40&lt;='组合输入'!$N10,"BBB",IF(AS40&lt;='组合输入'!$O10,"BB",IF(AS40&lt;='组合输入'!$P10,"B",IF(AS40&lt;='组合输入'!$Q10,"CCC","D")))))))</f>
        <v/>
      </c>
      <c r="AU40" s="12">
        <f>IF(AT40="","",INDEX('状态价值'!$D10:$K10,MATCH(AT40,'状态价值'!$D$1:$K$1,0)))</f>
        <v/>
      </c>
      <c r="AV40" s="15">
        <f>NORM.S.INV(RAND())</f>
        <v/>
      </c>
      <c r="AW40" s="15">
        <f>IF('组合输入'!$C11="","",'组合输入'!$H11*$B40+SQRT(1-'组合输入'!$H11^2)*AV40)</f>
        <v/>
      </c>
      <c r="AX40" s="7">
        <f>IF(AW40="","",NORM.S.DIST(AW40,TRUE))</f>
        <v/>
      </c>
      <c r="AY40" s="13">
        <f>IF(AX40="","",IF(AX40&lt;='组合输入'!$K11,"AAA",IF(AX40&lt;='组合输入'!$L11,"AA",IF(AX40&lt;='组合输入'!$M11,"A",IF(AX40&lt;='组合输入'!$N11,"BBB",IF(AX40&lt;='组合输入'!$O11,"BB",IF(AX40&lt;='组合输入'!$P11,"B",IF(AX40&lt;='组合输入'!$Q11,"CCC","D")))))))</f>
        <v/>
      </c>
      <c r="AZ40" s="12">
        <f>IF(AY40="","",INDEX('状态价值'!$D11:$K11,MATCH(AY40,'状态价值'!$D$1:$K$1,0)))</f>
        <v/>
      </c>
      <c r="BA40" s="12">
        <f>G40+L40+Q40+V40+AA40+AF40+AK40+AP40+AU40+AZ40</f>
        <v/>
      </c>
      <c r="BB40" s="12">
        <f>SUM('组合输入'!$J$2:$J$11)-BA40</f>
        <v/>
      </c>
    </row>
    <row r="41">
      <c r="A41" s="11" t="n">
        <v>40</v>
      </c>
      <c r="B41" s="14">
        <f>NORM.S.INV(RAND())</f>
        <v/>
      </c>
      <c r="C41" s="14">
        <f>NORM.S.INV(RAND())</f>
        <v/>
      </c>
      <c r="D41" s="15">
        <f>IF('组合输入'!$C2="","",'组合输入'!$H2*$B41+SQRT(1-'组合输入'!$H2^2)*C41)</f>
        <v/>
      </c>
      <c r="E41" s="7">
        <f>IF(D41="","",NORM.S.DIST(D41,TRUE))</f>
        <v/>
      </c>
      <c r="F41" s="13">
        <f>IF(E41="","",IF(E41&lt;='组合输入'!$K2,"AAA",IF(E41&lt;='组合输入'!$L2,"AA",IF(E41&lt;='组合输入'!$M2,"A",IF(E41&lt;='组合输入'!$N2,"BBB",IF(E41&lt;='组合输入'!$O2,"BB",IF(E41&lt;='组合输入'!$P2,"B",IF(E41&lt;='组合输入'!$Q2,"CCC","D")))))))</f>
        <v/>
      </c>
      <c r="G41" s="12">
        <f>IF(F41="","",INDEX('状态价值'!$D2:$K2,MATCH(F41,'状态价值'!$D$1:$K$1,0)))</f>
        <v/>
      </c>
      <c r="H41" s="15">
        <f>NORM.S.INV(RAND())</f>
        <v/>
      </c>
      <c r="I41" s="15">
        <f>IF('组合输入'!$C3="","",'组合输入'!$H3*$B41+SQRT(1-'组合输入'!$H3^2)*H41)</f>
        <v/>
      </c>
      <c r="J41" s="7">
        <f>IF(I41="","",NORM.S.DIST(I41,TRUE))</f>
        <v/>
      </c>
      <c r="K41" s="13">
        <f>IF(J41="","",IF(J41&lt;='组合输入'!$K3,"AAA",IF(J41&lt;='组合输入'!$L3,"AA",IF(J41&lt;='组合输入'!$M3,"A",IF(J41&lt;='组合输入'!$N3,"BBB",IF(J41&lt;='组合输入'!$O3,"BB",IF(J41&lt;='组合输入'!$P3,"B",IF(J41&lt;='组合输入'!$Q3,"CCC","D")))))))</f>
        <v/>
      </c>
      <c r="L41" s="12">
        <f>IF(K41="","",INDEX('状态价值'!$D3:$K3,MATCH(K41,'状态价值'!$D$1:$K$1,0)))</f>
        <v/>
      </c>
      <c r="M41" s="15">
        <f>NORM.S.INV(RAND())</f>
        <v/>
      </c>
      <c r="N41" s="15">
        <f>IF('组合输入'!$C4="","",'组合输入'!$H4*$B41+SQRT(1-'组合输入'!$H4^2)*M41)</f>
        <v/>
      </c>
      <c r="O41" s="7">
        <f>IF(N41="","",NORM.S.DIST(N41,TRUE))</f>
        <v/>
      </c>
      <c r="P41" s="13">
        <f>IF(O41="","",IF(O41&lt;='组合输入'!$K4,"AAA",IF(O41&lt;='组合输入'!$L4,"AA",IF(O41&lt;='组合输入'!$M4,"A",IF(O41&lt;='组合输入'!$N4,"BBB",IF(O41&lt;='组合输入'!$O4,"BB",IF(O41&lt;='组合输入'!$P4,"B",IF(O41&lt;='组合输入'!$Q4,"CCC","D")))))))</f>
        <v/>
      </c>
      <c r="Q41" s="12">
        <f>IF(P41="","",INDEX('状态价值'!$D4:$K4,MATCH(P41,'状态价值'!$D$1:$K$1,0)))</f>
        <v/>
      </c>
      <c r="R41" s="15">
        <f>NORM.S.INV(RAND())</f>
        <v/>
      </c>
      <c r="S41" s="15">
        <f>IF('组合输入'!$C5="","",'组合输入'!$H5*$B41+SQRT(1-'组合输入'!$H5^2)*R41)</f>
        <v/>
      </c>
      <c r="T41" s="7">
        <f>IF(S41="","",NORM.S.DIST(S41,TRUE))</f>
        <v/>
      </c>
      <c r="U41" s="13">
        <f>IF(T41="","",IF(T41&lt;='组合输入'!$K5,"AAA",IF(T41&lt;='组合输入'!$L5,"AA",IF(T41&lt;='组合输入'!$M5,"A",IF(T41&lt;='组合输入'!$N5,"BBB",IF(T41&lt;='组合输入'!$O5,"BB",IF(T41&lt;='组合输入'!$P5,"B",IF(T41&lt;='组合输入'!$Q5,"CCC","D")))))))</f>
        <v/>
      </c>
      <c r="V41" s="12">
        <f>IF(U41="","",INDEX('状态价值'!$D5:$K5,MATCH(U41,'状态价值'!$D$1:$K$1,0)))</f>
        <v/>
      </c>
      <c r="W41" s="15">
        <f>NORM.S.INV(RAND())</f>
        <v/>
      </c>
      <c r="X41" s="15">
        <f>IF('组合输入'!$C6="","",'组合输入'!$H6*$B41+SQRT(1-'组合输入'!$H6^2)*W41)</f>
        <v/>
      </c>
      <c r="Y41" s="7">
        <f>IF(X41="","",NORM.S.DIST(X41,TRUE))</f>
        <v/>
      </c>
      <c r="Z41" s="13">
        <f>IF(Y41="","",IF(Y41&lt;='组合输入'!$K6,"AAA",IF(Y41&lt;='组合输入'!$L6,"AA",IF(Y41&lt;='组合输入'!$M6,"A",IF(Y41&lt;='组合输入'!$N6,"BBB",IF(Y41&lt;='组合输入'!$O6,"BB",IF(Y41&lt;='组合输入'!$P6,"B",IF(Y41&lt;='组合输入'!$Q6,"CCC","D")))))))</f>
        <v/>
      </c>
      <c r="AA41" s="12">
        <f>IF(Z41="","",INDEX('状态价值'!$D6:$K6,MATCH(Z41,'状态价值'!$D$1:$K$1,0)))</f>
        <v/>
      </c>
      <c r="AB41" s="15">
        <f>NORM.S.INV(RAND())</f>
        <v/>
      </c>
      <c r="AC41" s="15">
        <f>IF('组合输入'!$C7="","",'组合输入'!$H7*$B41+SQRT(1-'组合输入'!$H7^2)*AB41)</f>
        <v/>
      </c>
      <c r="AD41" s="7">
        <f>IF(AC41="","",NORM.S.DIST(AC41,TRUE))</f>
        <v/>
      </c>
      <c r="AE41" s="13">
        <f>IF(AD41="","",IF(AD41&lt;='组合输入'!$K7,"AAA",IF(AD41&lt;='组合输入'!$L7,"AA",IF(AD41&lt;='组合输入'!$M7,"A",IF(AD41&lt;='组合输入'!$N7,"BBB",IF(AD41&lt;='组合输入'!$O7,"BB",IF(AD41&lt;='组合输入'!$P7,"B",IF(AD41&lt;='组合输入'!$Q7,"CCC","D")))))))</f>
        <v/>
      </c>
      <c r="AF41" s="12">
        <f>IF(AE41="","",INDEX('状态价值'!$D7:$K7,MATCH(AE41,'状态价值'!$D$1:$K$1,0)))</f>
        <v/>
      </c>
      <c r="AG41" s="15">
        <f>NORM.S.INV(RAND())</f>
        <v/>
      </c>
      <c r="AH41" s="15">
        <f>IF('组合输入'!$C8="","",'组合输入'!$H8*$B41+SQRT(1-'组合输入'!$H8^2)*AG41)</f>
        <v/>
      </c>
      <c r="AI41" s="7">
        <f>IF(AH41="","",NORM.S.DIST(AH41,TRUE))</f>
        <v/>
      </c>
      <c r="AJ41" s="13">
        <f>IF(AI41="","",IF(AI41&lt;='组合输入'!$K8,"AAA",IF(AI41&lt;='组合输入'!$L8,"AA",IF(AI41&lt;='组合输入'!$M8,"A",IF(AI41&lt;='组合输入'!$N8,"BBB",IF(AI41&lt;='组合输入'!$O8,"BB",IF(AI41&lt;='组合输入'!$P8,"B",IF(AI41&lt;='组合输入'!$Q8,"CCC","D")))))))</f>
        <v/>
      </c>
      <c r="AK41" s="12">
        <f>IF(AJ41="","",INDEX('状态价值'!$D8:$K8,MATCH(AJ41,'状态价值'!$D$1:$K$1,0)))</f>
        <v/>
      </c>
      <c r="AL41" s="15">
        <f>NORM.S.INV(RAND())</f>
        <v/>
      </c>
      <c r="AM41" s="15">
        <f>IF('组合输入'!$C9="","",'组合输入'!$H9*$B41+SQRT(1-'组合输入'!$H9^2)*AL41)</f>
        <v/>
      </c>
      <c r="AN41" s="7">
        <f>IF(AM41="","",NORM.S.DIST(AM41,TRUE))</f>
        <v/>
      </c>
      <c r="AO41" s="13">
        <f>IF(AN41="","",IF(AN41&lt;='组合输入'!$K9,"AAA",IF(AN41&lt;='组合输入'!$L9,"AA",IF(AN41&lt;='组合输入'!$M9,"A",IF(AN41&lt;='组合输入'!$N9,"BBB",IF(AN41&lt;='组合输入'!$O9,"BB",IF(AN41&lt;='组合输入'!$P9,"B",IF(AN41&lt;='组合输入'!$Q9,"CCC","D")))))))</f>
        <v/>
      </c>
      <c r="AP41" s="12">
        <f>IF(AO41="","",INDEX('状态价值'!$D9:$K9,MATCH(AO41,'状态价值'!$D$1:$K$1,0)))</f>
        <v/>
      </c>
      <c r="AQ41" s="15">
        <f>NORM.S.INV(RAND())</f>
        <v/>
      </c>
      <c r="AR41" s="15">
        <f>IF('组合输入'!$C10="","",'组合输入'!$H10*$B41+SQRT(1-'组合输入'!$H10^2)*AQ41)</f>
        <v/>
      </c>
      <c r="AS41" s="7">
        <f>IF(AR41="","",NORM.S.DIST(AR41,TRUE))</f>
        <v/>
      </c>
      <c r="AT41" s="13">
        <f>IF(AS41="","",IF(AS41&lt;='组合输入'!$K10,"AAA",IF(AS41&lt;='组合输入'!$L10,"AA",IF(AS41&lt;='组合输入'!$M10,"A",IF(AS41&lt;='组合输入'!$N10,"BBB",IF(AS41&lt;='组合输入'!$O10,"BB",IF(AS41&lt;='组合输入'!$P10,"B",IF(AS41&lt;='组合输入'!$Q10,"CCC","D")))))))</f>
        <v/>
      </c>
      <c r="AU41" s="12">
        <f>IF(AT41="","",INDEX('状态价值'!$D10:$K10,MATCH(AT41,'状态价值'!$D$1:$K$1,0)))</f>
        <v/>
      </c>
      <c r="AV41" s="15">
        <f>NORM.S.INV(RAND())</f>
        <v/>
      </c>
      <c r="AW41" s="15">
        <f>IF('组合输入'!$C11="","",'组合输入'!$H11*$B41+SQRT(1-'组合输入'!$H11^2)*AV41)</f>
        <v/>
      </c>
      <c r="AX41" s="7">
        <f>IF(AW41="","",NORM.S.DIST(AW41,TRUE))</f>
        <v/>
      </c>
      <c r="AY41" s="13">
        <f>IF(AX41="","",IF(AX41&lt;='组合输入'!$K11,"AAA",IF(AX41&lt;='组合输入'!$L11,"AA",IF(AX41&lt;='组合输入'!$M11,"A",IF(AX41&lt;='组合输入'!$N11,"BBB",IF(AX41&lt;='组合输入'!$O11,"BB",IF(AX41&lt;='组合输入'!$P11,"B",IF(AX41&lt;='组合输入'!$Q11,"CCC","D")))))))</f>
        <v/>
      </c>
      <c r="AZ41" s="12">
        <f>IF(AY41="","",INDEX('状态价值'!$D11:$K11,MATCH(AY41,'状态价值'!$D$1:$K$1,0)))</f>
        <v/>
      </c>
      <c r="BA41" s="12">
        <f>G41+L41+Q41+V41+AA41+AF41+AK41+AP41+AU41+AZ41</f>
        <v/>
      </c>
      <c r="BB41" s="12">
        <f>SUM('组合输入'!$J$2:$J$11)-BA41</f>
        <v/>
      </c>
    </row>
    <row r="42">
      <c r="A42" s="11" t="n">
        <v>41</v>
      </c>
      <c r="B42" s="14">
        <f>NORM.S.INV(RAND())</f>
        <v/>
      </c>
      <c r="C42" s="14">
        <f>NORM.S.INV(RAND())</f>
        <v/>
      </c>
      <c r="D42" s="15">
        <f>IF('组合输入'!$C2="","",'组合输入'!$H2*$B42+SQRT(1-'组合输入'!$H2^2)*C42)</f>
        <v/>
      </c>
      <c r="E42" s="7">
        <f>IF(D42="","",NORM.S.DIST(D42,TRUE))</f>
        <v/>
      </c>
      <c r="F42" s="13">
        <f>IF(E42="","",IF(E42&lt;='组合输入'!$K2,"AAA",IF(E42&lt;='组合输入'!$L2,"AA",IF(E42&lt;='组合输入'!$M2,"A",IF(E42&lt;='组合输入'!$N2,"BBB",IF(E42&lt;='组合输入'!$O2,"BB",IF(E42&lt;='组合输入'!$P2,"B",IF(E42&lt;='组合输入'!$Q2,"CCC","D")))))))</f>
        <v/>
      </c>
      <c r="G42" s="12">
        <f>IF(F42="","",INDEX('状态价值'!$D2:$K2,MATCH(F42,'状态价值'!$D$1:$K$1,0)))</f>
        <v/>
      </c>
      <c r="H42" s="15">
        <f>NORM.S.INV(RAND())</f>
        <v/>
      </c>
      <c r="I42" s="15">
        <f>IF('组合输入'!$C3="","",'组合输入'!$H3*$B42+SQRT(1-'组合输入'!$H3^2)*H42)</f>
        <v/>
      </c>
      <c r="J42" s="7">
        <f>IF(I42="","",NORM.S.DIST(I42,TRUE))</f>
        <v/>
      </c>
      <c r="K42" s="13">
        <f>IF(J42="","",IF(J42&lt;='组合输入'!$K3,"AAA",IF(J42&lt;='组合输入'!$L3,"AA",IF(J42&lt;='组合输入'!$M3,"A",IF(J42&lt;='组合输入'!$N3,"BBB",IF(J42&lt;='组合输入'!$O3,"BB",IF(J42&lt;='组合输入'!$P3,"B",IF(J42&lt;='组合输入'!$Q3,"CCC","D")))))))</f>
        <v/>
      </c>
      <c r="L42" s="12">
        <f>IF(K42="","",INDEX('状态价值'!$D3:$K3,MATCH(K42,'状态价值'!$D$1:$K$1,0)))</f>
        <v/>
      </c>
      <c r="M42" s="15">
        <f>NORM.S.INV(RAND())</f>
        <v/>
      </c>
      <c r="N42" s="15">
        <f>IF('组合输入'!$C4="","",'组合输入'!$H4*$B42+SQRT(1-'组合输入'!$H4^2)*M42)</f>
        <v/>
      </c>
      <c r="O42" s="7">
        <f>IF(N42="","",NORM.S.DIST(N42,TRUE))</f>
        <v/>
      </c>
      <c r="P42" s="13">
        <f>IF(O42="","",IF(O42&lt;='组合输入'!$K4,"AAA",IF(O42&lt;='组合输入'!$L4,"AA",IF(O42&lt;='组合输入'!$M4,"A",IF(O42&lt;='组合输入'!$N4,"BBB",IF(O42&lt;='组合输入'!$O4,"BB",IF(O42&lt;='组合输入'!$P4,"B",IF(O42&lt;='组合输入'!$Q4,"CCC","D")))))))</f>
        <v/>
      </c>
      <c r="Q42" s="12">
        <f>IF(P42="","",INDEX('状态价值'!$D4:$K4,MATCH(P42,'状态价值'!$D$1:$K$1,0)))</f>
        <v/>
      </c>
      <c r="R42" s="15">
        <f>NORM.S.INV(RAND())</f>
        <v/>
      </c>
      <c r="S42" s="15">
        <f>IF('组合输入'!$C5="","",'组合输入'!$H5*$B42+SQRT(1-'组合输入'!$H5^2)*R42)</f>
        <v/>
      </c>
      <c r="T42" s="7">
        <f>IF(S42="","",NORM.S.DIST(S42,TRUE))</f>
        <v/>
      </c>
      <c r="U42" s="13">
        <f>IF(T42="","",IF(T42&lt;='组合输入'!$K5,"AAA",IF(T42&lt;='组合输入'!$L5,"AA",IF(T42&lt;='组合输入'!$M5,"A",IF(T42&lt;='组合输入'!$N5,"BBB",IF(T42&lt;='组合输入'!$O5,"BB",IF(T42&lt;='组合输入'!$P5,"B",IF(T42&lt;='组合输入'!$Q5,"CCC","D")))))))</f>
        <v/>
      </c>
      <c r="V42" s="12">
        <f>IF(U42="","",INDEX('状态价值'!$D5:$K5,MATCH(U42,'状态价值'!$D$1:$K$1,0)))</f>
        <v/>
      </c>
      <c r="W42" s="15">
        <f>NORM.S.INV(RAND())</f>
        <v/>
      </c>
      <c r="X42" s="15">
        <f>IF('组合输入'!$C6="","",'组合输入'!$H6*$B42+SQRT(1-'组合输入'!$H6^2)*W42)</f>
        <v/>
      </c>
      <c r="Y42" s="7">
        <f>IF(X42="","",NORM.S.DIST(X42,TRUE))</f>
        <v/>
      </c>
      <c r="Z42" s="13">
        <f>IF(Y42="","",IF(Y42&lt;='组合输入'!$K6,"AAA",IF(Y42&lt;='组合输入'!$L6,"AA",IF(Y42&lt;='组合输入'!$M6,"A",IF(Y42&lt;='组合输入'!$N6,"BBB",IF(Y42&lt;='组合输入'!$O6,"BB",IF(Y42&lt;='组合输入'!$P6,"B",IF(Y42&lt;='组合输入'!$Q6,"CCC","D")))))))</f>
        <v/>
      </c>
      <c r="AA42" s="12">
        <f>IF(Z42="","",INDEX('状态价值'!$D6:$K6,MATCH(Z42,'状态价值'!$D$1:$K$1,0)))</f>
        <v/>
      </c>
      <c r="AB42" s="15">
        <f>NORM.S.INV(RAND())</f>
        <v/>
      </c>
      <c r="AC42" s="15">
        <f>IF('组合输入'!$C7="","",'组合输入'!$H7*$B42+SQRT(1-'组合输入'!$H7^2)*AB42)</f>
        <v/>
      </c>
      <c r="AD42" s="7">
        <f>IF(AC42="","",NORM.S.DIST(AC42,TRUE))</f>
        <v/>
      </c>
      <c r="AE42" s="13">
        <f>IF(AD42="","",IF(AD42&lt;='组合输入'!$K7,"AAA",IF(AD42&lt;='组合输入'!$L7,"AA",IF(AD42&lt;='组合输入'!$M7,"A",IF(AD42&lt;='组合输入'!$N7,"BBB",IF(AD42&lt;='组合输入'!$O7,"BB",IF(AD42&lt;='组合输入'!$P7,"B",IF(AD42&lt;='组合输入'!$Q7,"CCC","D")))))))</f>
        <v/>
      </c>
      <c r="AF42" s="12">
        <f>IF(AE42="","",INDEX('状态价值'!$D7:$K7,MATCH(AE42,'状态价值'!$D$1:$K$1,0)))</f>
        <v/>
      </c>
      <c r="AG42" s="15">
        <f>NORM.S.INV(RAND())</f>
        <v/>
      </c>
      <c r="AH42" s="15">
        <f>IF('组合输入'!$C8="","",'组合输入'!$H8*$B42+SQRT(1-'组合输入'!$H8^2)*AG42)</f>
        <v/>
      </c>
      <c r="AI42" s="7">
        <f>IF(AH42="","",NORM.S.DIST(AH42,TRUE))</f>
        <v/>
      </c>
      <c r="AJ42" s="13">
        <f>IF(AI42="","",IF(AI42&lt;='组合输入'!$K8,"AAA",IF(AI42&lt;='组合输入'!$L8,"AA",IF(AI42&lt;='组合输入'!$M8,"A",IF(AI42&lt;='组合输入'!$N8,"BBB",IF(AI42&lt;='组合输入'!$O8,"BB",IF(AI42&lt;='组合输入'!$P8,"B",IF(AI42&lt;='组合输入'!$Q8,"CCC","D")))))))</f>
        <v/>
      </c>
      <c r="AK42" s="12">
        <f>IF(AJ42="","",INDEX('状态价值'!$D8:$K8,MATCH(AJ42,'状态价值'!$D$1:$K$1,0)))</f>
        <v/>
      </c>
      <c r="AL42" s="15">
        <f>NORM.S.INV(RAND())</f>
        <v/>
      </c>
      <c r="AM42" s="15">
        <f>IF('组合输入'!$C9="","",'组合输入'!$H9*$B42+SQRT(1-'组合输入'!$H9^2)*AL42)</f>
        <v/>
      </c>
      <c r="AN42" s="7">
        <f>IF(AM42="","",NORM.S.DIST(AM42,TRUE))</f>
        <v/>
      </c>
      <c r="AO42" s="13">
        <f>IF(AN42="","",IF(AN42&lt;='组合输入'!$K9,"AAA",IF(AN42&lt;='组合输入'!$L9,"AA",IF(AN42&lt;='组合输入'!$M9,"A",IF(AN42&lt;='组合输入'!$N9,"BBB",IF(AN42&lt;='组合输入'!$O9,"BB",IF(AN42&lt;='组合输入'!$P9,"B",IF(AN42&lt;='组合输入'!$Q9,"CCC","D")))))))</f>
        <v/>
      </c>
      <c r="AP42" s="12">
        <f>IF(AO42="","",INDEX('状态价值'!$D9:$K9,MATCH(AO42,'状态价值'!$D$1:$K$1,0)))</f>
        <v/>
      </c>
      <c r="AQ42" s="15">
        <f>NORM.S.INV(RAND())</f>
        <v/>
      </c>
      <c r="AR42" s="15">
        <f>IF('组合输入'!$C10="","",'组合输入'!$H10*$B42+SQRT(1-'组合输入'!$H10^2)*AQ42)</f>
        <v/>
      </c>
      <c r="AS42" s="7">
        <f>IF(AR42="","",NORM.S.DIST(AR42,TRUE))</f>
        <v/>
      </c>
      <c r="AT42" s="13">
        <f>IF(AS42="","",IF(AS42&lt;='组合输入'!$K10,"AAA",IF(AS42&lt;='组合输入'!$L10,"AA",IF(AS42&lt;='组合输入'!$M10,"A",IF(AS42&lt;='组合输入'!$N10,"BBB",IF(AS42&lt;='组合输入'!$O10,"BB",IF(AS42&lt;='组合输入'!$P10,"B",IF(AS42&lt;='组合输入'!$Q10,"CCC","D")))))))</f>
        <v/>
      </c>
      <c r="AU42" s="12">
        <f>IF(AT42="","",INDEX('状态价值'!$D10:$K10,MATCH(AT42,'状态价值'!$D$1:$K$1,0)))</f>
        <v/>
      </c>
      <c r="AV42" s="15">
        <f>NORM.S.INV(RAND())</f>
        <v/>
      </c>
      <c r="AW42" s="15">
        <f>IF('组合输入'!$C11="","",'组合输入'!$H11*$B42+SQRT(1-'组合输入'!$H11^2)*AV42)</f>
        <v/>
      </c>
      <c r="AX42" s="7">
        <f>IF(AW42="","",NORM.S.DIST(AW42,TRUE))</f>
        <v/>
      </c>
      <c r="AY42" s="13">
        <f>IF(AX42="","",IF(AX42&lt;='组合输入'!$K11,"AAA",IF(AX42&lt;='组合输入'!$L11,"AA",IF(AX42&lt;='组合输入'!$M11,"A",IF(AX42&lt;='组合输入'!$N11,"BBB",IF(AX42&lt;='组合输入'!$O11,"BB",IF(AX42&lt;='组合输入'!$P11,"B",IF(AX42&lt;='组合输入'!$Q11,"CCC","D")))))))</f>
        <v/>
      </c>
      <c r="AZ42" s="12">
        <f>IF(AY42="","",INDEX('状态价值'!$D11:$K11,MATCH(AY42,'状态价值'!$D$1:$K$1,0)))</f>
        <v/>
      </c>
      <c r="BA42" s="12">
        <f>G42+L42+Q42+V42+AA42+AF42+AK42+AP42+AU42+AZ42</f>
        <v/>
      </c>
      <c r="BB42" s="12">
        <f>SUM('组合输入'!$J$2:$J$11)-BA42</f>
        <v/>
      </c>
    </row>
    <row r="43">
      <c r="A43" s="11" t="n">
        <v>42</v>
      </c>
      <c r="B43" s="14">
        <f>NORM.S.INV(RAND())</f>
        <v/>
      </c>
      <c r="C43" s="14">
        <f>NORM.S.INV(RAND())</f>
        <v/>
      </c>
      <c r="D43" s="15">
        <f>IF('组合输入'!$C2="","",'组合输入'!$H2*$B43+SQRT(1-'组合输入'!$H2^2)*C43)</f>
        <v/>
      </c>
      <c r="E43" s="7">
        <f>IF(D43="","",NORM.S.DIST(D43,TRUE))</f>
        <v/>
      </c>
      <c r="F43" s="13">
        <f>IF(E43="","",IF(E43&lt;='组合输入'!$K2,"AAA",IF(E43&lt;='组合输入'!$L2,"AA",IF(E43&lt;='组合输入'!$M2,"A",IF(E43&lt;='组合输入'!$N2,"BBB",IF(E43&lt;='组合输入'!$O2,"BB",IF(E43&lt;='组合输入'!$P2,"B",IF(E43&lt;='组合输入'!$Q2,"CCC","D")))))))</f>
        <v/>
      </c>
      <c r="G43" s="12">
        <f>IF(F43="","",INDEX('状态价值'!$D2:$K2,MATCH(F43,'状态价值'!$D$1:$K$1,0)))</f>
        <v/>
      </c>
      <c r="H43" s="15">
        <f>NORM.S.INV(RAND())</f>
        <v/>
      </c>
      <c r="I43" s="15">
        <f>IF('组合输入'!$C3="","",'组合输入'!$H3*$B43+SQRT(1-'组合输入'!$H3^2)*H43)</f>
        <v/>
      </c>
      <c r="J43" s="7">
        <f>IF(I43="","",NORM.S.DIST(I43,TRUE))</f>
        <v/>
      </c>
      <c r="K43" s="13">
        <f>IF(J43="","",IF(J43&lt;='组合输入'!$K3,"AAA",IF(J43&lt;='组合输入'!$L3,"AA",IF(J43&lt;='组合输入'!$M3,"A",IF(J43&lt;='组合输入'!$N3,"BBB",IF(J43&lt;='组合输入'!$O3,"BB",IF(J43&lt;='组合输入'!$P3,"B",IF(J43&lt;='组合输入'!$Q3,"CCC","D")))))))</f>
        <v/>
      </c>
      <c r="L43" s="12">
        <f>IF(K43="","",INDEX('状态价值'!$D3:$K3,MATCH(K43,'状态价值'!$D$1:$K$1,0)))</f>
        <v/>
      </c>
      <c r="M43" s="15">
        <f>NORM.S.INV(RAND())</f>
        <v/>
      </c>
      <c r="N43" s="15">
        <f>IF('组合输入'!$C4="","",'组合输入'!$H4*$B43+SQRT(1-'组合输入'!$H4^2)*M43)</f>
        <v/>
      </c>
      <c r="O43" s="7">
        <f>IF(N43="","",NORM.S.DIST(N43,TRUE))</f>
        <v/>
      </c>
      <c r="P43" s="13">
        <f>IF(O43="","",IF(O43&lt;='组合输入'!$K4,"AAA",IF(O43&lt;='组合输入'!$L4,"AA",IF(O43&lt;='组合输入'!$M4,"A",IF(O43&lt;='组合输入'!$N4,"BBB",IF(O43&lt;='组合输入'!$O4,"BB",IF(O43&lt;='组合输入'!$P4,"B",IF(O43&lt;='组合输入'!$Q4,"CCC","D")))))))</f>
        <v/>
      </c>
      <c r="Q43" s="12">
        <f>IF(P43="","",INDEX('状态价值'!$D4:$K4,MATCH(P43,'状态价值'!$D$1:$K$1,0)))</f>
        <v/>
      </c>
      <c r="R43" s="15">
        <f>NORM.S.INV(RAND())</f>
        <v/>
      </c>
      <c r="S43" s="15">
        <f>IF('组合输入'!$C5="","",'组合输入'!$H5*$B43+SQRT(1-'组合输入'!$H5^2)*R43)</f>
        <v/>
      </c>
      <c r="T43" s="7">
        <f>IF(S43="","",NORM.S.DIST(S43,TRUE))</f>
        <v/>
      </c>
      <c r="U43" s="13">
        <f>IF(T43="","",IF(T43&lt;='组合输入'!$K5,"AAA",IF(T43&lt;='组合输入'!$L5,"AA",IF(T43&lt;='组合输入'!$M5,"A",IF(T43&lt;='组合输入'!$N5,"BBB",IF(T43&lt;='组合输入'!$O5,"BB",IF(T43&lt;='组合输入'!$P5,"B",IF(T43&lt;='组合输入'!$Q5,"CCC","D")))))))</f>
        <v/>
      </c>
      <c r="V43" s="12">
        <f>IF(U43="","",INDEX('状态价值'!$D5:$K5,MATCH(U43,'状态价值'!$D$1:$K$1,0)))</f>
        <v/>
      </c>
      <c r="W43" s="15">
        <f>NORM.S.INV(RAND())</f>
        <v/>
      </c>
      <c r="X43" s="15">
        <f>IF('组合输入'!$C6="","",'组合输入'!$H6*$B43+SQRT(1-'组合输入'!$H6^2)*W43)</f>
        <v/>
      </c>
      <c r="Y43" s="7">
        <f>IF(X43="","",NORM.S.DIST(X43,TRUE))</f>
        <v/>
      </c>
      <c r="Z43" s="13">
        <f>IF(Y43="","",IF(Y43&lt;='组合输入'!$K6,"AAA",IF(Y43&lt;='组合输入'!$L6,"AA",IF(Y43&lt;='组合输入'!$M6,"A",IF(Y43&lt;='组合输入'!$N6,"BBB",IF(Y43&lt;='组合输入'!$O6,"BB",IF(Y43&lt;='组合输入'!$P6,"B",IF(Y43&lt;='组合输入'!$Q6,"CCC","D")))))))</f>
        <v/>
      </c>
      <c r="AA43" s="12">
        <f>IF(Z43="","",INDEX('状态价值'!$D6:$K6,MATCH(Z43,'状态价值'!$D$1:$K$1,0)))</f>
        <v/>
      </c>
      <c r="AB43" s="15">
        <f>NORM.S.INV(RAND())</f>
        <v/>
      </c>
      <c r="AC43" s="15">
        <f>IF('组合输入'!$C7="","",'组合输入'!$H7*$B43+SQRT(1-'组合输入'!$H7^2)*AB43)</f>
        <v/>
      </c>
      <c r="AD43" s="7">
        <f>IF(AC43="","",NORM.S.DIST(AC43,TRUE))</f>
        <v/>
      </c>
      <c r="AE43" s="13">
        <f>IF(AD43="","",IF(AD43&lt;='组合输入'!$K7,"AAA",IF(AD43&lt;='组合输入'!$L7,"AA",IF(AD43&lt;='组合输入'!$M7,"A",IF(AD43&lt;='组合输入'!$N7,"BBB",IF(AD43&lt;='组合输入'!$O7,"BB",IF(AD43&lt;='组合输入'!$P7,"B",IF(AD43&lt;='组合输入'!$Q7,"CCC","D")))))))</f>
        <v/>
      </c>
      <c r="AF43" s="12">
        <f>IF(AE43="","",INDEX('状态价值'!$D7:$K7,MATCH(AE43,'状态价值'!$D$1:$K$1,0)))</f>
        <v/>
      </c>
      <c r="AG43" s="15">
        <f>NORM.S.INV(RAND())</f>
        <v/>
      </c>
      <c r="AH43" s="15">
        <f>IF('组合输入'!$C8="","",'组合输入'!$H8*$B43+SQRT(1-'组合输入'!$H8^2)*AG43)</f>
        <v/>
      </c>
      <c r="AI43" s="7">
        <f>IF(AH43="","",NORM.S.DIST(AH43,TRUE))</f>
        <v/>
      </c>
      <c r="AJ43" s="13">
        <f>IF(AI43="","",IF(AI43&lt;='组合输入'!$K8,"AAA",IF(AI43&lt;='组合输入'!$L8,"AA",IF(AI43&lt;='组合输入'!$M8,"A",IF(AI43&lt;='组合输入'!$N8,"BBB",IF(AI43&lt;='组合输入'!$O8,"BB",IF(AI43&lt;='组合输入'!$P8,"B",IF(AI43&lt;='组合输入'!$Q8,"CCC","D")))))))</f>
        <v/>
      </c>
      <c r="AK43" s="12">
        <f>IF(AJ43="","",INDEX('状态价值'!$D8:$K8,MATCH(AJ43,'状态价值'!$D$1:$K$1,0)))</f>
        <v/>
      </c>
      <c r="AL43" s="15">
        <f>NORM.S.INV(RAND())</f>
        <v/>
      </c>
      <c r="AM43" s="15">
        <f>IF('组合输入'!$C9="","",'组合输入'!$H9*$B43+SQRT(1-'组合输入'!$H9^2)*AL43)</f>
        <v/>
      </c>
      <c r="AN43" s="7">
        <f>IF(AM43="","",NORM.S.DIST(AM43,TRUE))</f>
        <v/>
      </c>
      <c r="AO43" s="13">
        <f>IF(AN43="","",IF(AN43&lt;='组合输入'!$K9,"AAA",IF(AN43&lt;='组合输入'!$L9,"AA",IF(AN43&lt;='组合输入'!$M9,"A",IF(AN43&lt;='组合输入'!$N9,"BBB",IF(AN43&lt;='组合输入'!$O9,"BB",IF(AN43&lt;='组合输入'!$P9,"B",IF(AN43&lt;='组合输入'!$Q9,"CCC","D")))))))</f>
        <v/>
      </c>
      <c r="AP43" s="12">
        <f>IF(AO43="","",INDEX('状态价值'!$D9:$K9,MATCH(AO43,'状态价值'!$D$1:$K$1,0)))</f>
        <v/>
      </c>
      <c r="AQ43" s="15">
        <f>NORM.S.INV(RAND())</f>
        <v/>
      </c>
      <c r="AR43" s="15">
        <f>IF('组合输入'!$C10="","",'组合输入'!$H10*$B43+SQRT(1-'组合输入'!$H10^2)*AQ43)</f>
        <v/>
      </c>
      <c r="AS43" s="7">
        <f>IF(AR43="","",NORM.S.DIST(AR43,TRUE))</f>
        <v/>
      </c>
      <c r="AT43" s="13">
        <f>IF(AS43="","",IF(AS43&lt;='组合输入'!$K10,"AAA",IF(AS43&lt;='组合输入'!$L10,"AA",IF(AS43&lt;='组合输入'!$M10,"A",IF(AS43&lt;='组合输入'!$N10,"BBB",IF(AS43&lt;='组合输入'!$O10,"BB",IF(AS43&lt;='组合输入'!$P10,"B",IF(AS43&lt;='组合输入'!$Q10,"CCC","D")))))))</f>
        <v/>
      </c>
      <c r="AU43" s="12">
        <f>IF(AT43="","",INDEX('状态价值'!$D10:$K10,MATCH(AT43,'状态价值'!$D$1:$K$1,0)))</f>
        <v/>
      </c>
      <c r="AV43" s="15">
        <f>NORM.S.INV(RAND())</f>
        <v/>
      </c>
      <c r="AW43" s="15">
        <f>IF('组合输入'!$C11="","",'组合输入'!$H11*$B43+SQRT(1-'组合输入'!$H11^2)*AV43)</f>
        <v/>
      </c>
      <c r="AX43" s="7">
        <f>IF(AW43="","",NORM.S.DIST(AW43,TRUE))</f>
        <v/>
      </c>
      <c r="AY43" s="13">
        <f>IF(AX43="","",IF(AX43&lt;='组合输入'!$K11,"AAA",IF(AX43&lt;='组合输入'!$L11,"AA",IF(AX43&lt;='组合输入'!$M11,"A",IF(AX43&lt;='组合输入'!$N11,"BBB",IF(AX43&lt;='组合输入'!$O11,"BB",IF(AX43&lt;='组合输入'!$P11,"B",IF(AX43&lt;='组合输入'!$Q11,"CCC","D")))))))</f>
        <v/>
      </c>
      <c r="AZ43" s="12">
        <f>IF(AY43="","",INDEX('状态价值'!$D11:$K11,MATCH(AY43,'状态价值'!$D$1:$K$1,0)))</f>
        <v/>
      </c>
      <c r="BA43" s="12">
        <f>G43+L43+Q43+V43+AA43+AF43+AK43+AP43+AU43+AZ43</f>
        <v/>
      </c>
      <c r="BB43" s="12">
        <f>SUM('组合输入'!$J$2:$J$11)-BA43</f>
        <v/>
      </c>
    </row>
    <row r="44">
      <c r="A44" s="11" t="n">
        <v>43</v>
      </c>
      <c r="B44" s="14">
        <f>NORM.S.INV(RAND())</f>
        <v/>
      </c>
      <c r="C44" s="14">
        <f>NORM.S.INV(RAND())</f>
        <v/>
      </c>
      <c r="D44" s="15">
        <f>IF('组合输入'!$C2="","",'组合输入'!$H2*$B44+SQRT(1-'组合输入'!$H2^2)*C44)</f>
        <v/>
      </c>
      <c r="E44" s="7">
        <f>IF(D44="","",NORM.S.DIST(D44,TRUE))</f>
        <v/>
      </c>
      <c r="F44" s="13">
        <f>IF(E44="","",IF(E44&lt;='组合输入'!$K2,"AAA",IF(E44&lt;='组合输入'!$L2,"AA",IF(E44&lt;='组合输入'!$M2,"A",IF(E44&lt;='组合输入'!$N2,"BBB",IF(E44&lt;='组合输入'!$O2,"BB",IF(E44&lt;='组合输入'!$P2,"B",IF(E44&lt;='组合输入'!$Q2,"CCC","D")))))))</f>
        <v/>
      </c>
      <c r="G44" s="12">
        <f>IF(F44="","",INDEX('状态价值'!$D2:$K2,MATCH(F44,'状态价值'!$D$1:$K$1,0)))</f>
        <v/>
      </c>
      <c r="H44" s="15">
        <f>NORM.S.INV(RAND())</f>
        <v/>
      </c>
      <c r="I44" s="15">
        <f>IF('组合输入'!$C3="","",'组合输入'!$H3*$B44+SQRT(1-'组合输入'!$H3^2)*H44)</f>
        <v/>
      </c>
      <c r="J44" s="7">
        <f>IF(I44="","",NORM.S.DIST(I44,TRUE))</f>
        <v/>
      </c>
      <c r="K44" s="13">
        <f>IF(J44="","",IF(J44&lt;='组合输入'!$K3,"AAA",IF(J44&lt;='组合输入'!$L3,"AA",IF(J44&lt;='组合输入'!$M3,"A",IF(J44&lt;='组合输入'!$N3,"BBB",IF(J44&lt;='组合输入'!$O3,"BB",IF(J44&lt;='组合输入'!$P3,"B",IF(J44&lt;='组合输入'!$Q3,"CCC","D")))))))</f>
        <v/>
      </c>
      <c r="L44" s="12">
        <f>IF(K44="","",INDEX('状态价值'!$D3:$K3,MATCH(K44,'状态价值'!$D$1:$K$1,0)))</f>
        <v/>
      </c>
      <c r="M44" s="15">
        <f>NORM.S.INV(RAND())</f>
        <v/>
      </c>
      <c r="N44" s="15">
        <f>IF('组合输入'!$C4="","",'组合输入'!$H4*$B44+SQRT(1-'组合输入'!$H4^2)*M44)</f>
        <v/>
      </c>
      <c r="O44" s="7">
        <f>IF(N44="","",NORM.S.DIST(N44,TRUE))</f>
        <v/>
      </c>
      <c r="P44" s="13">
        <f>IF(O44="","",IF(O44&lt;='组合输入'!$K4,"AAA",IF(O44&lt;='组合输入'!$L4,"AA",IF(O44&lt;='组合输入'!$M4,"A",IF(O44&lt;='组合输入'!$N4,"BBB",IF(O44&lt;='组合输入'!$O4,"BB",IF(O44&lt;='组合输入'!$P4,"B",IF(O44&lt;='组合输入'!$Q4,"CCC","D")))))))</f>
        <v/>
      </c>
      <c r="Q44" s="12">
        <f>IF(P44="","",INDEX('状态价值'!$D4:$K4,MATCH(P44,'状态价值'!$D$1:$K$1,0)))</f>
        <v/>
      </c>
      <c r="R44" s="15">
        <f>NORM.S.INV(RAND())</f>
        <v/>
      </c>
      <c r="S44" s="15">
        <f>IF('组合输入'!$C5="","",'组合输入'!$H5*$B44+SQRT(1-'组合输入'!$H5^2)*R44)</f>
        <v/>
      </c>
      <c r="T44" s="7">
        <f>IF(S44="","",NORM.S.DIST(S44,TRUE))</f>
        <v/>
      </c>
      <c r="U44" s="13">
        <f>IF(T44="","",IF(T44&lt;='组合输入'!$K5,"AAA",IF(T44&lt;='组合输入'!$L5,"AA",IF(T44&lt;='组合输入'!$M5,"A",IF(T44&lt;='组合输入'!$N5,"BBB",IF(T44&lt;='组合输入'!$O5,"BB",IF(T44&lt;='组合输入'!$P5,"B",IF(T44&lt;='组合输入'!$Q5,"CCC","D")))))))</f>
        <v/>
      </c>
      <c r="V44" s="12">
        <f>IF(U44="","",INDEX('状态价值'!$D5:$K5,MATCH(U44,'状态价值'!$D$1:$K$1,0)))</f>
        <v/>
      </c>
      <c r="W44" s="15">
        <f>NORM.S.INV(RAND())</f>
        <v/>
      </c>
      <c r="X44" s="15">
        <f>IF('组合输入'!$C6="","",'组合输入'!$H6*$B44+SQRT(1-'组合输入'!$H6^2)*W44)</f>
        <v/>
      </c>
      <c r="Y44" s="7">
        <f>IF(X44="","",NORM.S.DIST(X44,TRUE))</f>
        <v/>
      </c>
      <c r="Z44" s="13">
        <f>IF(Y44="","",IF(Y44&lt;='组合输入'!$K6,"AAA",IF(Y44&lt;='组合输入'!$L6,"AA",IF(Y44&lt;='组合输入'!$M6,"A",IF(Y44&lt;='组合输入'!$N6,"BBB",IF(Y44&lt;='组合输入'!$O6,"BB",IF(Y44&lt;='组合输入'!$P6,"B",IF(Y44&lt;='组合输入'!$Q6,"CCC","D")))))))</f>
        <v/>
      </c>
      <c r="AA44" s="12">
        <f>IF(Z44="","",INDEX('状态价值'!$D6:$K6,MATCH(Z44,'状态价值'!$D$1:$K$1,0)))</f>
        <v/>
      </c>
      <c r="AB44" s="15">
        <f>NORM.S.INV(RAND())</f>
        <v/>
      </c>
      <c r="AC44" s="15">
        <f>IF('组合输入'!$C7="","",'组合输入'!$H7*$B44+SQRT(1-'组合输入'!$H7^2)*AB44)</f>
        <v/>
      </c>
      <c r="AD44" s="7">
        <f>IF(AC44="","",NORM.S.DIST(AC44,TRUE))</f>
        <v/>
      </c>
      <c r="AE44" s="13">
        <f>IF(AD44="","",IF(AD44&lt;='组合输入'!$K7,"AAA",IF(AD44&lt;='组合输入'!$L7,"AA",IF(AD44&lt;='组合输入'!$M7,"A",IF(AD44&lt;='组合输入'!$N7,"BBB",IF(AD44&lt;='组合输入'!$O7,"BB",IF(AD44&lt;='组合输入'!$P7,"B",IF(AD44&lt;='组合输入'!$Q7,"CCC","D")))))))</f>
        <v/>
      </c>
      <c r="AF44" s="12">
        <f>IF(AE44="","",INDEX('状态价值'!$D7:$K7,MATCH(AE44,'状态价值'!$D$1:$K$1,0)))</f>
        <v/>
      </c>
      <c r="AG44" s="15">
        <f>NORM.S.INV(RAND())</f>
        <v/>
      </c>
      <c r="AH44" s="15">
        <f>IF('组合输入'!$C8="","",'组合输入'!$H8*$B44+SQRT(1-'组合输入'!$H8^2)*AG44)</f>
        <v/>
      </c>
      <c r="AI44" s="7">
        <f>IF(AH44="","",NORM.S.DIST(AH44,TRUE))</f>
        <v/>
      </c>
      <c r="AJ44" s="13">
        <f>IF(AI44="","",IF(AI44&lt;='组合输入'!$K8,"AAA",IF(AI44&lt;='组合输入'!$L8,"AA",IF(AI44&lt;='组合输入'!$M8,"A",IF(AI44&lt;='组合输入'!$N8,"BBB",IF(AI44&lt;='组合输入'!$O8,"BB",IF(AI44&lt;='组合输入'!$P8,"B",IF(AI44&lt;='组合输入'!$Q8,"CCC","D")))))))</f>
        <v/>
      </c>
      <c r="AK44" s="12">
        <f>IF(AJ44="","",INDEX('状态价值'!$D8:$K8,MATCH(AJ44,'状态价值'!$D$1:$K$1,0)))</f>
        <v/>
      </c>
      <c r="AL44" s="15">
        <f>NORM.S.INV(RAND())</f>
        <v/>
      </c>
      <c r="AM44" s="15">
        <f>IF('组合输入'!$C9="","",'组合输入'!$H9*$B44+SQRT(1-'组合输入'!$H9^2)*AL44)</f>
        <v/>
      </c>
      <c r="AN44" s="7">
        <f>IF(AM44="","",NORM.S.DIST(AM44,TRUE))</f>
        <v/>
      </c>
      <c r="AO44" s="13">
        <f>IF(AN44="","",IF(AN44&lt;='组合输入'!$K9,"AAA",IF(AN44&lt;='组合输入'!$L9,"AA",IF(AN44&lt;='组合输入'!$M9,"A",IF(AN44&lt;='组合输入'!$N9,"BBB",IF(AN44&lt;='组合输入'!$O9,"BB",IF(AN44&lt;='组合输入'!$P9,"B",IF(AN44&lt;='组合输入'!$Q9,"CCC","D")))))))</f>
        <v/>
      </c>
      <c r="AP44" s="12">
        <f>IF(AO44="","",INDEX('状态价值'!$D9:$K9,MATCH(AO44,'状态价值'!$D$1:$K$1,0)))</f>
        <v/>
      </c>
      <c r="AQ44" s="15">
        <f>NORM.S.INV(RAND())</f>
        <v/>
      </c>
      <c r="AR44" s="15">
        <f>IF('组合输入'!$C10="","",'组合输入'!$H10*$B44+SQRT(1-'组合输入'!$H10^2)*AQ44)</f>
        <v/>
      </c>
      <c r="AS44" s="7">
        <f>IF(AR44="","",NORM.S.DIST(AR44,TRUE))</f>
        <v/>
      </c>
      <c r="AT44" s="13">
        <f>IF(AS44="","",IF(AS44&lt;='组合输入'!$K10,"AAA",IF(AS44&lt;='组合输入'!$L10,"AA",IF(AS44&lt;='组合输入'!$M10,"A",IF(AS44&lt;='组合输入'!$N10,"BBB",IF(AS44&lt;='组合输入'!$O10,"BB",IF(AS44&lt;='组合输入'!$P10,"B",IF(AS44&lt;='组合输入'!$Q10,"CCC","D")))))))</f>
        <v/>
      </c>
      <c r="AU44" s="12">
        <f>IF(AT44="","",INDEX('状态价值'!$D10:$K10,MATCH(AT44,'状态价值'!$D$1:$K$1,0)))</f>
        <v/>
      </c>
      <c r="AV44" s="15">
        <f>NORM.S.INV(RAND())</f>
        <v/>
      </c>
      <c r="AW44" s="15">
        <f>IF('组合输入'!$C11="","",'组合输入'!$H11*$B44+SQRT(1-'组合输入'!$H11^2)*AV44)</f>
        <v/>
      </c>
      <c r="AX44" s="7">
        <f>IF(AW44="","",NORM.S.DIST(AW44,TRUE))</f>
        <v/>
      </c>
      <c r="AY44" s="13">
        <f>IF(AX44="","",IF(AX44&lt;='组合输入'!$K11,"AAA",IF(AX44&lt;='组合输入'!$L11,"AA",IF(AX44&lt;='组合输入'!$M11,"A",IF(AX44&lt;='组合输入'!$N11,"BBB",IF(AX44&lt;='组合输入'!$O11,"BB",IF(AX44&lt;='组合输入'!$P11,"B",IF(AX44&lt;='组合输入'!$Q11,"CCC","D")))))))</f>
        <v/>
      </c>
      <c r="AZ44" s="12">
        <f>IF(AY44="","",INDEX('状态价值'!$D11:$K11,MATCH(AY44,'状态价值'!$D$1:$K$1,0)))</f>
        <v/>
      </c>
      <c r="BA44" s="12">
        <f>G44+L44+Q44+V44+AA44+AF44+AK44+AP44+AU44+AZ44</f>
        <v/>
      </c>
      <c r="BB44" s="12">
        <f>SUM('组合输入'!$J$2:$J$11)-BA44</f>
        <v/>
      </c>
    </row>
    <row r="45">
      <c r="A45" s="11" t="n">
        <v>44</v>
      </c>
      <c r="B45" s="14">
        <f>NORM.S.INV(RAND())</f>
        <v/>
      </c>
      <c r="C45" s="14">
        <f>NORM.S.INV(RAND())</f>
        <v/>
      </c>
      <c r="D45" s="15">
        <f>IF('组合输入'!$C2="","",'组合输入'!$H2*$B45+SQRT(1-'组合输入'!$H2^2)*C45)</f>
        <v/>
      </c>
      <c r="E45" s="7">
        <f>IF(D45="","",NORM.S.DIST(D45,TRUE))</f>
        <v/>
      </c>
      <c r="F45" s="13">
        <f>IF(E45="","",IF(E45&lt;='组合输入'!$K2,"AAA",IF(E45&lt;='组合输入'!$L2,"AA",IF(E45&lt;='组合输入'!$M2,"A",IF(E45&lt;='组合输入'!$N2,"BBB",IF(E45&lt;='组合输入'!$O2,"BB",IF(E45&lt;='组合输入'!$P2,"B",IF(E45&lt;='组合输入'!$Q2,"CCC","D")))))))</f>
        <v/>
      </c>
      <c r="G45" s="12">
        <f>IF(F45="","",INDEX('状态价值'!$D2:$K2,MATCH(F45,'状态价值'!$D$1:$K$1,0)))</f>
        <v/>
      </c>
      <c r="H45" s="15">
        <f>NORM.S.INV(RAND())</f>
        <v/>
      </c>
      <c r="I45" s="15">
        <f>IF('组合输入'!$C3="","",'组合输入'!$H3*$B45+SQRT(1-'组合输入'!$H3^2)*H45)</f>
        <v/>
      </c>
      <c r="J45" s="7">
        <f>IF(I45="","",NORM.S.DIST(I45,TRUE))</f>
        <v/>
      </c>
      <c r="K45" s="13">
        <f>IF(J45="","",IF(J45&lt;='组合输入'!$K3,"AAA",IF(J45&lt;='组合输入'!$L3,"AA",IF(J45&lt;='组合输入'!$M3,"A",IF(J45&lt;='组合输入'!$N3,"BBB",IF(J45&lt;='组合输入'!$O3,"BB",IF(J45&lt;='组合输入'!$P3,"B",IF(J45&lt;='组合输入'!$Q3,"CCC","D")))))))</f>
        <v/>
      </c>
      <c r="L45" s="12">
        <f>IF(K45="","",INDEX('状态价值'!$D3:$K3,MATCH(K45,'状态价值'!$D$1:$K$1,0)))</f>
        <v/>
      </c>
      <c r="M45" s="15">
        <f>NORM.S.INV(RAND())</f>
        <v/>
      </c>
      <c r="N45" s="15">
        <f>IF('组合输入'!$C4="","",'组合输入'!$H4*$B45+SQRT(1-'组合输入'!$H4^2)*M45)</f>
        <v/>
      </c>
      <c r="O45" s="7">
        <f>IF(N45="","",NORM.S.DIST(N45,TRUE))</f>
        <v/>
      </c>
      <c r="P45" s="13">
        <f>IF(O45="","",IF(O45&lt;='组合输入'!$K4,"AAA",IF(O45&lt;='组合输入'!$L4,"AA",IF(O45&lt;='组合输入'!$M4,"A",IF(O45&lt;='组合输入'!$N4,"BBB",IF(O45&lt;='组合输入'!$O4,"BB",IF(O45&lt;='组合输入'!$P4,"B",IF(O45&lt;='组合输入'!$Q4,"CCC","D")))))))</f>
        <v/>
      </c>
      <c r="Q45" s="12">
        <f>IF(P45="","",INDEX('状态价值'!$D4:$K4,MATCH(P45,'状态价值'!$D$1:$K$1,0)))</f>
        <v/>
      </c>
      <c r="R45" s="15">
        <f>NORM.S.INV(RAND())</f>
        <v/>
      </c>
      <c r="S45" s="15">
        <f>IF('组合输入'!$C5="","",'组合输入'!$H5*$B45+SQRT(1-'组合输入'!$H5^2)*R45)</f>
        <v/>
      </c>
      <c r="T45" s="7">
        <f>IF(S45="","",NORM.S.DIST(S45,TRUE))</f>
        <v/>
      </c>
      <c r="U45" s="13">
        <f>IF(T45="","",IF(T45&lt;='组合输入'!$K5,"AAA",IF(T45&lt;='组合输入'!$L5,"AA",IF(T45&lt;='组合输入'!$M5,"A",IF(T45&lt;='组合输入'!$N5,"BBB",IF(T45&lt;='组合输入'!$O5,"BB",IF(T45&lt;='组合输入'!$P5,"B",IF(T45&lt;='组合输入'!$Q5,"CCC","D")))))))</f>
        <v/>
      </c>
      <c r="V45" s="12">
        <f>IF(U45="","",INDEX('状态价值'!$D5:$K5,MATCH(U45,'状态价值'!$D$1:$K$1,0)))</f>
        <v/>
      </c>
      <c r="W45" s="15">
        <f>NORM.S.INV(RAND())</f>
        <v/>
      </c>
      <c r="X45" s="15">
        <f>IF('组合输入'!$C6="","",'组合输入'!$H6*$B45+SQRT(1-'组合输入'!$H6^2)*W45)</f>
        <v/>
      </c>
      <c r="Y45" s="7">
        <f>IF(X45="","",NORM.S.DIST(X45,TRUE))</f>
        <v/>
      </c>
      <c r="Z45" s="13">
        <f>IF(Y45="","",IF(Y45&lt;='组合输入'!$K6,"AAA",IF(Y45&lt;='组合输入'!$L6,"AA",IF(Y45&lt;='组合输入'!$M6,"A",IF(Y45&lt;='组合输入'!$N6,"BBB",IF(Y45&lt;='组合输入'!$O6,"BB",IF(Y45&lt;='组合输入'!$P6,"B",IF(Y45&lt;='组合输入'!$Q6,"CCC","D")))))))</f>
        <v/>
      </c>
      <c r="AA45" s="12">
        <f>IF(Z45="","",INDEX('状态价值'!$D6:$K6,MATCH(Z45,'状态价值'!$D$1:$K$1,0)))</f>
        <v/>
      </c>
      <c r="AB45" s="15">
        <f>NORM.S.INV(RAND())</f>
        <v/>
      </c>
      <c r="AC45" s="15">
        <f>IF('组合输入'!$C7="","",'组合输入'!$H7*$B45+SQRT(1-'组合输入'!$H7^2)*AB45)</f>
        <v/>
      </c>
      <c r="AD45" s="7">
        <f>IF(AC45="","",NORM.S.DIST(AC45,TRUE))</f>
        <v/>
      </c>
      <c r="AE45" s="13">
        <f>IF(AD45="","",IF(AD45&lt;='组合输入'!$K7,"AAA",IF(AD45&lt;='组合输入'!$L7,"AA",IF(AD45&lt;='组合输入'!$M7,"A",IF(AD45&lt;='组合输入'!$N7,"BBB",IF(AD45&lt;='组合输入'!$O7,"BB",IF(AD45&lt;='组合输入'!$P7,"B",IF(AD45&lt;='组合输入'!$Q7,"CCC","D")))))))</f>
        <v/>
      </c>
      <c r="AF45" s="12">
        <f>IF(AE45="","",INDEX('状态价值'!$D7:$K7,MATCH(AE45,'状态价值'!$D$1:$K$1,0)))</f>
        <v/>
      </c>
      <c r="AG45" s="15">
        <f>NORM.S.INV(RAND())</f>
        <v/>
      </c>
      <c r="AH45" s="15">
        <f>IF('组合输入'!$C8="","",'组合输入'!$H8*$B45+SQRT(1-'组合输入'!$H8^2)*AG45)</f>
        <v/>
      </c>
      <c r="AI45" s="7">
        <f>IF(AH45="","",NORM.S.DIST(AH45,TRUE))</f>
        <v/>
      </c>
      <c r="AJ45" s="13">
        <f>IF(AI45="","",IF(AI45&lt;='组合输入'!$K8,"AAA",IF(AI45&lt;='组合输入'!$L8,"AA",IF(AI45&lt;='组合输入'!$M8,"A",IF(AI45&lt;='组合输入'!$N8,"BBB",IF(AI45&lt;='组合输入'!$O8,"BB",IF(AI45&lt;='组合输入'!$P8,"B",IF(AI45&lt;='组合输入'!$Q8,"CCC","D")))))))</f>
        <v/>
      </c>
      <c r="AK45" s="12">
        <f>IF(AJ45="","",INDEX('状态价值'!$D8:$K8,MATCH(AJ45,'状态价值'!$D$1:$K$1,0)))</f>
        <v/>
      </c>
      <c r="AL45" s="15">
        <f>NORM.S.INV(RAND())</f>
        <v/>
      </c>
      <c r="AM45" s="15">
        <f>IF('组合输入'!$C9="","",'组合输入'!$H9*$B45+SQRT(1-'组合输入'!$H9^2)*AL45)</f>
        <v/>
      </c>
      <c r="AN45" s="7">
        <f>IF(AM45="","",NORM.S.DIST(AM45,TRUE))</f>
        <v/>
      </c>
      <c r="AO45" s="13">
        <f>IF(AN45="","",IF(AN45&lt;='组合输入'!$K9,"AAA",IF(AN45&lt;='组合输入'!$L9,"AA",IF(AN45&lt;='组合输入'!$M9,"A",IF(AN45&lt;='组合输入'!$N9,"BBB",IF(AN45&lt;='组合输入'!$O9,"BB",IF(AN45&lt;='组合输入'!$P9,"B",IF(AN45&lt;='组合输入'!$Q9,"CCC","D")))))))</f>
        <v/>
      </c>
      <c r="AP45" s="12">
        <f>IF(AO45="","",INDEX('状态价值'!$D9:$K9,MATCH(AO45,'状态价值'!$D$1:$K$1,0)))</f>
        <v/>
      </c>
      <c r="AQ45" s="15">
        <f>NORM.S.INV(RAND())</f>
        <v/>
      </c>
      <c r="AR45" s="15">
        <f>IF('组合输入'!$C10="","",'组合输入'!$H10*$B45+SQRT(1-'组合输入'!$H10^2)*AQ45)</f>
        <v/>
      </c>
      <c r="AS45" s="7">
        <f>IF(AR45="","",NORM.S.DIST(AR45,TRUE))</f>
        <v/>
      </c>
      <c r="AT45" s="13">
        <f>IF(AS45="","",IF(AS45&lt;='组合输入'!$K10,"AAA",IF(AS45&lt;='组合输入'!$L10,"AA",IF(AS45&lt;='组合输入'!$M10,"A",IF(AS45&lt;='组合输入'!$N10,"BBB",IF(AS45&lt;='组合输入'!$O10,"BB",IF(AS45&lt;='组合输入'!$P10,"B",IF(AS45&lt;='组合输入'!$Q10,"CCC","D")))))))</f>
        <v/>
      </c>
      <c r="AU45" s="12">
        <f>IF(AT45="","",INDEX('状态价值'!$D10:$K10,MATCH(AT45,'状态价值'!$D$1:$K$1,0)))</f>
        <v/>
      </c>
      <c r="AV45" s="15">
        <f>NORM.S.INV(RAND())</f>
        <v/>
      </c>
      <c r="AW45" s="15">
        <f>IF('组合输入'!$C11="","",'组合输入'!$H11*$B45+SQRT(1-'组合输入'!$H11^2)*AV45)</f>
        <v/>
      </c>
      <c r="AX45" s="7">
        <f>IF(AW45="","",NORM.S.DIST(AW45,TRUE))</f>
        <v/>
      </c>
      <c r="AY45" s="13">
        <f>IF(AX45="","",IF(AX45&lt;='组合输入'!$K11,"AAA",IF(AX45&lt;='组合输入'!$L11,"AA",IF(AX45&lt;='组合输入'!$M11,"A",IF(AX45&lt;='组合输入'!$N11,"BBB",IF(AX45&lt;='组合输入'!$O11,"BB",IF(AX45&lt;='组合输入'!$P11,"B",IF(AX45&lt;='组合输入'!$Q11,"CCC","D")))))))</f>
        <v/>
      </c>
      <c r="AZ45" s="12">
        <f>IF(AY45="","",INDEX('状态价值'!$D11:$K11,MATCH(AY45,'状态价值'!$D$1:$K$1,0)))</f>
        <v/>
      </c>
      <c r="BA45" s="12">
        <f>G45+L45+Q45+V45+AA45+AF45+AK45+AP45+AU45+AZ45</f>
        <v/>
      </c>
      <c r="BB45" s="12">
        <f>SUM('组合输入'!$J$2:$J$11)-BA45</f>
        <v/>
      </c>
    </row>
    <row r="46">
      <c r="A46" s="11" t="n">
        <v>45</v>
      </c>
      <c r="B46" s="14">
        <f>NORM.S.INV(RAND())</f>
        <v/>
      </c>
      <c r="C46" s="14">
        <f>NORM.S.INV(RAND())</f>
        <v/>
      </c>
      <c r="D46" s="15">
        <f>IF('组合输入'!$C2="","",'组合输入'!$H2*$B46+SQRT(1-'组合输入'!$H2^2)*C46)</f>
        <v/>
      </c>
      <c r="E46" s="7">
        <f>IF(D46="","",NORM.S.DIST(D46,TRUE))</f>
        <v/>
      </c>
      <c r="F46" s="13">
        <f>IF(E46="","",IF(E46&lt;='组合输入'!$K2,"AAA",IF(E46&lt;='组合输入'!$L2,"AA",IF(E46&lt;='组合输入'!$M2,"A",IF(E46&lt;='组合输入'!$N2,"BBB",IF(E46&lt;='组合输入'!$O2,"BB",IF(E46&lt;='组合输入'!$P2,"B",IF(E46&lt;='组合输入'!$Q2,"CCC","D")))))))</f>
        <v/>
      </c>
      <c r="G46" s="12">
        <f>IF(F46="","",INDEX('状态价值'!$D2:$K2,MATCH(F46,'状态价值'!$D$1:$K$1,0)))</f>
        <v/>
      </c>
      <c r="H46" s="15">
        <f>NORM.S.INV(RAND())</f>
        <v/>
      </c>
      <c r="I46" s="15">
        <f>IF('组合输入'!$C3="","",'组合输入'!$H3*$B46+SQRT(1-'组合输入'!$H3^2)*H46)</f>
        <v/>
      </c>
      <c r="J46" s="7">
        <f>IF(I46="","",NORM.S.DIST(I46,TRUE))</f>
        <v/>
      </c>
      <c r="K46" s="13">
        <f>IF(J46="","",IF(J46&lt;='组合输入'!$K3,"AAA",IF(J46&lt;='组合输入'!$L3,"AA",IF(J46&lt;='组合输入'!$M3,"A",IF(J46&lt;='组合输入'!$N3,"BBB",IF(J46&lt;='组合输入'!$O3,"BB",IF(J46&lt;='组合输入'!$P3,"B",IF(J46&lt;='组合输入'!$Q3,"CCC","D")))))))</f>
        <v/>
      </c>
      <c r="L46" s="12">
        <f>IF(K46="","",INDEX('状态价值'!$D3:$K3,MATCH(K46,'状态价值'!$D$1:$K$1,0)))</f>
        <v/>
      </c>
      <c r="M46" s="15">
        <f>NORM.S.INV(RAND())</f>
        <v/>
      </c>
      <c r="N46" s="15">
        <f>IF('组合输入'!$C4="","",'组合输入'!$H4*$B46+SQRT(1-'组合输入'!$H4^2)*M46)</f>
        <v/>
      </c>
      <c r="O46" s="7">
        <f>IF(N46="","",NORM.S.DIST(N46,TRUE))</f>
        <v/>
      </c>
      <c r="P46" s="13">
        <f>IF(O46="","",IF(O46&lt;='组合输入'!$K4,"AAA",IF(O46&lt;='组合输入'!$L4,"AA",IF(O46&lt;='组合输入'!$M4,"A",IF(O46&lt;='组合输入'!$N4,"BBB",IF(O46&lt;='组合输入'!$O4,"BB",IF(O46&lt;='组合输入'!$P4,"B",IF(O46&lt;='组合输入'!$Q4,"CCC","D")))))))</f>
        <v/>
      </c>
      <c r="Q46" s="12">
        <f>IF(P46="","",INDEX('状态价值'!$D4:$K4,MATCH(P46,'状态价值'!$D$1:$K$1,0)))</f>
        <v/>
      </c>
      <c r="R46" s="15">
        <f>NORM.S.INV(RAND())</f>
        <v/>
      </c>
      <c r="S46" s="15">
        <f>IF('组合输入'!$C5="","",'组合输入'!$H5*$B46+SQRT(1-'组合输入'!$H5^2)*R46)</f>
        <v/>
      </c>
      <c r="T46" s="7">
        <f>IF(S46="","",NORM.S.DIST(S46,TRUE))</f>
        <v/>
      </c>
      <c r="U46" s="13">
        <f>IF(T46="","",IF(T46&lt;='组合输入'!$K5,"AAA",IF(T46&lt;='组合输入'!$L5,"AA",IF(T46&lt;='组合输入'!$M5,"A",IF(T46&lt;='组合输入'!$N5,"BBB",IF(T46&lt;='组合输入'!$O5,"BB",IF(T46&lt;='组合输入'!$P5,"B",IF(T46&lt;='组合输入'!$Q5,"CCC","D")))))))</f>
        <v/>
      </c>
      <c r="V46" s="12">
        <f>IF(U46="","",INDEX('状态价值'!$D5:$K5,MATCH(U46,'状态价值'!$D$1:$K$1,0)))</f>
        <v/>
      </c>
      <c r="W46" s="15">
        <f>NORM.S.INV(RAND())</f>
        <v/>
      </c>
      <c r="X46" s="15">
        <f>IF('组合输入'!$C6="","",'组合输入'!$H6*$B46+SQRT(1-'组合输入'!$H6^2)*W46)</f>
        <v/>
      </c>
      <c r="Y46" s="7">
        <f>IF(X46="","",NORM.S.DIST(X46,TRUE))</f>
        <v/>
      </c>
      <c r="Z46" s="13">
        <f>IF(Y46="","",IF(Y46&lt;='组合输入'!$K6,"AAA",IF(Y46&lt;='组合输入'!$L6,"AA",IF(Y46&lt;='组合输入'!$M6,"A",IF(Y46&lt;='组合输入'!$N6,"BBB",IF(Y46&lt;='组合输入'!$O6,"BB",IF(Y46&lt;='组合输入'!$P6,"B",IF(Y46&lt;='组合输入'!$Q6,"CCC","D")))))))</f>
        <v/>
      </c>
      <c r="AA46" s="12">
        <f>IF(Z46="","",INDEX('状态价值'!$D6:$K6,MATCH(Z46,'状态价值'!$D$1:$K$1,0)))</f>
        <v/>
      </c>
      <c r="AB46" s="15">
        <f>NORM.S.INV(RAND())</f>
        <v/>
      </c>
      <c r="AC46" s="15">
        <f>IF('组合输入'!$C7="","",'组合输入'!$H7*$B46+SQRT(1-'组合输入'!$H7^2)*AB46)</f>
        <v/>
      </c>
      <c r="AD46" s="7">
        <f>IF(AC46="","",NORM.S.DIST(AC46,TRUE))</f>
        <v/>
      </c>
      <c r="AE46" s="13">
        <f>IF(AD46="","",IF(AD46&lt;='组合输入'!$K7,"AAA",IF(AD46&lt;='组合输入'!$L7,"AA",IF(AD46&lt;='组合输入'!$M7,"A",IF(AD46&lt;='组合输入'!$N7,"BBB",IF(AD46&lt;='组合输入'!$O7,"BB",IF(AD46&lt;='组合输入'!$P7,"B",IF(AD46&lt;='组合输入'!$Q7,"CCC","D")))))))</f>
        <v/>
      </c>
      <c r="AF46" s="12">
        <f>IF(AE46="","",INDEX('状态价值'!$D7:$K7,MATCH(AE46,'状态价值'!$D$1:$K$1,0)))</f>
        <v/>
      </c>
      <c r="AG46" s="15">
        <f>NORM.S.INV(RAND())</f>
        <v/>
      </c>
      <c r="AH46" s="15">
        <f>IF('组合输入'!$C8="","",'组合输入'!$H8*$B46+SQRT(1-'组合输入'!$H8^2)*AG46)</f>
        <v/>
      </c>
      <c r="AI46" s="7">
        <f>IF(AH46="","",NORM.S.DIST(AH46,TRUE))</f>
        <v/>
      </c>
      <c r="AJ46" s="13">
        <f>IF(AI46="","",IF(AI46&lt;='组合输入'!$K8,"AAA",IF(AI46&lt;='组合输入'!$L8,"AA",IF(AI46&lt;='组合输入'!$M8,"A",IF(AI46&lt;='组合输入'!$N8,"BBB",IF(AI46&lt;='组合输入'!$O8,"BB",IF(AI46&lt;='组合输入'!$P8,"B",IF(AI46&lt;='组合输入'!$Q8,"CCC","D")))))))</f>
        <v/>
      </c>
      <c r="AK46" s="12">
        <f>IF(AJ46="","",INDEX('状态价值'!$D8:$K8,MATCH(AJ46,'状态价值'!$D$1:$K$1,0)))</f>
        <v/>
      </c>
      <c r="AL46" s="15">
        <f>NORM.S.INV(RAND())</f>
        <v/>
      </c>
      <c r="AM46" s="15">
        <f>IF('组合输入'!$C9="","",'组合输入'!$H9*$B46+SQRT(1-'组合输入'!$H9^2)*AL46)</f>
        <v/>
      </c>
      <c r="AN46" s="7">
        <f>IF(AM46="","",NORM.S.DIST(AM46,TRUE))</f>
        <v/>
      </c>
      <c r="AO46" s="13">
        <f>IF(AN46="","",IF(AN46&lt;='组合输入'!$K9,"AAA",IF(AN46&lt;='组合输入'!$L9,"AA",IF(AN46&lt;='组合输入'!$M9,"A",IF(AN46&lt;='组合输入'!$N9,"BBB",IF(AN46&lt;='组合输入'!$O9,"BB",IF(AN46&lt;='组合输入'!$P9,"B",IF(AN46&lt;='组合输入'!$Q9,"CCC","D")))))))</f>
        <v/>
      </c>
      <c r="AP46" s="12">
        <f>IF(AO46="","",INDEX('状态价值'!$D9:$K9,MATCH(AO46,'状态价值'!$D$1:$K$1,0)))</f>
        <v/>
      </c>
      <c r="AQ46" s="15">
        <f>NORM.S.INV(RAND())</f>
        <v/>
      </c>
      <c r="AR46" s="15">
        <f>IF('组合输入'!$C10="","",'组合输入'!$H10*$B46+SQRT(1-'组合输入'!$H10^2)*AQ46)</f>
        <v/>
      </c>
      <c r="AS46" s="7">
        <f>IF(AR46="","",NORM.S.DIST(AR46,TRUE))</f>
        <v/>
      </c>
      <c r="AT46" s="13">
        <f>IF(AS46="","",IF(AS46&lt;='组合输入'!$K10,"AAA",IF(AS46&lt;='组合输入'!$L10,"AA",IF(AS46&lt;='组合输入'!$M10,"A",IF(AS46&lt;='组合输入'!$N10,"BBB",IF(AS46&lt;='组合输入'!$O10,"BB",IF(AS46&lt;='组合输入'!$P10,"B",IF(AS46&lt;='组合输入'!$Q10,"CCC","D")))))))</f>
        <v/>
      </c>
      <c r="AU46" s="12">
        <f>IF(AT46="","",INDEX('状态价值'!$D10:$K10,MATCH(AT46,'状态价值'!$D$1:$K$1,0)))</f>
        <v/>
      </c>
      <c r="AV46" s="15">
        <f>NORM.S.INV(RAND())</f>
        <v/>
      </c>
      <c r="AW46" s="15">
        <f>IF('组合输入'!$C11="","",'组合输入'!$H11*$B46+SQRT(1-'组合输入'!$H11^2)*AV46)</f>
        <v/>
      </c>
      <c r="AX46" s="7">
        <f>IF(AW46="","",NORM.S.DIST(AW46,TRUE))</f>
        <v/>
      </c>
      <c r="AY46" s="13">
        <f>IF(AX46="","",IF(AX46&lt;='组合输入'!$K11,"AAA",IF(AX46&lt;='组合输入'!$L11,"AA",IF(AX46&lt;='组合输入'!$M11,"A",IF(AX46&lt;='组合输入'!$N11,"BBB",IF(AX46&lt;='组合输入'!$O11,"BB",IF(AX46&lt;='组合输入'!$P11,"B",IF(AX46&lt;='组合输入'!$Q11,"CCC","D")))))))</f>
        <v/>
      </c>
      <c r="AZ46" s="12">
        <f>IF(AY46="","",INDEX('状态价值'!$D11:$K11,MATCH(AY46,'状态价值'!$D$1:$K$1,0)))</f>
        <v/>
      </c>
      <c r="BA46" s="12">
        <f>G46+L46+Q46+V46+AA46+AF46+AK46+AP46+AU46+AZ46</f>
        <v/>
      </c>
      <c r="BB46" s="12">
        <f>SUM('组合输入'!$J$2:$J$11)-BA46</f>
        <v/>
      </c>
    </row>
    <row r="47">
      <c r="A47" s="11" t="n">
        <v>46</v>
      </c>
      <c r="B47" s="14">
        <f>NORM.S.INV(RAND())</f>
        <v/>
      </c>
      <c r="C47" s="14">
        <f>NORM.S.INV(RAND())</f>
        <v/>
      </c>
      <c r="D47" s="15">
        <f>IF('组合输入'!$C2="","",'组合输入'!$H2*$B47+SQRT(1-'组合输入'!$H2^2)*C47)</f>
        <v/>
      </c>
      <c r="E47" s="7">
        <f>IF(D47="","",NORM.S.DIST(D47,TRUE))</f>
        <v/>
      </c>
      <c r="F47" s="13">
        <f>IF(E47="","",IF(E47&lt;='组合输入'!$K2,"AAA",IF(E47&lt;='组合输入'!$L2,"AA",IF(E47&lt;='组合输入'!$M2,"A",IF(E47&lt;='组合输入'!$N2,"BBB",IF(E47&lt;='组合输入'!$O2,"BB",IF(E47&lt;='组合输入'!$P2,"B",IF(E47&lt;='组合输入'!$Q2,"CCC","D")))))))</f>
        <v/>
      </c>
      <c r="G47" s="12">
        <f>IF(F47="","",INDEX('状态价值'!$D2:$K2,MATCH(F47,'状态价值'!$D$1:$K$1,0)))</f>
        <v/>
      </c>
      <c r="H47" s="15">
        <f>NORM.S.INV(RAND())</f>
        <v/>
      </c>
      <c r="I47" s="15">
        <f>IF('组合输入'!$C3="","",'组合输入'!$H3*$B47+SQRT(1-'组合输入'!$H3^2)*H47)</f>
        <v/>
      </c>
      <c r="J47" s="7">
        <f>IF(I47="","",NORM.S.DIST(I47,TRUE))</f>
        <v/>
      </c>
      <c r="K47" s="13">
        <f>IF(J47="","",IF(J47&lt;='组合输入'!$K3,"AAA",IF(J47&lt;='组合输入'!$L3,"AA",IF(J47&lt;='组合输入'!$M3,"A",IF(J47&lt;='组合输入'!$N3,"BBB",IF(J47&lt;='组合输入'!$O3,"BB",IF(J47&lt;='组合输入'!$P3,"B",IF(J47&lt;='组合输入'!$Q3,"CCC","D")))))))</f>
        <v/>
      </c>
      <c r="L47" s="12">
        <f>IF(K47="","",INDEX('状态价值'!$D3:$K3,MATCH(K47,'状态价值'!$D$1:$K$1,0)))</f>
        <v/>
      </c>
      <c r="M47" s="15">
        <f>NORM.S.INV(RAND())</f>
        <v/>
      </c>
      <c r="N47" s="15">
        <f>IF('组合输入'!$C4="","",'组合输入'!$H4*$B47+SQRT(1-'组合输入'!$H4^2)*M47)</f>
        <v/>
      </c>
      <c r="O47" s="7">
        <f>IF(N47="","",NORM.S.DIST(N47,TRUE))</f>
        <v/>
      </c>
      <c r="P47" s="13">
        <f>IF(O47="","",IF(O47&lt;='组合输入'!$K4,"AAA",IF(O47&lt;='组合输入'!$L4,"AA",IF(O47&lt;='组合输入'!$M4,"A",IF(O47&lt;='组合输入'!$N4,"BBB",IF(O47&lt;='组合输入'!$O4,"BB",IF(O47&lt;='组合输入'!$P4,"B",IF(O47&lt;='组合输入'!$Q4,"CCC","D")))))))</f>
        <v/>
      </c>
      <c r="Q47" s="12">
        <f>IF(P47="","",INDEX('状态价值'!$D4:$K4,MATCH(P47,'状态价值'!$D$1:$K$1,0)))</f>
        <v/>
      </c>
      <c r="R47" s="15">
        <f>NORM.S.INV(RAND())</f>
        <v/>
      </c>
      <c r="S47" s="15">
        <f>IF('组合输入'!$C5="","",'组合输入'!$H5*$B47+SQRT(1-'组合输入'!$H5^2)*R47)</f>
        <v/>
      </c>
      <c r="T47" s="7">
        <f>IF(S47="","",NORM.S.DIST(S47,TRUE))</f>
        <v/>
      </c>
      <c r="U47" s="13">
        <f>IF(T47="","",IF(T47&lt;='组合输入'!$K5,"AAA",IF(T47&lt;='组合输入'!$L5,"AA",IF(T47&lt;='组合输入'!$M5,"A",IF(T47&lt;='组合输入'!$N5,"BBB",IF(T47&lt;='组合输入'!$O5,"BB",IF(T47&lt;='组合输入'!$P5,"B",IF(T47&lt;='组合输入'!$Q5,"CCC","D")))))))</f>
        <v/>
      </c>
      <c r="V47" s="12">
        <f>IF(U47="","",INDEX('状态价值'!$D5:$K5,MATCH(U47,'状态价值'!$D$1:$K$1,0)))</f>
        <v/>
      </c>
      <c r="W47" s="15">
        <f>NORM.S.INV(RAND())</f>
        <v/>
      </c>
      <c r="X47" s="15">
        <f>IF('组合输入'!$C6="","",'组合输入'!$H6*$B47+SQRT(1-'组合输入'!$H6^2)*W47)</f>
        <v/>
      </c>
      <c r="Y47" s="7">
        <f>IF(X47="","",NORM.S.DIST(X47,TRUE))</f>
        <v/>
      </c>
      <c r="Z47" s="13">
        <f>IF(Y47="","",IF(Y47&lt;='组合输入'!$K6,"AAA",IF(Y47&lt;='组合输入'!$L6,"AA",IF(Y47&lt;='组合输入'!$M6,"A",IF(Y47&lt;='组合输入'!$N6,"BBB",IF(Y47&lt;='组合输入'!$O6,"BB",IF(Y47&lt;='组合输入'!$P6,"B",IF(Y47&lt;='组合输入'!$Q6,"CCC","D")))))))</f>
        <v/>
      </c>
      <c r="AA47" s="12">
        <f>IF(Z47="","",INDEX('状态价值'!$D6:$K6,MATCH(Z47,'状态价值'!$D$1:$K$1,0)))</f>
        <v/>
      </c>
      <c r="AB47" s="15">
        <f>NORM.S.INV(RAND())</f>
        <v/>
      </c>
      <c r="AC47" s="15">
        <f>IF('组合输入'!$C7="","",'组合输入'!$H7*$B47+SQRT(1-'组合输入'!$H7^2)*AB47)</f>
        <v/>
      </c>
      <c r="AD47" s="7">
        <f>IF(AC47="","",NORM.S.DIST(AC47,TRUE))</f>
        <v/>
      </c>
      <c r="AE47" s="13">
        <f>IF(AD47="","",IF(AD47&lt;='组合输入'!$K7,"AAA",IF(AD47&lt;='组合输入'!$L7,"AA",IF(AD47&lt;='组合输入'!$M7,"A",IF(AD47&lt;='组合输入'!$N7,"BBB",IF(AD47&lt;='组合输入'!$O7,"BB",IF(AD47&lt;='组合输入'!$P7,"B",IF(AD47&lt;='组合输入'!$Q7,"CCC","D")))))))</f>
        <v/>
      </c>
      <c r="AF47" s="12">
        <f>IF(AE47="","",INDEX('状态价值'!$D7:$K7,MATCH(AE47,'状态价值'!$D$1:$K$1,0)))</f>
        <v/>
      </c>
      <c r="AG47" s="15">
        <f>NORM.S.INV(RAND())</f>
        <v/>
      </c>
      <c r="AH47" s="15">
        <f>IF('组合输入'!$C8="","",'组合输入'!$H8*$B47+SQRT(1-'组合输入'!$H8^2)*AG47)</f>
        <v/>
      </c>
      <c r="AI47" s="7">
        <f>IF(AH47="","",NORM.S.DIST(AH47,TRUE))</f>
        <v/>
      </c>
      <c r="AJ47" s="13">
        <f>IF(AI47="","",IF(AI47&lt;='组合输入'!$K8,"AAA",IF(AI47&lt;='组合输入'!$L8,"AA",IF(AI47&lt;='组合输入'!$M8,"A",IF(AI47&lt;='组合输入'!$N8,"BBB",IF(AI47&lt;='组合输入'!$O8,"BB",IF(AI47&lt;='组合输入'!$P8,"B",IF(AI47&lt;='组合输入'!$Q8,"CCC","D")))))))</f>
        <v/>
      </c>
      <c r="AK47" s="12">
        <f>IF(AJ47="","",INDEX('状态价值'!$D8:$K8,MATCH(AJ47,'状态价值'!$D$1:$K$1,0)))</f>
        <v/>
      </c>
      <c r="AL47" s="15">
        <f>NORM.S.INV(RAND())</f>
        <v/>
      </c>
      <c r="AM47" s="15">
        <f>IF('组合输入'!$C9="","",'组合输入'!$H9*$B47+SQRT(1-'组合输入'!$H9^2)*AL47)</f>
        <v/>
      </c>
      <c r="AN47" s="7">
        <f>IF(AM47="","",NORM.S.DIST(AM47,TRUE))</f>
        <v/>
      </c>
      <c r="AO47" s="13">
        <f>IF(AN47="","",IF(AN47&lt;='组合输入'!$K9,"AAA",IF(AN47&lt;='组合输入'!$L9,"AA",IF(AN47&lt;='组合输入'!$M9,"A",IF(AN47&lt;='组合输入'!$N9,"BBB",IF(AN47&lt;='组合输入'!$O9,"BB",IF(AN47&lt;='组合输入'!$P9,"B",IF(AN47&lt;='组合输入'!$Q9,"CCC","D")))))))</f>
        <v/>
      </c>
      <c r="AP47" s="12">
        <f>IF(AO47="","",INDEX('状态价值'!$D9:$K9,MATCH(AO47,'状态价值'!$D$1:$K$1,0)))</f>
        <v/>
      </c>
      <c r="AQ47" s="15">
        <f>NORM.S.INV(RAND())</f>
        <v/>
      </c>
      <c r="AR47" s="15">
        <f>IF('组合输入'!$C10="","",'组合输入'!$H10*$B47+SQRT(1-'组合输入'!$H10^2)*AQ47)</f>
        <v/>
      </c>
      <c r="AS47" s="7">
        <f>IF(AR47="","",NORM.S.DIST(AR47,TRUE))</f>
        <v/>
      </c>
      <c r="AT47" s="13">
        <f>IF(AS47="","",IF(AS47&lt;='组合输入'!$K10,"AAA",IF(AS47&lt;='组合输入'!$L10,"AA",IF(AS47&lt;='组合输入'!$M10,"A",IF(AS47&lt;='组合输入'!$N10,"BBB",IF(AS47&lt;='组合输入'!$O10,"BB",IF(AS47&lt;='组合输入'!$P10,"B",IF(AS47&lt;='组合输入'!$Q10,"CCC","D")))))))</f>
        <v/>
      </c>
      <c r="AU47" s="12">
        <f>IF(AT47="","",INDEX('状态价值'!$D10:$K10,MATCH(AT47,'状态价值'!$D$1:$K$1,0)))</f>
        <v/>
      </c>
      <c r="AV47" s="15">
        <f>NORM.S.INV(RAND())</f>
        <v/>
      </c>
      <c r="AW47" s="15">
        <f>IF('组合输入'!$C11="","",'组合输入'!$H11*$B47+SQRT(1-'组合输入'!$H11^2)*AV47)</f>
        <v/>
      </c>
      <c r="AX47" s="7">
        <f>IF(AW47="","",NORM.S.DIST(AW47,TRUE))</f>
        <v/>
      </c>
      <c r="AY47" s="13">
        <f>IF(AX47="","",IF(AX47&lt;='组合输入'!$K11,"AAA",IF(AX47&lt;='组合输入'!$L11,"AA",IF(AX47&lt;='组合输入'!$M11,"A",IF(AX47&lt;='组合输入'!$N11,"BBB",IF(AX47&lt;='组合输入'!$O11,"BB",IF(AX47&lt;='组合输入'!$P11,"B",IF(AX47&lt;='组合输入'!$Q11,"CCC","D")))))))</f>
        <v/>
      </c>
      <c r="AZ47" s="12">
        <f>IF(AY47="","",INDEX('状态价值'!$D11:$K11,MATCH(AY47,'状态价值'!$D$1:$K$1,0)))</f>
        <v/>
      </c>
      <c r="BA47" s="12">
        <f>G47+L47+Q47+V47+AA47+AF47+AK47+AP47+AU47+AZ47</f>
        <v/>
      </c>
      <c r="BB47" s="12">
        <f>SUM('组合输入'!$J$2:$J$11)-BA47</f>
        <v/>
      </c>
    </row>
    <row r="48">
      <c r="A48" s="11" t="n">
        <v>47</v>
      </c>
      <c r="B48" s="14">
        <f>NORM.S.INV(RAND())</f>
        <v/>
      </c>
      <c r="C48" s="14">
        <f>NORM.S.INV(RAND())</f>
        <v/>
      </c>
      <c r="D48" s="15">
        <f>IF('组合输入'!$C2="","",'组合输入'!$H2*$B48+SQRT(1-'组合输入'!$H2^2)*C48)</f>
        <v/>
      </c>
      <c r="E48" s="7">
        <f>IF(D48="","",NORM.S.DIST(D48,TRUE))</f>
        <v/>
      </c>
      <c r="F48" s="13">
        <f>IF(E48="","",IF(E48&lt;='组合输入'!$K2,"AAA",IF(E48&lt;='组合输入'!$L2,"AA",IF(E48&lt;='组合输入'!$M2,"A",IF(E48&lt;='组合输入'!$N2,"BBB",IF(E48&lt;='组合输入'!$O2,"BB",IF(E48&lt;='组合输入'!$P2,"B",IF(E48&lt;='组合输入'!$Q2,"CCC","D")))))))</f>
        <v/>
      </c>
      <c r="G48" s="12">
        <f>IF(F48="","",INDEX('状态价值'!$D2:$K2,MATCH(F48,'状态价值'!$D$1:$K$1,0)))</f>
        <v/>
      </c>
      <c r="H48" s="15">
        <f>NORM.S.INV(RAND())</f>
        <v/>
      </c>
      <c r="I48" s="15">
        <f>IF('组合输入'!$C3="","",'组合输入'!$H3*$B48+SQRT(1-'组合输入'!$H3^2)*H48)</f>
        <v/>
      </c>
      <c r="J48" s="7">
        <f>IF(I48="","",NORM.S.DIST(I48,TRUE))</f>
        <v/>
      </c>
      <c r="K48" s="13">
        <f>IF(J48="","",IF(J48&lt;='组合输入'!$K3,"AAA",IF(J48&lt;='组合输入'!$L3,"AA",IF(J48&lt;='组合输入'!$M3,"A",IF(J48&lt;='组合输入'!$N3,"BBB",IF(J48&lt;='组合输入'!$O3,"BB",IF(J48&lt;='组合输入'!$P3,"B",IF(J48&lt;='组合输入'!$Q3,"CCC","D")))))))</f>
        <v/>
      </c>
      <c r="L48" s="12">
        <f>IF(K48="","",INDEX('状态价值'!$D3:$K3,MATCH(K48,'状态价值'!$D$1:$K$1,0)))</f>
        <v/>
      </c>
      <c r="M48" s="15">
        <f>NORM.S.INV(RAND())</f>
        <v/>
      </c>
      <c r="N48" s="15">
        <f>IF('组合输入'!$C4="","",'组合输入'!$H4*$B48+SQRT(1-'组合输入'!$H4^2)*M48)</f>
        <v/>
      </c>
      <c r="O48" s="7">
        <f>IF(N48="","",NORM.S.DIST(N48,TRUE))</f>
        <v/>
      </c>
      <c r="P48" s="13">
        <f>IF(O48="","",IF(O48&lt;='组合输入'!$K4,"AAA",IF(O48&lt;='组合输入'!$L4,"AA",IF(O48&lt;='组合输入'!$M4,"A",IF(O48&lt;='组合输入'!$N4,"BBB",IF(O48&lt;='组合输入'!$O4,"BB",IF(O48&lt;='组合输入'!$P4,"B",IF(O48&lt;='组合输入'!$Q4,"CCC","D")))))))</f>
        <v/>
      </c>
      <c r="Q48" s="12">
        <f>IF(P48="","",INDEX('状态价值'!$D4:$K4,MATCH(P48,'状态价值'!$D$1:$K$1,0)))</f>
        <v/>
      </c>
      <c r="R48" s="15">
        <f>NORM.S.INV(RAND())</f>
        <v/>
      </c>
      <c r="S48" s="15">
        <f>IF('组合输入'!$C5="","",'组合输入'!$H5*$B48+SQRT(1-'组合输入'!$H5^2)*R48)</f>
        <v/>
      </c>
      <c r="T48" s="7">
        <f>IF(S48="","",NORM.S.DIST(S48,TRUE))</f>
        <v/>
      </c>
      <c r="U48" s="13">
        <f>IF(T48="","",IF(T48&lt;='组合输入'!$K5,"AAA",IF(T48&lt;='组合输入'!$L5,"AA",IF(T48&lt;='组合输入'!$M5,"A",IF(T48&lt;='组合输入'!$N5,"BBB",IF(T48&lt;='组合输入'!$O5,"BB",IF(T48&lt;='组合输入'!$P5,"B",IF(T48&lt;='组合输入'!$Q5,"CCC","D")))))))</f>
        <v/>
      </c>
      <c r="V48" s="12">
        <f>IF(U48="","",INDEX('状态价值'!$D5:$K5,MATCH(U48,'状态价值'!$D$1:$K$1,0)))</f>
        <v/>
      </c>
      <c r="W48" s="15">
        <f>NORM.S.INV(RAND())</f>
        <v/>
      </c>
      <c r="X48" s="15">
        <f>IF('组合输入'!$C6="","",'组合输入'!$H6*$B48+SQRT(1-'组合输入'!$H6^2)*W48)</f>
        <v/>
      </c>
      <c r="Y48" s="7">
        <f>IF(X48="","",NORM.S.DIST(X48,TRUE))</f>
        <v/>
      </c>
      <c r="Z48" s="13">
        <f>IF(Y48="","",IF(Y48&lt;='组合输入'!$K6,"AAA",IF(Y48&lt;='组合输入'!$L6,"AA",IF(Y48&lt;='组合输入'!$M6,"A",IF(Y48&lt;='组合输入'!$N6,"BBB",IF(Y48&lt;='组合输入'!$O6,"BB",IF(Y48&lt;='组合输入'!$P6,"B",IF(Y48&lt;='组合输入'!$Q6,"CCC","D")))))))</f>
        <v/>
      </c>
      <c r="AA48" s="12">
        <f>IF(Z48="","",INDEX('状态价值'!$D6:$K6,MATCH(Z48,'状态价值'!$D$1:$K$1,0)))</f>
        <v/>
      </c>
      <c r="AB48" s="15">
        <f>NORM.S.INV(RAND())</f>
        <v/>
      </c>
      <c r="AC48" s="15">
        <f>IF('组合输入'!$C7="","",'组合输入'!$H7*$B48+SQRT(1-'组合输入'!$H7^2)*AB48)</f>
        <v/>
      </c>
      <c r="AD48" s="7">
        <f>IF(AC48="","",NORM.S.DIST(AC48,TRUE))</f>
        <v/>
      </c>
      <c r="AE48" s="13">
        <f>IF(AD48="","",IF(AD48&lt;='组合输入'!$K7,"AAA",IF(AD48&lt;='组合输入'!$L7,"AA",IF(AD48&lt;='组合输入'!$M7,"A",IF(AD48&lt;='组合输入'!$N7,"BBB",IF(AD48&lt;='组合输入'!$O7,"BB",IF(AD48&lt;='组合输入'!$P7,"B",IF(AD48&lt;='组合输入'!$Q7,"CCC","D")))))))</f>
        <v/>
      </c>
      <c r="AF48" s="12">
        <f>IF(AE48="","",INDEX('状态价值'!$D7:$K7,MATCH(AE48,'状态价值'!$D$1:$K$1,0)))</f>
        <v/>
      </c>
      <c r="AG48" s="15">
        <f>NORM.S.INV(RAND())</f>
        <v/>
      </c>
      <c r="AH48" s="15">
        <f>IF('组合输入'!$C8="","",'组合输入'!$H8*$B48+SQRT(1-'组合输入'!$H8^2)*AG48)</f>
        <v/>
      </c>
      <c r="AI48" s="7">
        <f>IF(AH48="","",NORM.S.DIST(AH48,TRUE))</f>
        <v/>
      </c>
      <c r="AJ48" s="13">
        <f>IF(AI48="","",IF(AI48&lt;='组合输入'!$K8,"AAA",IF(AI48&lt;='组合输入'!$L8,"AA",IF(AI48&lt;='组合输入'!$M8,"A",IF(AI48&lt;='组合输入'!$N8,"BBB",IF(AI48&lt;='组合输入'!$O8,"BB",IF(AI48&lt;='组合输入'!$P8,"B",IF(AI48&lt;='组合输入'!$Q8,"CCC","D")))))))</f>
        <v/>
      </c>
      <c r="AK48" s="12">
        <f>IF(AJ48="","",INDEX('状态价值'!$D8:$K8,MATCH(AJ48,'状态价值'!$D$1:$K$1,0)))</f>
        <v/>
      </c>
      <c r="AL48" s="15">
        <f>NORM.S.INV(RAND())</f>
        <v/>
      </c>
      <c r="AM48" s="15">
        <f>IF('组合输入'!$C9="","",'组合输入'!$H9*$B48+SQRT(1-'组合输入'!$H9^2)*AL48)</f>
        <v/>
      </c>
      <c r="AN48" s="7">
        <f>IF(AM48="","",NORM.S.DIST(AM48,TRUE))</f>
        <v/>
      </c>
      <c r="AO48" s="13">
        <f>IF(AN48="","",IF(AN48&lt;='组合输入'!$K9,"AAA",IF(AN48&lt;='组合输入'!$L9,"AA",IF(AN48&lt;='组合输入'!$M9,"A",IF(AN48&lt;='组合输入'!$N9,"BBB",IF(AN48&lt;='组合输入'!$O9,"BB",IF(AN48&lt;='组合输入'!$P9,"B",IF(AN48&lt;='组合输入'!$Q9,"CCC","D")))))))</f>
        <v/>
      </c>
      <c r="AP48" s="12">
        <f>IF(AO48="","",INDEX('状态价值'!$D9:$K9,MATCH(AO48,'状态价值'!$D$1:$K$1,0)))</f>
        <v/>
      </c>
      <c r="AQ48" s="15">
        <f>NORM.S.INV(RAND())</f>
        <v/>
      </c>
      <c r="AR48" s="15">
        <f>IF('组合输入'!$C10="","",'组合输入'!$H10*$B48+SQRT(1-'组合输入'!$H10^2)*AQ48)</f>
        <v/>
      </c>
      <c r="AS48" s="7">
        <f>IF(AR48="","",NORM.S.DIST(AR48,TRUE))</f>
        <v/>
      </c>
      <c r="AT48" s="13">
        <f>IF(AS48="","",IF(AS48&lt;='组合输入'!$K10,"AAA",IF(AS48&lt;='组合输入'!$L10,"AA",IF(AS48&lt;='组合输入'!$M10,"A",IF(AS48&lt;='组合输入'!$N10,"BBB",IF(AS48&lt;='组合输入'!$O10,"BB",IF(AS48&lt;='组合输入'!$P10,"B",IF(AS48&lt;='组合输入'!$Q10,"CCC","D")))))))</f>
        <v/>
      </c>
      <c r="AU48" s="12">
        <f>IF(AT48="","",INDEX('状态价值'!$D10:$K10,MATCH(AT48,'状态价值'!$D$1:$K$1,0)))</f>
        <v/>
      </c>
      <c r="AV48" s="15">
        <f>NORM.S.INV(RAND())</f>
        <v/>
      </c>
      <c r="AW48" s="15">
        <f>IF('组合输入'!$C11="","",'组合输入'!$H11*$B48+SQRT(1-'组合输入'!$H11^2)*AV48)</f>
        <v/>
      </c>
      <c r="AX48" s="7">
        <f>IF(AW48="","",NORM.S.DIST(AW48,TRUE))</f>
        <v/>
      </c>
      <c r="AY48" s="13">
        <f>IF(AX48="","",IF(AX48&lt;='组合输入'!$K11,"AAA",IF(AX48&lt;='组合输入'!$L11,"AA",IF(AX48&lt;='组合输入'!$M11,"A",IF(AX48&lt;='组合输入'!$N11,"BBB",IF(AX48&lt;='组合输入'!$O11,"BB",IF(AX48&lt;='组合输入'!$P11,"B",IF(AX48&lt;='组合输入'!$Q11,"CCC","D")))))))</f>
        <v/>
      </c>
      <c r="AZ48" s="12">
        <f>IF(AY48="","",INDEX('状态价值'!$D11:$K11,MATCH(AY48,'状态价值'!$D$1:$K$1,0)))</f>
        <v/>
      </c>
      <c r="BA48" s="12">
        <f>G48+L48+Q48+V48+AA48+AF48+AK48+AP48+AU48+AZ48</f>
        <v/>
      </c>
      <c r="BB48" s="12">
        <f>SUM('组合输入'!$J$2:$J$11)-BA48</f>
        <v/>
      </c>
    </row>
    <row r="49">
      <c r="A49" s="11" t="n">
        <v>48</v>
      </c>
      <c r="B49" s="14">
        <f>NORM.S.INV(RAND())</f>
        <v/>
      </c>
      <c r="C49" s="14">
        <f>NORM.S.INV(RAND())</f>
        <v/>
      </c>
      <c r="D49" s="15">
        <f>IF('组合输入'!$C2="","",'组合输入'!$H2*$B49+SQRT(1-'组合输入'!$H2^2)*C49)</f>
        <v/>
      </c>
      <c r="E49" s="7">
        <f>IF(D49="","",NORM.S.DIST(D49,TRUE))</f>
        <v/>
      </c>
      <c r="F49" s="13">
        <f>IF(E49="","",IF(E49&lt;='组合输入'!$K2,"AAA",IF(E49&lt;='组合输入'!$L2,"AA",IF(E49&lt;='组合输入'!$M2,"A",IF(E49&lt;='组合输入'!$N2,"BBB",IF(E49&lt;='组合输入'!$O2,"BB",IF(E49&lt;='组合输入'!$P2,"B",IF(E49&lt;='组合输入'!$Q2,"CCC","D")))))))</f>
        <v/>
      </c>
      <c r="G49" s="12">
        <f>IF(F49="","",INDEX('状态价值'!$D2:$K2,MATCH(F49,'状态价值'!$D$1:$K$1,0)))</f>
        <v/>
      </c>
      <c r="H49" s="15">
        <f>NORM.S.INV(RAND())</f>
        <v/>
      </c>
      <c r="I49" s="15">
        <f>IF('组合输入'!$C3="","",'组合输入'!$H3*$B49+SQRT(1-'组合输入'!$H3^2)*H49)</f>
        <v/>
      </c>
      <c r="J49" s="7">
        <f>IF(I49="","",NORM.S.DIST(I49,TRUE))</f>
        <v/>
      </c>
      <c r="K49" s="13">
        <f>IF(J49="","",IF(J49&lt;='组合输入'!$K3,"AAA",IF(J49&lt;='组合输入'!$L3,"AA",IF(J49&lt;='组合输入'!$M3,"A",IF(J49&lt;='组合输入'!$N3,"BBB",IF(J49&lt;='组合输入'!$O3,"BB",IF(J49&lt;='组合输入'!$P3,"B",IF(J49&lt;='组合输入'!$Q3,"CCC","D")))))))</f>
        <v/>
      </c>
      <c r="L49" s="12">
        <f>IF(K49="","",INDEX('状态价值'!$D3:$K3,MATCH(K49,'状态价值'!$D$1:$K$1,0)))</f>
        <v/>
      </c>
      <c r="M49" s="15">
        <f>NORM.S.INV(RAND())</f>
        <v/>
      </c>
      <c r="N49" s="15">
        <f>IF('组合输入'!$C4="","",'组合输入'!$H4*$B49+SQRT(1-'组合输入'!$H4^2)*M49)</f>
        <v/>
      </c>
      <c r="O49" s="7">
        <f>IF(N49="","",NORM.S.DIST(N49,TRUE))</f>
        <v/>
      </c>
      <c r="P49" s="13">
        <f>IF(O49="","",IF(O49&lt;='组合输入'!$K4,"AAA",IF(O49&lt;='组合输入'!$L4,"AA",IF(O49&lt;='组合输入'!$M4,"A",IF(O49&lt;='组合输入'!$N4,"BBB",IF(O49&lt;='组合输入'!$O4,"BB",IF(O49&lt;='组合输入'!$P4,"B",IF(O49&lt;='组合输入'!$Q4,"CCC","D")))))))</f>
        <v/>
      </c>
      <c r="Q49" s="12">
        <f>IF(P49="","",INDEX('状态价值'!$D4:$K4,MATCH(P49,'状态价值'!$D$1:$K$1,0)))</f>
        <v/>
      </c>
      <c r="R49" s="15">
        <f>NORM.S.INV(RAND())</f>
        <v/>
      </c>
      <c r="S49" s="15">
        <f>IF('组合输入'!$C5="","",'组合输入'!$H5*$B49+SQRT(1-'组合输入'!$H5^2)*R49)</f>
        <v/>
      </c>
      <c r="T49" s="7">
        <f>IF(S49="","",NORM.S.DIST(S49,TRUE))</f>
        <v/>
      </c>
      <c r="U49" s="13">
        <f>IF(T49="","",IF(T49&lt;='组合输入'!$K5,"AAA",IF(T49&lt;='组合输入'!$L5,"AA",IF(T49&lt;='组合输入'!$M5,"A",IF(T49&lt;='组合输入'!$N5,"BBB",IF(T49&lt;='组合输入'!$O5,"BB",IF(T49&lt;='组合输入'!$P5,"B",IF(T49&lt;='组合输入'!$Q5,"CCC","D")))))))</f>
        <v/>
      </c>
      <c r="V49" s="12">
        <f>IF(U49="","",INDEX('状态价值'!$D5:$K5,MATCH(U49,'状态价值'!$D$1:$K$1,0)))</f>
        <v/>
      </c>
      <c r="W49" s="15">
        <f>NORM.S.INV(RAND())</f>
        <v/>
      </c>
      <c r="X49" s="15">
        <f>IF('组合输入'!$C6="","",'组合输入'!$H6*$B49+SQRT(1-'组合输入'!$H6^2)*W49)</f>
        <v/>
      </c>
      <c r="Y49" s="7">
        <f>IF(X49="","",NORM.S.DIST(X49,TRUE))</f>
        <v/>
      </c>
      <c r="Z49" s="13">
        <f>IF(Y49="","",IF(Y49&lt;='组合输入'!$K6,"AAA",IF(Y49&lt;='组合输入'!$L6,"AA",IF(Y49&lt;='组合输入'!$M6,"A",IF(Y49&lt;='组合输入'!$N6,"BBB",IF(Y49&lt;='组合输入'!$O6,"BB",IF(Y49&lt;='组合输入'!$P6,"B",IF(Y49&lt;='组合输入'!$Q6,"CCC","D")))))))</f>
        <v/>
      </c>
      <c r="AA49" s="12">
        <f>IF(Z49="","",INDEX('状态价值'!$D6:$K6,MATCH(Z49,'状态价值'!$D$1:$K$1,0)))</f>
        <v/>
      </c>
      <c r="AB49" s="15">
        <f>NORM.S.INV(RAND())</f>
        <v/>
      </c>
      <c r="AC49" s="15">
        <f>IF('组合输入'!$C7="","",'组合输入'!$H7*$B49+SQRT(1-'组合输入'!$H7^2)*AB49)</f>
        <v/>
      </c>
      <c r="AD49" s="7">
        <f>IF(AC49="","",NORM.S.DIST(AC49,TRUE))</f>
        <v/>
      </c>
      <c r="AE49" s="13">
        <f>IF(AD49="","",IF(AD49&lt;='组合输入'!$K7,"AAA",IF(AD49&lt;='组合输入'!$L7,"AA",IF(AD49&lt;='组合输入'!$M7,"A",IF(AD49&lt;='组合输入'!$N7,"BBB",IF(AD49&lt;='组合输入'!$O7,"BB",IF(AD49&lt;='组合输入'!$P7,"B",IF(AD49&lt;='组合输入'!$Q7,"CCC","D")))))))</f>
        <v/>
      </c>
      <c r="AF49" s="12">
        <f>IF(AE49="","",INDEX('状态价值'!$D7:$K7,MATCH(AE49,'状态价值'!$D$1:$K$1,0)))</f>
        <v/>
      </c>
      <c r="AG49" s="15">
        <f>NORM.S.INV(RAND())</f>
        <v/>
      </c>
      <c r="AH49" s="15">
        <f>IF('组合输入'!$C8="","",'组合输入'!$H8*$B49+SQRT(1-'组合输入'!$H8^2)*AG49)</f>
        <v/>
      </c>
      <c r="AI49" s="7">
        <f>IF(AH49="","",NORM.S.DIST(AH49,TRUE))</f>
        <v/>
      </c>
      <c r="AJ49" s="13">
        <f>IF(AI49="","",IF(AI49&lt;='组合输入'!$K8,"AAA",IF(AI49&lt;='组合输入'!$L8,"AA",IF(AI49&lt;='组合输入'!$M8,"A",IF(AI49&lt;='组合输入'!$N8,"BBB",IF(AI49&lt;='组合输入'!$O8,"BB",IF(AI49&lt;='组合输入'!$P8,"B",IF(AI49&lt;='组合输入'!$Q8,"CCC","D")))))))</f>
        <v/>
      </c>
      <c r="AK49" s="12">
        <f>IF(AJ49="","",INDEX('状态价值'!$D8:$K8,MATCH(AJ49,'状态价值'!$D$1:$K$1,0)))</f>
        <v/>
      </c>
      <c r="AL49" s="15">
        <f>NORM.S.INV(RAND())</f>
        <v/>
      </c>
      <c r="AM49" s="15">
        <f>IF('组合输入'!$C9="","",'组合输入'!$H9*$B49+SQRT(1-'组合输入'!$H9^2)*AL49)</f>
        <v/>
      </c>
      <c r="AN49" s="7">
        <f>IF(AM49="","",NORM.S.DIST(AM49,TRUE))</f>
        <v/>
      </c>
      <c r="AO49" s="13">
        <f>IF(AN49="","",IF(AN49&lt;='组合输入'!$K9,"AAA",IF(AN49&lt;='组合输入'!$L9,"AA",IF(AN49&lt;='组合输入'!$M9,"A",IF(AN49&lt;='组合输入'!$N9,"BBB",IF(AN49&lt;='组合输入'!$O9,"BB",IF(AN49&lt;='组合输入'!$P9,"B",IF(AN49&lt;='组合输入'!$Q9,"CCC","D")))))))</f>
        <v/>
      </c>
      <c r="AP49" s="12">
        <f>IF(AO49="","",INDEX('状态价值'!$D9:$K9,MATCH(AO49,'状态价值'!$D$1:$K$1,0)))</f>
        <v/>
      </c>
      <c r="AQ49" s="15">
        <f>NORM.S.INV(RAND())</f>
        <v/>
      </c>
      <c r="AR49" s="15">
        <f>IF('组合输入'!$C10="","",'组合输入'!$H10*$B49+SQRT(1-'组合输入'!$H10^2)*AQ49)</f>
        <v/>
      </c>
      <c r="AS49" s="7">
        <f>IF(AR49="","",NORM.S.DIST(AR49,TRUE))</f>
        <v/>
      </c>
      <c r="AT49" s="13">
        <f>IF(AS49="","",IF(AS49&lt;='组合输入'!$K10,"AAA",IF(AS49&lt;='组合输入'!$L10,"AA",IF(AS49&lt;='组合输入'!$M10,"A",IF(AS49&lt;='组合输入'!$N10,"BBB",IF(AS49&lt;='组合输入'!$O10,"BB",IF(AS49&lt;='组合输入'!$P10,"B",IF(AS49&lt;='组合输入'!$Q10,"CCC","D")))))))</f>
        <v/>
      </c>
      <c r="AU49" s="12">
        <f>IF(AT49="","",INDEX('状态价值'!$D10:$K10,MATCH(AT49,'状态价值'!$D$1:$K$1,0)))</f>
        <v/>
      </c>
      <c r="AV49" s="15">
        <f>NORM.S.INV(RAND())</f>
        <v/>
      </c>
      <c r="AW49" s="15">
        <f>IF('组合输入'!$C11="","",'组合输入'!$H11*$B49+SQRT(1-'组合输入'!$H11^2)*AV49)</f>
        <v/>
      </c>
      <c r="AX49" s="7">
        <f>IF(AW49="","",NORM.S.DIST(AW49,TRUE))</f>
        <v/>
      </c>
      <c r="AY49" s="13">
        <f>IF(AX49="","",IF(AX49&lt;='组合输入'!$K11,"AAA",IF(AX49&lt;='组合输入'!$L11,"AA",IF(AX49&lt;='组合输入'!$M11,"A",IF(AX49&lt;='组合输入'!$N11,"BBB",IF(AX49&lt;='组合输入'!$O11,"BB",IF(AX49&lt;='组合输入'!$P11,"B",IF(AX49&lt;='组合输入'!$Q11,"CCC","D")))))))</f>
        <v/>
      </c>
      <c r="AZ49" s="12">
        <f>IF(AY49="","",INDEX('状态价值'!$D11:$K11,MATCH(AY49,'状态价值'!$D$1:$K$1,0)))</f>
        <v/>
      </c>
      <c r="BA49" s="12">
        <f>G49+L49+Q49+V49+AA49+AF49+AK49+AP49+AU49+AZ49</f>
        <v/>
      </c>
      <c r="BB49" s="12">
        <f>SUM('组合输入'!$J$2:$J$11)-BA49</f>
        <v/>
      </c>
    </row>
    <row r="50">
      <c r="A50" s="11" t="n">
        <v>49</v>
      </c>
      <c r="B50" s="14">
        <f>NORM.S.INV(RAND())</f>
        <v/>
      </c>
      <c r="C50" s="14">
        <f>NORM.S.INV(RAND())</f>
        <v/>
      </c>
      <c r="D50" s="15">
        <f>IF('组合输入'!$C2="","",'组合输入'!$H2*$B50+SQRT(1-'组合输入'!$H2^2)*C50)</f>
        <v/>
      </c>
      <c r="E50" s="7">
        <f>IF(D50="","",NORM.S.DIST(D50,TRUE))</f>
        <v/>
      </c>
      <c r="F50" s="13">
        <f>IF(E50="","",IF(E50&lt;='组合输入'!$K2,"AAA",IF(E50&lt;='组合输入'!$L2,"AA",IF(E50&lt;='组合输入'!$M2,"A",IF(E50&lt;='组合输入'!$N2,"BBB",IF(E50&lt;='组合输入'!$O2,"BB",IF(E50&lt;='组合输入'!$P2,"B",IF(E50&lt;='组合输入'!$Q2,"CCC","D")))))))</f>
        <v/>
      </c>
      <c r="G50" s="12">
        <f>IF(F50="","",INDEX('状态价值'!$D2:$K2,MATCH(F50,'状态价值'!$D$1:$K$1,0)))</f>
        <v/>
      </c>
      <c r="H50" s="15">
        <f>NORM.S.INV(RAND())</f>
        <v/>
      </c>
      <c r="I50" s="15">
        <f>IF('组合输入'!$C3="","",'组合输入'!$H3*$B50+SQRT(1-'组合输入'!$H3^2)*H50)</f>
        <v/>
      </c>
      <c r="J50" s="7">
        <f>IF(I50="","",NORM.S.DIST(I50,TRUE))</f>
        <v/>
      </c>
      <c r="K50" s="13">
        <f>IF(J50="","",IF(J50&lt;='组合输入'!$K3,"AAA",IF(J50&lt;='组合输入'!$L3,"AA",IF(J50&lt;='组合输入'!$M3,"A",IF(J50&lt;='组合输入'!$N3,"BBB",IF(J50&lt;='组合输入'!$O3,"BB",IF(J50&lt;='组合输入'!$P3,"B",IF(J50&lt;='组合输入'!$Q3,"CCC","D")))))))</f>
        <v/>
      </c>
      <c r="L50" s="12">
        <f>IF(K50="","",INDEX('状态价值'!$D3:$K3,MATCH(K50,'状态价值'!$D$1:$K$1,0)))</f>
        <v/>
      </c>
      <c r="M50" s="15">
        <f>NORM.S.INV(RAND())</f>
        <v/>
      </c>
      <c r="N50" s="15">
        <f>IF('组合输入'!$C4="","",'组合输入'!$H4*$B50+SQRT(1-'组合输入'!$H4^2)*M50)</f>
        <v/>
      </c>
      <c r="O50" s="7">
        <f>IF(N50="","",NORM.S.DIST(N50,TRUE))</f>
        <v/>
      </c>
      <c r="P50" s="13">
        <f>IF(O50="","",IF(O50&lt;='组合输入'!$K4,"AAA",IF(O50&lt;='组合输入'!$L4,"AA",IF(O50&lt;='组合输入'!$M4,"A",IF(O50&lt;='组合输入'!$N4,"BBB",IF(O50&lt;='组合输入'!$O4,"BB",IF(O50&lt;='组合输入'!$P4,"B",IF(O50&lt;='组合输入'!$Q4,"CCC","D")))))))</f>
        <v/>
      </c>
      <c r="Q50" s="12">
        <f>IF(P50="","",INDEX('状态价值'!$D4:$K4,MATCH(P50,'状态价值'!$D$1:$K$1,0)))</f>
        <v/>
      </c>
      <c r="R50" s="15">
        <f>NORM.S.INV(RAND())</f>
        <v/>
      </c>
      <c r="S50" s="15">
        <f>IF('组合输入'!$C5="","",'组合输入'!$H5*$B50+SQRT(1-'组合输入'!$H5^2)*R50)</f>
        <v/>
      </c>
      <c r="T50" s="7">
        <f>IF(S50="","",NORM.S.DIST(S50,TRUE))</f>
        <v/>
      </c>
      <c r="U50" s="13">
        <f>IF(T50="","",IF(T50&lt;='组合输入'!$K5,"AAA",IF(T50&lt;='组合输入'!$L5,"AA",IF(T50&lt;='组合输入'!$M5,"A",IF(T50&lt;='组合输入'!$N5,"BBB",IF(T50&lt;='组合输入'!$O5,"BB",IF(T50&lt;='组合输入'!$P5,"B",IF(T50&lt;='组合输入'!$Q5,"CCC","D")))))))</f>
        <v/>
      </c>
      <c r="V50" s="12">
        <f>IF(U50="","",INDEX('状态价值'!$D5:$K5,MATCH(U50,'状态价值'!$D$1:$K$1,0)))</f>
        <v/>
      </c>
      <c r="W50" s="15">
        <f>NORM.S.INV(RAND())</f>
        <v/>
      </c>
      <c r="X50" s="15">
        <f>IF('组合输入'!$C6="","",'组合输入'!$H6*$B50+SQRT(1-'组合输入'!$H6^2)*W50)</f>
        <v/>
      </c>
      <c r="Y50" s="7">
        <f>IF(X50="","",NORM.S.DIST(X50,TRUE))</f>
        <v/>
      </c>
      <c r="Z50" s="13">
        <f>IF(Y50="","",IF(Y50&lt;='组合输入'!$K6,"AAA",IF(Y50&lt;='组合输入'!$L6,"AA",IF(Y50&lt;='组合输入'!$M6,"A",IF(Y50&lt;='组合输入'!$N6,"BBB",IF(Y50&lt;='组合输入'!$O6,"BB",IF(Y50&lt;='组合输入'!$P6,"B",IF(Y50&lt;='组合输入'!$Q6,"CCC","D")))))))</f>
        <v/>
      </c>
      <c r="AA50" s="12">
        <f>IF(Z50="","",INDEX('状态价值'!$D6:$K6,MATCH(Z50,'状态价值'!$D$1:$K$1,0)))</f>
        <v/>
      </c>
      <c r="AB50" s="15">
        <f>NORM.S.INV(RAND())</f>
        <v/>
      </c>
      <c r="AC50" s="15">
        <f>IF('组合输入'!$C7="","",'组合输入'!$H7*$B50+SQRT(1-'组合输入'!$H7^2)*AB50)</f>
        <v/>
      </c>
      <c r="AD50" s="7">
        <f>IF(AC50="","",NORM.S.DIST(AC50,TRUE))</f>
        <v/>
      </c>
      <c r="AE50" s="13">
        <f>IF(AD50="","",IF(AD50&lt;='组合输入'!$K7,"AAA",IF(AD50&lt;='组合输入'!$L7,"AA",IF(AD50&lt;='组合输入'!$M7,"A",IF(AD50&lt;='组合输入'!$N7,"BBB",IF(AD50&lt;='组合输入'!$O7,"BB",IF(AD50&lt;='组合输入'!$P7,"B",IF(AD50&lt;='组合输入'!$Q7,"CCC","D")))))))</f>
        <v/>
      </c>
      <c r="AF50" s="12">
        <f>IF(AE50="","",INDEX('状态价值'!$D7:$K7,MATCH(AE50,'状态价值'!$D$1:$K$1,0)))</f>
        <v/>
      </c>
      <c r="AG50" s="15">
        <f>NORM.S.INV(RAND())</f>
        <v/>
      </c>
      <c r="AH50" s="15">
        <f>IF('组合输入'!$C8="","",'组合输入'!$H8*$B50+SQRT(1-'组合输入'!$H8^2)*AG50)</f>
        <v/>
      </c>
      <c r="AI50" s="7">
        <f>IF(AH50="","",NORM.S.DIST(AH50,TRUE))</f>
        <v/>
      </c>
      <c r="AJ50" s="13">
        <f>IF(AI50="","",IF(AI50&lt;='组合输入'!$K8,"AAA",IF(AI50&lt;='组合输入'!$L8,"AA",IF(AI50&lt;='组合输入'!$M8,"A",IF(AI50&lt;='组合输入'!$N8,"BBB",IF(AI50&lt;='组合输入'!$O8,"BB",IF(AI50&lt;='组合输入'!$P8,"B",IF(AI50&lt;='组合输入'!$Q8,"CCC","D")))))))</f>
        <v/>
      </c>
      <c r="AK50" s="12">
        <f>IF(AJ50="","",INDEX('状态价值'!$D8:$K8,MATCH(AJ50,'状态价值'!$D$1:$K$1,0)))</f>
        <v/>
      </c>
      <c r="AL50" s="15">
        <f>NORM.S.INV(RAND())</f>
        <v/>
      </c>
      <c r="AM50" s="15">
        <f>IF('组合输入'!$C9="","",'组合输入'!$H9*$B50+SQRT(1-'组合输入'!$H9^2)*AL50)</f>
        <v/>
      </c>
      <c r="AN50" s="7">
        <f>IF(AM50="","",NORM.S.DIST(AM50,TRUE))</f>
        <v/>
      </c>
      <c r="AO50" s="13">
        <f>IF(AN50="","",IF(AN50&lt;='组合输入'!$K9,"AAA",IF(AN50&lt;='组合输入'!$L9,"AA",IF(AN50&lt;='组合输入'!$M9,"A",IF(AN50&lt;='组合输入'!$N9,"BBB",IF(AN50&lt;='组合输入'!$O9,"BB",IF(AN50&lt;='组合输入'!$P9,"B",IF(AN50&lt;='组合输入'!$Q9,"CCC","D")))))))</f>
        <v/>
      </c>
      <c r="AP50" s="12">
        <f>IF(AO50="","",INDEX('状态价值'!$D9:$K9,MATCH(AO50,'状态价值'!$D$1:$K$1,0)))</f>
        <v/>
      </c>
      <c r="AQ50" s="15">
        <f>NORM.S.INV(RAND())</f>
        <v/>
      </c>
      <c r="AR50" s="15">
        <f>IF('组合输入'!$C10="","",'组合输入'!$H10*$B50+SQRT(1-'组合输入'!$H10^2)*AQ50)</f>
        <v/>
      </c>
      <c r="AS50" s="7">
        <f>IF(AR50="","",NORM.S.DIST(AR50,TRUE))</f>
        <v/>
      </c>
      <c r="AT50" s="13">
        <f>IF(AS50="","",IF(AS50&lt;='组合输入'!$K10,"AAA",IF(AS50&lt;='组合输入'!$L10,"AA",IF(AS50&lt;='组合输入'!$M10,"A",IF(AS50&lt;='组合输入'!$N10,"BBB",IF(AS50&lt;='组合输入'!$O10,"BB",IF(AS50&lt;='组合输入'!$P10,"B",IF(AS50&lt;='组合输入'!$Q10,"CCC","D")))))))</f>
        <v/>
      </c>
      <c r="AU50" s="12">
        <f>IF(AT50="","",INDEX('状态价值'!$D10:$K10,MATCH(AT50,'状态价值'!$D$1:$K$1,0)))</f>
        <v/>
      </c>
      <c r="AV50" s="15">
        <f>NORM.S.INV(RAND())</f>
        <v/>
      </c>
      <c r="AW50" s="15">
        <f>IF('组合输入'!$C11="","",'组合输入'!$H11*$B50+SQRT(1-'组合输入'!$H11^2)*AV50)</f>
        <v/>
      </c>
      <c r="AX50" s="7">
        <f>IF(AW50="","",NORM.S.DIST(AW50,TRUE))</f>
        <v/>
      </c>
      <c r="AY50" s="13">
        <f>IF(AX50="","",IF(AX50&lt;='组合输入'!$K11,"AAA",IF(AX50&lt;='组合输入'!$L11,"AA",IF(AX50&lt;='组合输入'!$M11,"A",IF(AX50&lt;='组合输入'!$N11,"BBB",IF(AX50&lt;='组合输入'!$O11,"BB",IF(AX50&lt;='组合输入'!$P11,"B",IF(AX50&lt;='组合输入'!$Q11,"CCC","D")))))))</f>
        <v/>
      </c>
      <c r="AZ50" s="12">
        <f>IF(AY50="","",INDEX('状态价值'!$D11:$K11,MATCH(AY50,'状态价值'!$D$1:$K$1,0)))</f>
        <v/>
      </c>
      <c r="BA50" s="12">
        <f>G50+L50+Q50+V50+AA50+AF50+AK50+AP50+AU50+AZ50</f>
        <v/>
      </c>
      <c r="BB50" s="12">
        <f>SUM('组合输入'!$J$2:$J$11)-BA50</f>
        <v/>
      </c>
    </row>
    <row r="51">
      <c r="A51" s="11" t="n">
        <v>50</v>
      </c>
      <c r="B51" s="14">
        <f>NORM.S.INV(RAND())</f>
        <v/>
      </c>
      <c r="C51" s="14">
        <f>NORM.S.INV(RAND())</f>
        <v/>
      </c>
      <c r="D51" s="15">
        <f>IF('组合输入'!$C2="","",'组合输入'!$H2*$B51+SQRT(1-'组合输入'!$H2^2)*C51)</f>
        <v/>
      </c>
      <c r="E51" s="7">
        <f>IF(D51="","",NORM.S.DIST(D51,TRUE))</f>
        <v/>
      </c>
      <c r="F51" s="13">
        <f>IF(E51="","",IF(E51&lt;='组合输入'!$K2,"AAA",IF(E51&lt;='组合输入'!$L2,"AA",IF(E51&lt;='组合输入'!$M2,"A",IF(E51&lt;='组合输入'!$N2,"BBB",IF(E51&lt;='组合输入'!$O2,"BB",IF(E51&lt;='组合输入'!$P2,"B",IF(E51&lt;='组合输入'!$Q2,"CCC","D")))))))</f>
        <v/>
      </c>
      <c r="G51" s="12">
        <f>IF(F51="","",INDEX('状态价值'!$D2:$K2,MATCH(F51,'状态价值'!$D$1:$K$1,0)))</f>
        <v/>
      </c>
      <c r="H51" s="15">
        <f>NORM.S.INV(RAND())</f>
        <v/>
      </c>
      <c r="I51" s="15">
        <f>IF('组合输入'!$C3="","",'组合输入'!$H3*$B51+SQRT(1-'组合输入'!$H3^2)*H51)</f>
        <v/>
      </c>
      <c r="J51" s="7">
        <f>IF(I51="","",NORM.S.DIST(I51,TRUE))</f>
        <v/>
      </c>
      <c r="K51" s="13">
        <f>IF(J51="","",IF(J51&lt;='组合输入'!$K3,"AAA",IF(J51&lt;='组合输入'!$L3,"AA",IF(J51&lt;='组合输入'!$M3,"A",IF(J51&lt;='组合输入'!$N3,"BBB",IF(J51&lt;='组合输入'!$O3,"BB",IF(J51&lt;='组合输入'!$P3,"B",IF(J51&lt;='组合输入'!$Q3,"CCC","D")))))))</f>
        <v/>
      </c>
      <c r="L51" s="12">
        <f>IF(K51="","",INDEX('状态价值'!$D3:$K3,MATCH(K51,'状态价值'!$D$1:$K$1,0)))</f>
        <v/>
      </c>
      <c r="M51" s="15">
        <f>NORM.S.INV(RAND())</f>
        <v/>
      </c>
      <c r="N51" s="15">
        <f>IF('组合输入'!$C4="","",'组合输入'!$H4*$B51+SQRT(1-'组合输入'!$H4^2)*M51)</f>
        <v/>
      </c>
      <c r="O51" s="7">
        <f>IF(N51="","",NORM.S.DIST(N51,TRUE))</f>
        <v/>
      </c>
      <c r="P51" s="13">
        <f>IF(O51="","",IF(O51&lt;='组合输入'!$K4,"AAA",IF(O51&lt;='组合输入'!$L4,"AA",IF(O51&lt;='组合输入'!$M4,"A",IF(O51&lt;='组合输入'!$N4,"BBB",IF(O51&lt;='组合输入'!$O4,"BB",IF(O51&lt;='组合输入'!$P4,"B",IF(O51&lt;='组合输入'!$Q4,"CCC","D")))))))</f>
        <v/>
      </c>
      <c r="Q51" s="12">
        <f>IF(P51="","",INDEX('状态价值'!$D4:$K4,MATCH(P51,'状态价值'!$D$1:$K$1,0)))</f>
        <v/>
      </c>
      <c r="R51" s="15">
        <f>NORM.S.INV(RAND())</f>
        <v/>
      </c>
      <c r="S51" s="15">
        <f>IF('组合输入'!$C5="","",'组合输入'!$H5*$B51+SQRT(1-'组合输入'!$H5^2)*R51)</f>
        <v/>
      </c>
      <c r="T51" s="7">
        <f>IF(S51="","",NORM.S.DIST(S51,TRUE))</f>
        <v/>
      </c>
      <c r="U51" s="13">
        <f>IF(T51="","",IF(T51&lt;='组合输入'!$K5,"AAA",IF(T51&lt;='组合输入'!$L5,"AA",IF(T51&lt;='组合输入'!$M5,"A",IF(T51&lt;='组合输入'!$N5,"BBB",IF(T51&lt;='组合输入'!$O5,"BB",IF(T51&lt;='组合输入'!$P5,"B",IF(T51&lt;='组合输入'!$Q5,"CCC","D")))))))</f>
        <v/>
      </c>
      <c r="V51" s="12">
        <f>IF(U51="","",INDEX('状态价值'!$D5:$K5,MATCH(U51,'状态价值'!$D$1:$K$1,0)))</f>
        <v/>
      </c>
      <c r="W51" s="15">
        <f>NORM.S.INV(RAND())</f>
        <v/>
      </c>
      <c r="X51" s="15">
        <f>IF('组合输入'!$C6="","",'组合输入'!$H6*$B51+SQRT(1-'组合输入'!$H6^2)*W51)</f>
        <v/>
      </c>
      <c r="Y51" s="7">
        <f>IF(X51="","",NORM.S.DIST(X51,TRUE))</f>
        <v/>
      </c>
      <c r="Z51" s="13">
        <f>IF(Y51="","",IF(Y51&lt;='组合输入'!$K6,"AAA",IF(Y51&lt;='组合输入'!$L6,"AA",IF(Y51&lt;='组合输入'!$M6,"A",IF(Y51&lt;='组合输入'!$N6,"BBB",IF(Y51&lt;='组合输入'!$O6,"BB",IF(Y51&lt;='组合输入'!$P6,"B",IF(Y51&lt;='组合输入'!$Q6,"CCC","D")))))))</f>
        <v/>
      </c>
      <c r="AA51" s="12">
        <f>IF(Z51="","",INDEX('状态价值'!$D6:$K6,MATCH(Z51,'状态价值'!$D$1:$K$1,0)))</f>
        <v/>
      </c>
      <c r="AB51" s="15">
        <f>NORM.S.INV(RAND())</f>
        <v/>
      </c>
      <c r="AC51" s="15">
        <f>IF('组合输入'!$C7="","",'组合输入'!$H7*$B51+SQRT(1-'组合输入'!$H7^2)*AB51)</f>
        <v/>
      </c>
      <c r="AD51" s="7">
        <f>IF(AC51="","",NORM.S.DIST(AC51,TRUE))</f>
        <v/>
      </c>
      <c r="AE51" s="13">
        <f>IF(AD51="","",IF(AD51&lt;='组合输入'!$K7,"AAA",IF(AD51&lt;='组合输入'!$L7,"AA",IF(AD51&lt;='组合输入'!$M7,"A",IF(AD51&lt;='组合输入'!$N7,"BBB",IF(AD51&lt;='组合输入'!$O7,"BB",IF(AD51&lt;='组合输入'!$P7,"B",IF(AD51&lt;='组合输入'!$Q7,"CCC","D")))))))</f>
        <v/>
      </c>
      <c r="AF51" s="12">
        <f>IF(AE51="","",INDEX('状态价值'!$D7:$K7,MATCH(AE51,'状态价值'!$D$1:$K$1,0)))</f>
        <v/>
      </c>
      <c r="AG51" s="15">
        <f>NORM.S.INV(RAND())</f>
        <v/>
      </c>
      <c r="AH51" s="15">
        <f>IF('组合输入'!$C8="","",'组合输入'!$H8*$B51+SQRT(1-'组合输入'!$H8^2)*AG51)</f>
        <v/>
      </c>
      <c r="AI51" s="7">
        <f>IF(AH51="","",NORM.S.DIST(AH51,TRUE))</f>
        <v/>
      </c>
      <c r="AJ51" s="13">
        <f>IF(AI51="","",IF(AI51&lt;='组合输入'!$K8,"AAA",IF(AI51&lt;='组合输入'!$L8,"AA",IF(AI51&lt;='组合输入'!$M8,"A",IF(AI51&lt;='组合输入'!$N8,"BBB",IF(AI51&lt;='组合输入'!$O8,"BB",IF(AI51&lt;='组合输入'!$P8,"B",IF(AI51&lt;='组合输入'!$Q8,"CCC","D")))))))</f>
        <v/>
      </c>
      <c r="AK51" s="12">
        <f>IF(AJ51="","",INDEX('状态价值'!$D8:$K8,MATCH(AJ51,'状态价值'!$D$1:$K$1,0)))</f>
        <v/>
      </c>
      <c r="AL51" s="15">
        <f>NORM.S.INV(RAND())</f>
        <v/>
      </c>
      <c r="AM51" s="15">
        <f>IF('组合输入'!$C9="","",'组合输入'!$H9*$B51+SQRT(1-'组合输入'!$H9^2)*AL51)</f>
        <v/>
      </c>
      <c r="AN51" s="7">
        <f>IF(AM51="","",NORM.S.DIST(AM51,TRUE))</f>
        <v/>
      </c>
      <c r="AO51" s="13">
        <f>IF(AN51="","",IF(AN51&lt;='组合输入'!$K9,"AAA",IF(AN51&lt;='组合输入'!$L9,"AA",IF(AN51&lt;='组合输入'!$M9,"A",IF(AN51&lt;='组合输入'!$N9,"BBB",IF(AN51&lt;='组合输入'!$O9,"BB",IF(AN51&lt;='组合输入'!$P9,"B",IF(AN51&lt;='组合输入'!$Q9,"CCC","D")))))))</f>
        <v/>
      </c>
      <c r="AP51" s="12">
        <f>IF(AO51="","",INDEX('状态价值'!$D9:$K9,MATCH(AO51,'状态价值'!$D$1:$K$1,0)))</f>
        <v/>
      </c>
      <c r="AQ51" s="15">
        <f>NORM.S.INV(RAND())</f>
        <v/>
      </c>
      <c r="AR51" s="15">
        <f>IF('组合输入'!$C10="","",'组合输入'!$H10*$B51+SQRT(1-'组合输入'!$H10^2)*AQ51)</f>
        <v/>
      </c>
      <c r="AS51" s="7">
        <f>IF(AR51="","",NORM.S.DIST(AR51,TRUE))</f>
        <v/>
      </c>
      <c r="AT51" s="13">
        <f>IF(AS51="","",IF(AS51&lt;='组合输入'!$K10,"AAA",IF(AS51&lt;='组合输入'!$L10,"AA",IF(AS51&lt;='组合输入'!$M10,"A",IF(AS51&lt;='组合输入'!$N10,"BBB",IF(AS51&lt;='组合输入'!$O10,"BB",IF(AS51&lt;='组合输入'!$P10,"B",IF(AS51&lt;='组合输入'!$Q10,"CCC","D")))))))</f>
        <v/>
      </c>
      <c r="AU51" s="12">
        <f>IF(AT51="","",INDEX('状态价值'!$D10:$K10,MATCH(AT51,'状态价值'!$D$1:$K$1,0)))</f>
        <v/>
      </c>
      <c r="AV51" s="15">
        <f>NORM.S.INV(RAND())</f>
        <v/>
      </c>
      <c r="AW51" s="15">
        <f>IF('组合输入'!$C11="","",'组合输入'!$H11*$B51+SQRT(1-'组合输入'!$H11^2)*AV51)</f>
        <v/>
      </c>
      <c r="AX51" s="7">
        <f>IF(AW51="","",NORM.S.DIST(AW51,TRUE))</f>
        <v/>
      </c>
      <c r="AY51" s="13">
        <f>IF(AX51="","",IF(AX51&lt;='组合输入'!$K11,"AAA",IF(AX51&lt;='组合输入'!$L11,"AA",IF(AX51&lt;='组合输入'!$M11,"A",IF(AX51&lt;='组合输入'!$N11,"BBB",IF(AX51&lt;='组合输入'!$O11,"BB",IF(AX51&lt;='组合输入'!$P11,"B",IF(AX51&lt;='组合输入'!$Q11,"CCC","D")))))))</f>
        <v/>
      </c>
      <c r="AZ51" s="12">
        <f>IF(AY51="","",INDEX('状态价值'!$D11:$K11,MATCH(AY51,'状态价值'!$D$1:$K$1,0)))</f>
        <v/>
      </c>
      <c r="BA51" s="12">
        <f>G51+L51+Q51+V51+AA51+AF51+AK51+AP51+AU51+AZ51</f>
        <v/>
      </c>
      <c r="BB51" s="12">
        <f>SUM('组合输入'!$J$2:$J$11)-BA51</f>
        <v/>
      </c>
    </row>
    <row r="52">
      <c r="A52" s="11" t="n">
        <v>51</v>
      </c>
      <c r="B52" s="14">
        <f>NORM.S.INV(RAND())</f>
        <v/>
      </c>
      <c r="C52" s="14">
        <f>NORM.S.INV(RAND())</f>
        <v/>
      </c>
      <c r="D52" s="15">
        <f>IF('组合输入'!$C2="","",'组合输入'!$H2*$B52+SQRT(1-'组合输入'!$H2^2)*C52)</f>
        <v/>
      </c>
      <c r="E52" s="7">
        <f>IF(D52="","",NORM.S.DIST(D52,TRUE))</f>
        <v/>
      </c>
      <c r="F52" s="13">
        <f>IF(E52="","",IF(E52&lt;='组合输入'!$K2,"AAA",IF(E52&lt;='组合输入'!$L2,"AA",IF(E52&lt;='组合输入'!$M2,"A",IF(E52&lt;='组合输入'!$N2,"BBB",IF(E52&lt;='组合输入'!$O2,"BB",IF(E52&lt;='组合输入'!$P2,"B",IF(E52&lt;='组合输入'!$Q2,"CCC","D")))))))</f>
        <v/>
      </c>
      <c r="G52" s="12">
        <f>IF(F52="","",INDEX('状态价值'!$D2:$K2,MATCH(F52,'状态价值'!$D$1:$K$1,0)))</f>
        <v/>
      </c>
      <c r="H52" s="15">
        <f>NORM.S.INV(RAND())</f>
        <v/>
      </c>
      <c r="I52" s="15">
        <f>IF('组合输入'!$C3="","",'组合输入'!$H3*$B52+SQRT(1-'组合输入'!$H3^2)*H52)</f>
        <v/>
      </c>
      <c r="J52" s="7">
        <f>IF(I52="","",NORM.S.DIST(I52,TRUE))</f>
        <v/>
      </c>
      <c r="K52" s="13">
        <f>IF(J52="","",IF(J52&lt;='组合输入'!$K3,"AAA",IF(J52&lt;='组合输入'!$L3,"AA",IF(J52&lt;='组合输入'!$M3,"A",IF(J52&lt;='组合输入'!$N3,"BBB",IF(J52&lt;='组合输入'!$O3,"BB",IF(J52&lt;='组合输入'!$P3,"B",IF(J52&lt;='组合输入'!$Q3,"CCC","D")))))))</f>
        <v/>
      </c>
      <c r="L52" s="12">
        <f>IF(K52="","",INDEX('状态价值'!$D3:$K3,MATCH(K52,'状态价值'!$D$1:$K$1,0)))</f>
        <v/>
      </c>
      <c r="M52" s="15">
        <f>NORM.S.INV(RAND())</f>
        <v/>
      </c>
      <c r="N52" s="15">
        <f>IF('组合输入'!$C4="","",'组合输入'!$H4*$B52+SQRT(1-'组合输入'!$H4^2)*M52)</f>
        <v/>
      </c>
      <c r="O52" s="7">
        <f>IF(N52="","",NORM.S.DIST(N52,TRUE))</f>
        <v/>
      </c>
      <c r="P52" s="13">
        <f>IF(O52="","",IF(O52&lt;='组合输入'!$K4,"AAA",IF(O52&lt;='组合输入'!$L4,"AA",IF(O52&lt;='组合输入'!$M4,"A",IF(O52&lt;='组合输入'!$N4,"BBB",IF(O52&lt;='组合输入'!$O4,"BB",IF(O52&lt;='组合输入'!$P4,"B",IF(O52&lt;='组合输入'!$Q4,"CCC","D")))))))</f>
        <v/>
      </c>
      <c r="Q52" s="12">
        <f>IF(P52="","",INDEX('状态价值'!$D4:$K4,MATCH(P52,'状态价值'!$D$1:$K$1,0)))</f>
        <v/>
      </c>
      <c r="R52" s="15">
        <f>NORM.S.INV(RAND())</f>
        <v/>
      </c>
      <c r="S52" s="15">
        <f>IF('组合输入'!$C5="","",'组合输入'!$H5*$B52+SQRT(1-'组合输入'!$H5^2)*R52)</f>
        <v/>
      </c>
      <c r="T52" s="7">
        <f>IF(S52="","",NORM.S.DIST(S52,TRUE))</f>
        <v/>
      </c>
      <c r="U52" s="13">
        <f>IF(T52="","",IF(T52&lt;='组合输入'!$K5,"AAA",IF(T52&lt;='组合输入'!$L5,"AA",IF(T52&lt;='组合输入'!$M5,"A",IF(T52&lt;='组合输入'!$N5,"BBB",IF(T52&lt;='组合输入'!$O5,"BB",IF(T52&lt;='组合输入'!$P5,"B",IF(T52&lt;='组合输入'!$Q5,"CCC","D")))))))</f>
        <v/>
      </c>
      <c r="V52" s="12">
        <f>IF(U52="","",INDEX('状态价值'!$D5:$K5,MATCH(U52,'状态价值'!$D$1:$K$1,0)))</f>
        <v/>
      </c>
      <c r="W52" s="15">
        <f>NORM.S.INV(RAND())</f>
        <v/>
      </c>
      <c r="X52" s="15">
        <f>IF('组合输入'!$C6="","",'组合输入'!$H6*$B52+SQRT(1-'组合输入'!$H6^2)*W52)</f>
        <v/>
      </c>
      <c r="Y52" s="7">
        <f>IF(X52="","",NORM.S.DIST(X52,TRUE))</f>
        <v/>
      </c>
      <c r="Z52" s="13">
        <f>IF(Y52="","",IF(Y52&lt;='组合输入'!$K6,"AAA",IF(Y52&lt;='组合输入'!$L6,"AA",IF(Y52&lt;='组合输入'!$M6,"A",IF(Y52&lt;='组合输入'!$N6,"BBB",IF(Y52&lt;='组合输入'!$O6,"BB",IF(Y52&lt;='组合输入'!$P6,"B",IF(Y52&lt;='组合输入'!$Q6,"CCC","D")))))))</f>
        <v/>
      </c>
      <c r="AA52" s="12">
        <f>IF(Z52="","",INDEX('状态价值'!$D6:$K6,MATCH(Z52,'状态价值'!$D$1:$K$1,0)))</f>
        <v/>
      </c>
      <c r="AB52" s="15">
        <f>NORM.S.INV(RAND())</f>
        <v/>
      </c>
      <c r="AC52" s="15">
        <f>IF('组合输入'!$C7="","",'组合输入'!$H7*$B52+SQRT(1-'组合输入'!$H7^2)*AB52)</f>
        <v/>
      </c>
      <c r="AD52" s="7">
        <f>IF(AC52="","",NORM.S.DIST(AC52,TRUE))</f>
        <v/>
      </c>
      <c r="AE52" s="13">
        <f>IF(AD52="","",IF(AD52&lt;='组合输入'!$K7,"AAA",IF(AD52&lt;='组合输入'!$L7,"AA",IF(AD52&lt;='组合输入'!$M7,"A",IF(AD52&lt;='组合输入'!$N7,"BBB",IF(AD52&lt;='组合输入'!$O7,"BB",IF(AD52&lt;='组合输入'!$P7,"B",IF(AD52&lt;='组合输入'!$Q7,"CCC","D")))))))</f>
        <v/>
      </c>
      <c r="AF52" s="12">
        <f>IF(AE52="","",INDEX('状态价值'!$D7:$K7,MATCH(AE52,'状态价值'!$D$1:$K$1,0)))</f>
        <v/>
      </c>
      <c r="AG52" s="15">
        <f>NORM.S.INV(RAND())</f>
        <v/>
      </c>
      <c r="AH52" s="15">
        <f>IF('组合输入'!$C8="","",'组合输入'!$H8*$B52+SQRT(1-'组合输入'!$H8^2)*AG52)</f>
        <v/>
      </c>
      <c r="AI52" s="7">
        <f>IF(AH52="","",NORM.S.DIST(AH52,TRUE))</f>
        <v/>
      </c>
      <c r="AJ52" s="13">
        <f>IF(AI52="","",IF(AI52&lt;='组合输入'!$K8,"AAA",IF(AI52&lt;='组合输入'!$L8,"AA",IF(AI52&lt;='组合输入'!$M8,"A",IF(AI52&lt;='组合输入'!$N8,"BBB",IF(AI52&lt;='组合输入'!$O8,"BB",IF(AI52&lt;='组合输入'!$P8,"B",IF(AI52&lt;='组合输入'!$Q8,"CCC","D")))))))</f>
        <v/>
      </c>
      <c r="AK52" s="12">
        <f>IF(AJ52="","",INDEX('状态价值'!$D8:$K8,MATCH(AJ52,'状态价值'!$D$1:$K$1,0)))</f>
        <v/>
      </c>
      <c r="AL52" s="15">
        <f>NORM.S.INV(RAND())</f>
        <v/>
      </c>
      <c r="AM52" s="15">
        <f>IF('组合输入'!$C9="","",'组合输入'!$H9*$B52+SQRT(1-'组合输入'!$H9^2)*AL52)</f>
        <v/>
      </c>
      <c r="AN52" s="7">
        <f>IF(AM52="","",NORM.S.DIST(AM52,TRUE))</f>
        <v/>
      </c>
      <c r="AO52" s="13">
        <f>IF(AN52="","",IF(AN52&lt;='组合输入'!$K9,"AAA",IF(AN52&lt;='组合输入'!$L9,"AA",IF(AN52&lt;='组合输入'!$M9,"A",IF(AN52&lt;='组合输入'!$N9,"BBB",IF(AN52&lt;='组合输入'!$O9,"BB",IF(AN52&lt;='组合输入'!$P9,"B",IF(AN52&lt;='组合输入'!$Q9,"CCC","D")))))))</f>
        <v/>
      </c>
      <c r="AP52" s="12">
        <f>IF(AO52="","",INDEX('状态价值'!$D9:$K9,MATCH(AO52,'状态价值'!$D$1:$K$1,0)))</f>
        <v/>
      </c>
      <c r="AQ52" s="15">
        <f>NORM.S.INV(RAND())</f>
        <v/>
      </c>
      <c r="AR52" s="15">
        <f>IF('组合输入'!$C10="","",'组合输入'!$H10*$B52+SQRT(1-'组合输入'!$H10^2)*AQ52)</f>
        <v/>
      </c>
      <c r="AS52" s="7">
        <f>IF(AR52="","",NORM.S.DIST(AR52,TRUE))</f>
        <v/>
      </c>
      <c r="AT52" s="13">
        <f>IF(AS52="","",IF(AS52&lt;='组合输入'!$K10,"AAA",IF(AS52&lt;='组合输入'!$L10,"AA",IF(AS52&lt;='组合输入'!$M10,"A",IF(AS52&lt;='组合输入'!$N10,"BBB",IF(AS52&lt;='组合输入'!$O10,"BB",IF(AS52&lt;='组合输入'!$P10,"B",IF(AS52&lt;='组合输入'!$Q10,"CCC","D")))))))</f>
        <v/>
      </c>
      <c r="AU52" s="12">
        <f>IF(AT52="","",INDEX('状态价值'!$D10:$K10,MATCH(AT52,'状态价值'!$D$1:$K$1,0)))</f>
        <v/>
      </c>
      <c r="AV52" s="15">
        <f>NORM.S.INV(RAND())</f>
        <v/>
      </c>
      <c r="AW52" s="15">
        <f>IF('组合输入'!$C11="","",'组合输入'!$H11*$B52+SQRT(1-'组合输入'!$H11^2)*AV52)</f>
        <v/>
      </c>
      <c r="AX52" s="7">
        <f>IF(AW52="","",NORM.S.DIST(AW52,TRUE))</f>
        <v/>
      </c>
      <c r="AY52" s="13">
        <f>IF(AX52="","",IF(AX52&lt;='组合输入'!$K11,"AAA",IF(AX52&lt;='组合输入'!$L11,"AA",IF(AX52&lt;='组合输入'!$M11,"A",IF(AX52&lt;='组合输入'!$N11,"BBB",IF(AX52&lt;='组合输入'!$O11,"BB",IF(AX52&lt;='组合输入'!$P11,"B",IF(AX52&lt;='组合输入'!$Q11,"CCC","D")))))))</f>
        <v/>
      </c>
      <c r="AZ52" s="12">
        <f>IF(AY52="","",INDEX('状态价值'!$D11:$K11,MATCH(AY52,'状态价值'!$D$1:$K$1,0)))</f>
        <v/>
      </c>
      <c r="BA52" s="12">
        <f>G52+L52+Q52+V52+AA52+AF52+AK52+AP52+AU52+AZ52</f>
        <v/>
      </c>
      <c r="BB52" s="12">
        <f>SUM('组合输入'!$J$2:$J$11)-BA52</f>
        <v/>
      </c>
    </row>
    <row r="53">
      <c r="A53" s="11" t="n">
        <v>52</v>
      </c>
      <c r="B53" s="14">
        <f>NORM.S.INV(RAND())</f>
        <v/>
      </c>
      <c r="C53" s="14">
        <f>NORM.S.INV(RAND())</f>
        <v/>
      </c>
      <c r="D53" s="15">
        <f>IF('组合输入'!$C2="","",'组合输入'!$H2*$B53+SQRT(1-'组合输入'!$H2^2)*C53)</f>
        <v/>
      </c>
      <c r="E53" s="7">
        <f>IF(D53="","",NORM.S.DIST(D53,TRUE))</f>
        <v/>
      </c>
      <c r="F53" s="13">
        <f>IF(E53="","",IF(E53&lt;='组合输入'!$K2,"AAA",IF(E53&lt;='组合输入'!$L2,"AA",IF(E53&lt;='组合输入'!$M2,"A",IF(E53&lt;='组合输入'!$N2,"BBB",IF(E53&lt;='组合输入'!$O2,"BB",IF(E53&lt;='组合输入'!$P2,"B",IF(E53&lt;='组合输入'!$Q2,"CCC","D")))))))</f>
        <v/>
      </c>
      <c r="G53" s="12">
        <f>IF(F53="","",INDEX('状态价值'!$D2:$K2,MATCH(F53,'状态价值'!$D$1:$K$1,0)))</f>
        <v/>
      </c>
      <c r="H53" s="15">
        <f>NORM.S.INV(RAND())</f>
        <v/>
      </c>
      <c r="I53" s="15">
        <f>IF('组合输入'!$C3="","",'组合输入'!$H3*$B53+SQRT(1-'组合输入'!$H3^2)*H53)</f>
        <v/>
      </c>
      <c r="J53" s="7">
        <f>IF(I53="","",NORM.S.DIST(I53,TRUE))</f>
        <v/>
      </c>
      <c r="K53" s="13">
        <f>IF(J53="","",IF(J53&lt;='组合输入'!$K3,"AAA",IF(J53&lt;='组合输入'!$L3,"AA",IF(J53&lt;='组合输入'!$M3,"A",IF(J53&lt;='组合输入'!$N3,"BBB",IF(J53&lt;='组合输入'!$O3,"BB",IF(J53&lt;='组合输入'!$P3,"B",IF(J53&lt;='组合输入'!$Q3,"CCC","D")))))))</f>
        <v/>
      </c>
      <c r="L53" s="12">
        <f>IF(K53="","",INDEX('状态价值'!$D3:$K3,MATCH(K53,'状态价值'!$D$1:$K$1,0)))</f>
        <v/>
      </c>
      <c r="M53" s="15">
        <f>NORM.S.INV(RAND())</f>
        <v/>
      </c>
      <c r="N53" s="15">
        <f>IF('组合输入'!$C4="","",'组合输入'!$H4*$B53+SQRT(1-'组合输入'!$H4^2)*M53)</f>
        <v/>
      </c>
      <c r="O53" s="7">
        <f>IF(N53="","",NORM.S.DIST(N53,TRUE))</f>
        <v/>
      </c>
      <c r="P53" s="13">
        <f>IF(O53="","",IF(O53&lt;='组合输入'!$K4,"AAA",IF(O53&lt;='组合输入'!$L4,"AA",IF(O53&lt;='组合输入'!$M4,"A",IF(O53&lt;='组合输入'!$N4,"BBB",IF(O53&lt;='组合输入'!$O4,"BB",IF(O53&lt;='组合输入'!$P4,"B",IF(O53&lt;='组合输入'!$Q4,"CCC","D")))))))</f>
        <v/>
      </c>
      <c r="Q53" s="12">
        <f>IF(P53="","",INDEX('状态价值'!$D4:$K4,MATCH(P53,'状态价值'!$D$1:$K$1,0)))</f>
        <v/>
      </c>
      <c r="R53" s="15">
        <f>NORM.S.INV(RAND())</f>
        <v/>
      </c>
      <c r="S53" s="15">
        <f>IF('组合输入'!$C5="","",'组合输入'!$H5*$B53+SQRT(1-'组合输入'!$H5^2)*R53)</f>
        <v/>
      </c>
      <c r="T53" s="7">
        <f>IF(S53="","",NORM.S.DIST(S53,TRUE))</f>
        <v/>
      </c>
      <c r="U53" s="13">
        <f>IF(T53="","",IF(T53&lt;='组合输入'!$K5,"AAA",IF(T53&lt;='组合输入'!$L5,"AA",IF(T53&lt;='组合输入'!$M5,"A",IF(T53&lt;='组合输入'!$N5,"BBB",IF(T53&lt;='组合输入'!$O5,"BB",IF(T53&lt;='组合输入'!$P5,"B",IF(T53&lt;='组合输入'!$Q5,"CCC","D")))))))</f>
        <v/>
      </c>
      <c r="V53" s="12">
        <f>IF(U53="","",INDEX('状态价值'!$D5:$K5,MATCH(U53,'状态价值'!$D$1:$K$1,0)))</f>
        <v/>
      </c>
      <c r="W53" s="15">
        <f>NORM.S.INV(RAND())</f>
        <v/>
      </c>
      <c r="X53" s="15">
        <f>IF('组合输入'!$C6="","",'组合输入'!$H6*$B53+SQRT(1-'组合输入'!$H6^2)*W53)</f>
        <v/>
      </c>
      <c r="Y53" s="7">
        <f>IF(X53="","",NORM.S.DIST(X53,TRUE))</f>
        <v/>
      </c>
      <c r="Z53" s="13">
        <f>IF(Y53="","",IF(Y53&lt;='组合输入'!$K6,"AAA",IF(Y53&lt;='组合输入'!$L6,"AA",IF(Y53&lt;='组合输入'!$M6,"A",IF(Y53&lt;='组合输入'!$N6,"BBB",IF(Y53&lt;='组合输入'!$O6,"BB",IF(Y53&lt;='组合输入'!$P6,"B",IF(Y53&lt;='组合输入'!$Q6,"CCC","D")))))))</f>
        <v/>
      </c>
      <c r="AA53" s="12">
        <f>IF(Z53="","",INDEX('状态价值'!$D6:$K6,MATCH(Z53,'状态价值'!$D$1:$K$1,0)))</f>
        <v/>
      </c>
      <c r="AB53" s="15">
        <f>NORM.S.INV(RAND())</f>
        <v/>
      </c>
      <c r="AC53" s="15">
        <f>IF('组合输入'!$C7="","",'组合输入'!$H7*$B53+SQRT(1-'组合输入'!$H7^2)*AB53)</f>
        <v/>
      </c>
      <c r="AD53" s="7">
        <f>IF(AC53="","",NORM.S.DIST(AC53,TRUE))</f>
        <v/>
      </c>
      <c r="AE53" s="13">
        <f>IF(AD53="","",IF(AD53&lt;='组合输入'!$K7,"AAA",IF(AD53&lt;='组合输入'!$L7,"AA",IF(AD53&lt;='组合输入'!$M7,"A",IF(AD53&lt;='组合输入'!$N7,"BBB",IF(AD53&lt;='组合输入'!$O7,"BB",IF(AD53&lt;='组合输入'!$P7,"B",IF(AD53&lt;='组合输入'!$Q7,"CCC","D")))))))</f>
        <v/>
      </c>
      <c r="AF53" s="12">
        <f>IF(AE53="","",INDEX('状态价值'!$D7:$K7,MATCH(AE53,'状态价值'!$D$1:$K$1,0)))</f>
        <v/>
      </c>
      <c r="AG53" s="15">
        <f>NORM.S.INV(RAND())</f>
        <v/>
      </c>
      <c r="AH53" s="15">
        <f>IF('组合输入'!$C8="","",'组合输入'!$H8*$B53+SQRT(1-'组合输入'!$H8^2)*AG53)</f>
        <v/>
      </c>
      <c r="AI53" s="7">
        <f>IF(AH53="","",NORM.S.DIST(AH53,TRUE))</f>
        <v/>
      </c>
      <c r="AJ53" s="13">
        <f>IF(AI53="","",IF(AI53&lt;='组合输入'!$K8,"AAA",IF(AI53&lt;='组合输入'!$L8,"AA",IF(AI53&lt;='组合输入'!$M8,"A",IF(AI53&lt;='组合输入'!$N8,"BBB",IF(AI53&lt;='组合输入'!$O8,"BB",IF(AI53&lt;='组合输入'!$P8,"B",IF(AI53&lt;='组合输入'!$Q8,"CCC","D")))))))</f>
        <v/>
      </c>
      <c r="AK53" s="12">
        <f>IF(AJ53="","",INDEX('状态价值'!$D8:$K8,MATCH(AJ53,'状态价值'!$D$1:$K$1,0)))</f>
        <v/>
      </c>
      <c r="AL53" s="15">
        <f>NORM.S.INV(RAND())</f>
        <v/>
      </c>
      <c r="AM53" s="15">
        <f>IF('组合输入'!$C9="","",'组合输入'!$H9*$B53+SQRT(1-'组合输入'!$H9^2)*AL53)</f>
        <v/>
      </c>
      <c r="AN53" s="7">
        <f>IF(AM53="","",NORM.S.DIST(AM53,TRUE))</f>
        <v/>
      </c>
      <c r="AO53" s="13">
        <f>IF(AN53="","",IF(AN53&lt;='组合输入'!$K9,"AAA",IF(AN53&lt;='组合输入'!$L9,"AA",IF(AN53&lt;='组合输入'!$M9,"A",IF(AN53&lt;='组合输入'!$N9,"BBB",IF(AN53&lt;='组合输入'!$O9,"BB",IF(AN53&lt;='组合输入'!$P9,"B",IF(AN53&lt;='组合输入'!$Q9,"CCC","D")))))))</f>
        <v/>
      </c>
      <c r="AP53" s="12">
        <f>IF(AO53="","",INDEX('状态价值'!$D9:$K9,MATCH(AO53,'状态价值'!$D$1:$K$1,0)))</f>
        <v/>
      </c>
      <c r="AQ53" s="15">
        <f>NORM.S.INV(RAND())</f>
        <v/>
      </c>
      <c r="AR53" s="15">
        <f>IF('组合输入'!$C10="","",'组合输入'!$H10*$B53+SQRT(1-'组合输入'!$H10^2)*AQ53)</f>
        <v/>
      </c>
      <c r="AS53" s="7">
        <f>IF(AR53="","",NORM.S.DIST(AR53,TRUE))</f>
        <v/>
      </c>
      <c r="AT53" s="13">
        <f>IF(AS53="","",IF(AS53&lt;='组合输入'!$K10,"AAA",IF(AS53&lt;='组合输入'!$L10,"AA",IF(AS53&lt;='组合输入'!$M10,"A",IF(AS53&lt;='组合输入'!$N10,"BBB",IF(AS53&lt;='组合输入'!$O10,"BB",IF(AS53&lt;='组合输入'!$P10,"B",IF(AS53&lt;='组合输入'!$Q10,"CCC","D")))))))</f>
        <v/>
      </c>
      <c r="AU53" s="12">
        <f>IF(AT53="","",INDEX('状态价值'!$D10:$K10,MATCH(AT53,'状态价值'!$D$1:$K$1,0)))</f>
        <v/>
      </c>
      <c r="AV53" s="15">
        <f>NORM.S.INV(RAND())</f>
        <v/>
      </c>
      <c r="AW53" s="15">
        <f>IF('组合输入'!$C11="","",'组合输入'!$H11*$B53+SQRT(1-'组合输入'!$H11^2)*AV53)</f>
        <v/>
      </c>
      <c r="AX53" s="7">
        <f>IF(AW53="","",NORM.S.DIST(AW53,TRUE))</f>
        <v/>
      </c>
      <c r="AY53" s="13">
        <f>IF(AX53="","",IF(AX53&lt;='组合输入'!$K11,"AAA",IF(AX53&lt;='组合输入'!$L11,"AA",IF(AX53&lt;='组合输入'!$M11,"A",IF(AX53&lt;='组合输入'!$N11,"BBB",IF(AX53&lt;='组合输入'!$O11,"BB",IF(AX53&lt;='组合输入'!$P11,"B",IF(AX53&lt;='组合输入'!$Q11,"CCC","D")))))))</f>
        <v/>
      </c>
      <c r="AZ53" s="12">
        <f>IF(AY53="","",INDEX('状态价值'!$D11:$K11,MATCH(AY53,'状态价值'!$D$1:$K$1,0)))</f>
        <v/>
      </c>
      <c r="BA53" s="12">
        <f>G53+L53+Q53+V53+AA53+AF53+AK53+AP53+AU53+AZ53</f>
        <v/>
      </c>
      <c r="BB53" s="12">
        <f>SUM('组合输入'!$J$2:$J$11)-BA53</f>
        <v/>
      </c>
    </row>
    <row r="54">
      <c r="A54" s="11" t="n">
        <v>53</v>
      </c>
      <c r="B54" s="14">
        <f>NORM.S.INV(RAND())</f>
        <v/>
      </c>
      <c r="C54" s="14">
        <f>NORM.S.INV(RAND())</f>
        <v/>
      </c>
      <c r="D54" s="15">
        <f>IF('组合输入'!$C2="","",'组合输入'!$H2*$B54+SQRT(1-'组合输入'!$H2^2)*C54)</f>
        <v/>
      </c>
      <c r="E54" s="7">
        <f>IF(D54="","",NORM.S.DIST(D54,TRUE))</f>
        <v/>
      </c>
      <c r="F54" s="13">
        <f>IF(E54="","",IF(E54&lt;='组合输入'!$K2,"AAA",IF(E54&lt;='组合输入'!$L2,"AA",IF(E54&lt;='组合输入'!$M2,"A",IF(E54&lt;='组合输入'!$N2,"BBB",IF(E54&lt;='组合输入'!$O2,"BB",IF(E54&lt;='组合输入'!$P2,"B",IF(E54&lt;='组合输入'!$Q2,"CCC","D")))))))</f>
        <v/>
      </c>
      <c r="G54" s="12">
        <f>IF(F54="","",INDEX('状态价值'!$D2:$K2,MATCH(F54,'状态价值'!$D$1:$K$1,0)))</f>
        <v/>
      </c>
      <c r="H54" s="15">
        <f>NORM.S.INV(RAND())</f>
        <v/>
      </c>
      <c r="I54" s="15">
        <f>IF('组合输入'!$C3="","",'组合输入'!$H3*$B54+SQRT(1-'组合输入'!$H3^2)*H54)</f>
        <v/>
      </c>
      <c r="J54" s="7">
        <f>IF(I54="","",NORM.S.DIST(I54,TRUE))</f>
        <v/>
      </c>
      <c r="K54" s="13">
        <f>IF(J54="","",IF(J54&lt;='组合输入'!$K3,"AAA",IF(J54&lt;='组合输入'!$L3,"AA",IF(J54&lt;='组合输入'!$M3,"A",IF(J54&lt;='组合输入'!$N3,"BBB",IF(J54&lt;='组合输入'!$O3,"BB",IF(J54&lt;='组合输入'!$P3,"B",IF(J54&lt;='组合输入'!$Q3,"CCC","D")))))))</f>
        <v/>
      </c>
      <c r="L54" s="12">
        <f>IF(K54="","",INDEX('状态价值'!$D3:$K3,MATCH(K54,'状态价值'!$D$1:$K$1,0)))</f>
        <v/>
      </c>
      <c r="M54" s="15">
        <f>NORM.S.INV(RAND())</f>
        <v/>
      </c>
      <c r="N54" s="15">
        <f>IF('组合输入'!$C4="","",'组合输入'!$H4*$B54+SQRT(1-'组合输入'!$H4^2)*M54)</f>
        <v/>
      </c>
      <c r="O54" s="7">
        <f>IF(N54="","",NORM.S.DIST(N54,TRUE))</f>
        <v/>
      </c>
      <c r="P54" s="13">
        <f>IF(O54="","",IF(O54&lt;='组合输入'!$K4,"AAA",IF(O54&lt;='组合输入'!$L4,"AA",IF(O54&lt;='组合输入'!$M4,"A",IF(O54&lt;='组合输入'!$N4,"BBB",IF(O54&lt;='组合输入'!$O4,"BB",IF(O54&lt;='组合输入'!$P4,"B",IF(O54&lt;='组合输入'!$Q4,"CCC","D")))))))</f>
        <v/>
      </c>
      <c r="Q54" s="12">
        <f>IF(P54="","",INDEX('状态价值'!$D4:$K4,MATCH(P54,'状态价值'!$D$1:$K$1,0)))</f>
        <v/>
      </c>
      <c r="R54" s="15">
        <f>NORM.S.INV(RAND())</f>
        <v/>
      </c>
      <c r="S54" s="15">
        <f>IF('组合输入'!$C5="","",'组合输入'!$H5*$B54+SQRT(1-'组合输入'!$H5^2)*R54)</f>
        <v/>
      </c>
      <c r="T54" s="7">
        <f>IF(S54="","",NORM.S.DIST(S54,TRUE))</f>
        <v/>
      </c>
      <c r="U54" s="13">
        <f>IF(T54="","",IF(T54&lt;='组合输入'!$K5,"AAA",IF(T54&lt;='组合输入'!$L5,"AA",IF(T54&lt;='组合输入'!$M5,"A",IF(T54&lt;='组合输入'!$N5,"BBB",IF(T54&lt;='组合输入'!$O5,"BB",IF(T54&lt;='组合输入'!$P5,"B",IF(T54&lt;='组合输入'!$Q5,"CCC","D")))))))</f>
        <v/>
      </c>
      <c r="V54" s="12">
        <f>IF(U54="","",INDEX('状态价值'!$D5:$K5,MATCH(U54,'状态价值'!$D$1:$K$1,0)))</f>
        <v/>
      </c>
      <c r="W54" s="15">
        <f>NORM.S.INV(RAND())</f>
        <v/>
      </c>
      <c r="X54" s="15">
        <f>IF('组合输入'!$C6="","",'组合输入'!$H6*$B54+SQRT(1-'组合输入'!$H6^2)*W54)</f>
        <v/>
      </c>
      <c r="Y54" s="7">
        <f>IF(X54="","",NORM.S.DIST(X54,TRUE))</f>
        <v/>
      </c>
      <c r="Z54" s="13">
        <f>IF(Y54="","",IF(Y54&lt;='组合输入'!$K6,"AAA",IF(Y54&lt;='组合输入'!$L6,"AA",IF(Y54&lt;='组合输入'!$M6,"A",IF(Y54&lt;='组合输入'!$N6,"BBB",IF(Y54&lt;='组合输入'!$O6,"BB",IF(Y54&lt;='组合输入'!$P6,"B",IF(Y54&lt;='组合输入'!$Q6,"CCC","D")))))))</f>
        <v/>
      </c>
      <c r="AA54" s="12">
        <f>IF(Z54="","",INDEX('状态价值'!$D6:$K6,MATCH(Z54,'状态价值'!$D$1:$K$1,0)))</f>
        <v/>
      </c>
      <c r="AB54" s="15">
        <f>NORM.S.INV(RAND())</f>
        <v/>
      </c>
      <c r="AC54" s="15">
        <f>IF('组合输入'!$C7="","",'组合输入'!$H7*$B54+SQRT(1-'组合输入'!$H7^2)*AB54)</f>
        <v/>
      </c>
      <c r="AD54" s="7">
        <f>IF(AC54="","",NORM.S.DIST(AC54,TRUE))</f>
        <v/>
      </c>
      <c r="AE54" s="13">
        <f>IF(AD54="","",IF(AD54&lt;='组合输入'!$K7,"AAA",IF(AD54&lt;='组合输入'!$L7,"AA",IF(AD54&lt;='组合输入'!$M7,"A",IF(AD54&lt;='组合输入'!$N7,"BBB",IF(AD54&lt;='组合输入'!$O7,"BB",IF(AD54&lt;='组合输入'!$P7,"B",IF(AD54&lt;='组合输入'!$Q7,"CCC","D")))))))</f>
        <v/>
      </c>
      <c r="AF54" s="12">
        <f>IF(AE54="","",INDEX('状态价值'!$D7:$K7,MATCH(AE54,'状态价值'!$D$1:$K$1,0)))</f>
        <v/>
      </c>
      <c r="AG54" s="15">
        <f>NORM.S.INV(RAND())</f>
        <v/>
      </c>
      <c r="AH54" s="15">
        <f>IF('组合输入'!$C8="","",'组合输入'!$H8*$B54+SQRT(1-'组合输入'!$H8^2)*AG54)</f>
        <v/>
      </c>
      <c r="AI54" s="7">
        <f>IF(AH54="","",NORM.S.DIST(AH54,TRUE))</f>
        <v/>
      </c>
      <c r="AJ54" s="13">
        <f>IF(AI54="","",IF(AI54&lt;='组合输入'!$K8,"AAA",IF(AI54&lt;='组合输入'!$L8,"AA",IF(AI54&lt;='组合输入'!$M8,"A",IF(AI54&lt;='组合输入'!$N8,"BBB",IF(AI54&lt;='组合输入'!$O8,"BB",IF(AI54&lt;='组合输入'!$P8,"B",IF(AI54&lt;='组合输入'!$Q8,"CCC","D")))))))</f>
        <v/>
      </c>
      <c r="AK54" s="12">
        <f>IF(AJ54="","",INDEX('状态价值'!$D8:$K8,MATCH(AJ54,'状态价值'!$D$1:$K$1,0)))</f>
        <v/>
      </c>
      <c r="AL54" s="15">
        <f>NORM.S.INV(RAND())</f>
        <v/>
      </c>
      <c r="AM54" s="15">
        <f>IF('组合输入'!$C9="","",'组合输入'!$H9*$B54+SQRT(1-'组合输入'!$H9^2)*AL54)</f>
        <v/>
      </c>
      <c r="AN54" s="7">
        <f>IF(AM54="","",NORM.S.DIST(AM54,TRUE))</f>
        <v/>
      </c>
      <c r="AO54" s="13">
        <f>IF(AN54="","",IF(AN54&lt;='组合输入'!$K9,"AAA",IF(AN54&lt;='组合输入'!$L9,"AA",IF(AN54&lt;='组合输入'!$M9,"A",IF(AN54&lt;='组合输入'!$N9,"BBB",IF(AN54&lt;='组合输入'!$O9,"BB",IF(AN54&lt;='组合输入'!$P9,"B",IF(AN54&lt;='组合输入'!$Q9,"CCC","D")))))))</f>
        <v/>
      </c>
      <c r="AP54" s="12">
        <f>IF(AO54="","",INDEX('状态价值'!$D9:$K9,MATCH(AO54,'状态价值'!$D$1:$K$1,0)))</f>
        <v/>
      </c>
      <c r="AQ54" s="15">
        <f>NORM.S.INV(RAND())</f>
        <v/>
      </c>
      <c r="AR54" s="15">
        <f>IF('组合输入'!$C10="","",'组合输入'!$H10*$B54+SQRT(1-'组合输入'!$H10^2)*AQ54)</f>
        <v/>
      </c>
      <c r="AS54" s="7">
        <f>IF(AR54="","",NORM.S.DIST(AR54,TRUE))</f>
        <v/>
      </c>
      <c r="AT54" s="13">
        <f>IF(AS54="","",IF(AS54&lt;='组合输入'!$K10,"AAA",IF(AS54&lt;='组合输入'!$L10,"AA",IF(AS54&lt;='组合输入'!$M10,"A",IF(AS54&lt;='组合输入'!$N10,"BBB",IF(AS54&lt;='组合输入'!$O10,"BB",IF(AS54&lt;='组合输入'!$P10,"B",IF(AS54&lt;='组合输入'!$Q10,"CCC","D")))))))</f>
        <v/>
      </c>
      <c r="AU54" s="12">
        <f>IF(AT54="","",INDEX('状态价值'!$D10:$K10,MATCH(AT54,'状态价值'!$D$1:$K$1,0)))</f>
        <v/>
      </c>
      <c r="AV54" s="15">
        <f>NORM.S.INV(RAND())</f>
        <v/>
      </c>
      <c r="AW54" s="15">
        <f>IF('组合输入'!$C11="","",'组合输入'!$H11*$B54+SQRT(1-'组合输入'!$H11^2)*AV54)</f>
        <v/>
      </c>
      <c r="AX54" s="7">
        <f>IF(AW54="","",NORM.S.DIST(AW54,TRUE))</f>
        <v/>
      </c>
      <c r="AY54" s="13">
        <f>IF(AX54="","",IF(AX54&lt;='组合输入'!$K11,"AAA",IF(AX54&lt;='组合输入'!$L11,"AA",IF(AX54&lt;='组合输入'!$M11,"A",IF(AX54&lt;='组合输入'!$N11,"BBB",IF(AX54&lt;='组合输入'!$O11,"BB",IF(AX54&lt;='组合输入'!$P11,"B",IF(AX54&lt;='组合输入'!$Q11,"CCC","D")))))))</f>
        <v/>
      </c>
      <c r="AZ54" s="12">
        <f>IF(AY54="","",INDEX('状态价值'!$D11:$K11,MATCH(AY54,'状态价值'!$D$1:$K$1,0)))</f>
        <v/>
      </c>
      <c r="BA54" s="12">
        <f>G54+L54+Q54+V54+AA54+AF54+AK54+AP54+AU54+AZ54</f>
        <v/>
      </c>
      <c r="BB54" s="12">
        <f>SUM('组合输入'!$J$2:$J$11)-BA54</f>
        <v/>
      </c>
    </row>
    <row r="55">
      <c r="A55" s="11" t="n">
        <v>54</v>
      </c>
      <c r="B55" s="14">
        <f>NORM.S.INV(RAND())</f>
        <v/>
      </c>
      <c r="C55" s="14">
        <f>NORM.S.INV(RAND())</f>
        <v/>
      </c>
      <c r="D55" s="15">
        <f>IF('组合输入'!$C2="","",'组合输入'!$H2*$B55+SQRT(1-'组合输入'!$H2^2)*C55)</f>
        <v/>
      </c>
      <c r="E55" s="7">
        <f>IF(D55="","",NORM.S.DIST(D55,TRUE))</f>
        <v/>
      </c>
      <c r="F55" s="13">
        <f>IF(E55="","",IF(E55&lt;='组合输入'!$K2,"AAA",IF(E55&lt;='组合输入'!$L2,"AA",IF(E55&lt;='组合输入'!$M2,"A",IF(E55&lt;='组合输入'!$N2,"BBB",IF(E55&lt;='组合输入'!$O2,"BB",IF(E55&lt;='组合输入'!$P2,"B",IF(E55&lt;='组合输入'!$Q2,"CCC","D")))))))</f>
        <v/>
      </c>
      <c r="G55" s="12">
        <f>IF(F55="","",INDEX('状态价值'!$D2:$K2,MATCH(F55,'状态价值'!$D$1:$K$1,0)))</f>
        <v/>
      </c>
      <c r="H55" s="15">
        <f>NORM.S.INV(RAND())</f>
        <v/>
      </c>
      <c r="I55" s="15">
        <f>IF('组合输入'!$C3="","",'组合输入'!$H3*$B55+SQRT(1-'组合输入'!$H3^2)*H55)</f>
        <v/>
      </c>
      <c r="J55" s="7">
        <f>IF(I55="","",NORM.S.DIST(I55,TRUE))</f>
        <v/>
      </c>
      <c r="K55" s="13">
        <f>IF(J55="","",IF(J55&lt;='组合输入'!$K3,"AAA",IF(J55&lt;='组合输入'!$L3,"AA",IF(J55&lt;='组合输入'!$M3,"A",IF(J55&lt;='组合输入'!$N3,"BBB",IF(J55&lt;='组合输入'!$O3,"BB",IF(J55&lt;='组合输入'!$P3,"B",IF(J55&lt;='组合输入'!$Q3,"CCC","D")))))))</f>
        <v/>
      </c>
      <c r="L55" s="12">
        <f>IF(K55="","",INDEX('状态价值'!$D3:$K3,MATCH(K55,'状态价值'!$D$1:$K$1,0)))</f>
        <v/>
      </c>
      <c r="M55" s="15">
        <f>NORM.S.INV(RAND())</f>
        <v/>
      </c>
      <c r="N55" s="15">
        <f>IF('组合输入'!$C4="","",'组合输入'!$H4*$B55+SQRT(1-'组合输入'!$H4^2)*M55)</f>
        <v/>
      </c>
      <c r="O55" s="7">
        <f>IF(N55="","",NORM.S.DIST(N55,TRUE))</f>
        <v/>
      </c>
      <c r="P55" s="13">
        <f>IF(O55="","",IF(O55&lt;='组合输入'!$K4,"AAA",IF(O55&lt;='组合输入'!$L4,"AA",IF(O55&lt;='组合输入'!$M4,"A",IF(O55&lt;='组合输入'!$N4,"BBB",IF(O55&lt;='组合输入'!$O4,"BB",IF(O55&lt;='组合输入'!$P4,"B",IF(O55&lt;='组合输入'!$Q4,"CCC","D")))))))</f>
        <v/>
      </c>
      <c r="Q55" s="12">
        <f>IF(P55="","",INDEX('状态价值'!$D4:$K4,MATCH(P55,'状态价值'!$D$1:$K$1,0)))</f>
        <v/>
      </c>
      <c r="R55" s="15">
        <f>NORM.S.INV(RAND())</f>
        <v/>
      </c>
      <c r="S55" s="15">
        <f>IF('组合输入'!$C5="","",'组合输入'!$H5*$B55+SQRT(1-'组合输入'!$H5^2)*R55)</f>
        <v/>
      </c>
      <c r="T55" s="7">
        <f>IF(S55="","",NORM.S.DIST(S55,TRUE))</f>
        <v/>
      </c>
      <c r="U55" s="13">
        <f>IF(T55="","",IF(T55&lt;='组合输入'!$K5,"AAA",IF(T55&lt;='组合输入'!$L5,"AA",IF(T55&lt;='组合输入'!$M5,"A",IF(T55&lt;='组合输入'!$N5,"BBB",IF(T55&lt;='组合输入'!$O5,"BB",IF(T55&lt;='组合输入'!$P5,"B",IF(T55&lt;='组合输入'!$Q5,"CCC","D")))))))</f>
        <v/>
      </c>
      <c r="V55" s="12">
        <f>IF(U55="","",INDEX('状态价值'!$D5:$K5,MATCH(U55,'状态价值'!$D$1:$K$1,0)))</f>
        <v/>
      </c>
      <c r="W55" s="15">
        <f>NORM.S.INV(RAND())</f>
        <v/>
      </c>
      <c r="X55" s="15">
        <f>IF('组合输入'!$C6="","",'组合输入'!$H6*$B55+SQRT(1-'组合输入'!$H6^2)*W55)</f>
        <v/>
      </c>
      <c r="Y55" s="7">
        <f>IF(X55="","",NORM.S.DIST(X55,TRUE))</f>
        <v/>
      </c>
      <c r="Z55" s="13">
        <f>IF(Y55="","",IF(Y55&lt;='组合输入'!$K6,"AAA",IF(Y55&lt;='组合输入'!$L6,"AA",IF(Y55&lt;='组合输入'!$M6,"A",IF(Y55&lt;='组合输入'!$N6,"BBB",IF(Y55&lt;='组合输入'!$O6,"BB",IF(Y55&lt;='组合输入'!$P6,"B",IF(Y55&lt;='组合输入'!$Q6,"CCC","D")))))))</f>
        <v/>
      </c>
      <c r="AA55" s="12">
        <f>IF(Z55="","",INDEX('状态价值'!$D6:$K6,MATCH(Z55,'状态价值'!$D$1:$K$1,0)))</f>
        <v/>
      </c>
      <c r="AB55" s="15">
        <f>NORM.S.INV(RAND())</f>
        <v/>
      </c>
      <c r="AC55" s="15">
        <f>IF('组合输入'!$C7="","",'组合输入'!$H7*$B55+SQRT(1-'组合输入'!$H7^2)*AB55)</f>
        <v/>
      </c>
      <c r="AD55" s="7">
        <f>IF(AC55="","",NORM.S.DIST(AC55,TRUE))</f>
        <v/>
      </c>
      <c r="AE55" s="13">
        <f>IF(AD55="","",IF(AD55&lt;='组合输入'!$K7,"AAA",IF(AD55&lt;='组合输入'!$L7,"AA",IF(AD55&lt;='组合输入'!$M7,"A",IF(AD55&lt;='组合输入'!$N7,"BBB",IF(AD55&lt;='组合输入'!$O7,"BB",IF(AD55&lt;='组合输入'!$P7,"B",IF(AD55&lt;='组合输入'!$Q7,"CCC","D")))))))</f>
        <v/>
      </c>
      <c r="AF55" s="12">
        <f>IF(AE55="","",INDEX('状态价值'!$D7:$K7,MATCH(AE55,'状态价值'!$D$1:$K$1,0)))</f>
        <v/>
      </c>
      <c r="AG55" s="15">
        <f>NORM.S.INV(RAND())</f>
        <v/>
      </c>
      <c r="AH55" s="15">
        <f>IF('组合输入'!$C8="","",'组合输入'!$H8*$B55+SQRT(1-'组合输入'!$H8^2)*AG55)</f>
        <v/>
      </c>
      <c r="AI55" s="7">
        <f>IF(AH55="","",NORM.S.DIST(AH55,TRUE))</f>
        <v/>
      </c>
      <c r="AJ55" s="13">
        <f>IF(AI55="","",IF(AI55&lt;='组合输入'!$K8,"AAA",IF(AI55&lt;='组合输入'!$L8,"AA",IF(AI55&lt;='组合输入'!$M8,"A",IF(AI55&lt;='组合输入'!$N8,"BBB",IF(AI55&lt;='组合输入'!$O8,"BB",IF(AI55&lt;='组合输入'!$P8,"B",IF(AI55&lt;='组合输入'!$Q8,"CCC","D")))))))</f>
        <v/>
      </c>
      <c r="AK55" s="12">
        <f>IF(AJ55="","",INDEX('状态价值'!$D8:$K8,MATCH(AJ55,'状态价值'!$D$1:$K$1,0)))</f>
        <v/>
      </c>
      <c r="AL55" s="15">
        <f>NORM.S.INV(RAND())</f>
        <v/>
      </c>
      <c r="AM55" s="15">
        <f>IF('组合输入'!$C9="","",'组合输入'!$H9*$B55+SQRT(1-'组合输入'!$H9^2)*AL55)</f>
        <v/>
      </c>
      <c r="AN55" s="7">
        <f>IF(AM55="","",NORM.S.DIST(AM55,TRUE))</f>
        <v/>
      </c>
      <c r="AO55" s="13">
        <f>IF(AN55="","",IF(AN55&lt;='组合输入'!$K9,"AAA",IF(AN55&lt;='组合输入'!$L9,"AA",IF(AN55&lt;='组合输入'!$M9,"A",IF(AN55&lt;='组合输入'!$N9,"BBB",IF(AN55&lt;='组合输入'!$O9,"BB",IF(AN55&lt;='组合输入'!$P9,"B",IF(AN55&lt;='组合输入'!$Q9,"CCC","D")))))))</f>
        <v/>
      </c>
      <c r="AP55" s="12">
        <f>IF(AO55="","",INDEX('状态价值'!$D9:$K9,MATCH(AO55,'状态价值'!$D$1:$K$1,0)))</f>
        <v/>
      </c>
      <c r="AQ55" s="15">
        <f>NORM.S.INV(RAND())</f>
        <v/>
      </c>
      <c r="AR55" s="15">
        <f>IF('组合输入'!$C10="","",'组合输入'!$H10*$B55+SQRT(1-'组合输入'!$H10^2)*AQ55)</f>
        <v/>
      </c>
      <c r="AS55" s="7">
        <f>IF(AR55="","",NORM.S.DIST(AR55,TRUE))</f>
        <v/>
      </c>
      <c r="AT55" s="13">
        <f>IF(AS55="","",IF(AS55&lt;='组合输入'!$K10,"AAA",IF(AS55&lt;='组合输入'!$L10,"AA",IF(AS55&lt;='组合输入'!$M10,"A",IF(AS55&lt;='组合输入'!$N10,"BBB",IF(AS55&lt;='组合输入'!$O10,"BB",IF(AS55&lt;='组合输入'!$P10,"B",IF(AS55&lt;='组合输入'!$Q10,"CCC","D")))))))</f>
        <v/>
      </c>
      <c r="AU55" s="12">
        <f>IF(AT55="","",INDEX('状态价值'!$D10:$K10,MATCH(AT55,'状态价值'!$D$1:$K$1,0)))</f>
        <v/>
      </c>
      <c r="AV55" s="15">
        <f>NORM.S.INV(RAND())</f>
        <v/>
      </c>
      <c r="AW55" s="15">
        <f>IF('组合输入'!$C11="","",'组合输入'!$H11*$B55+SQRT(1-'组合输入'!$H11^2)*AV55)</f>
        <v/>
      </c>
      <c r="AX55" s="7">
        <f>IF(AW55="","",NORM.S.DIST(AW55,TRUE))</f>
        <v/>
      </c>
      <c r="AY55" s="13">
        <f>IF(AX55="","",IF(AX55&lt;='组合输入'!$K11,"AAA",IF(AX55&lt;='组合输入'!$L11,"AA",IF(AX55&lt;='组合输入'!$M11,"A",IF(AX55&lt;='组合输入'!$N11,"BBB",IF(AX55&lt;='组合输入'!$O11,"BB",IF(AX55&lt;='组合输入'!$P11,"B",IF(AX55&lt;='组合输入'!$Q11,"CCC","D")))))))</f>
        <v/>
      </c>
      <c r="AZ55" s="12">
        <f>IF(AY55="","",INDEX('状态价值'!$D11:$K11,MATCH(AY55,'状态价值'!$D$1:$K$1,0)))</f>
        <v/>
      </c>
      <c r="BA55" s="12">
        <f>G55+L55+Q55+V55+AA55+AF55+AK55+AP55+AU55+AZ55</f>
        <v/>
      </c>
      <c r="BB55" s="12">
        <f>SUM('组合输入'!$J$2:$J$11)-BA55</f>
        <v/>
      </c>
    </row>
    <row r="56">
      <c r="A56" s="11" t="n">
        <v>55</v>
      </c>
      <c r="B56" s="14">
        <f>NORM.S.INV(RAND())</f>
        <v/>
      </c>
      <c r="C56" s="14">
        <f>NORM.S.INV(RAND())</f>
        <v/>
      </c>
      <c r="D56" s="15">
        <f>IF('组合输入'!$C2="","",'组合输入'!$H2*$B56+SQRT(1-'组合输入'!$H2^2)*C56)</f>
        <v/>
      </c>
      <c r="E56" s="7">
        <f>IF(D56="","",NORM.S.DIST(D56,TRUE))</f>
        <v/>
      </c>
      <c r="F56" s="13">
        <f>IF(E56="","",IF(E56&lt;='组合输入'!$K2,"AAA",IF(E56&lt;='组合输入'!$L2,"AA",IF(E56&lt;='组合输入'!$M2,"A",IF(E56&lt;='组合输入'!$N2,"BBB",IF(E56&lt;='组合输入'!$O2,"BB",IF(E56&lt;='组合输入'!$P2,"B",IF(E56&lt;='组合输入'!$Q2,"CCC","D")))))))</f>
        <v/>
      </c>
      <c r="G56" s="12">
        <f>IF(F56="","",INDEX('状态价值'!$D2:$K2,MATCH(F56,'状态价值'!$D$1:$K$1,0)))</f>
        <v/>
      </c>
      <c r="H56" s="15">
        <f>NORM.S.INV(RAND())</f>
        <v/>
      </c>
      <c r="I56" s="15">
        <f>IF('组合输入'!$C3="","",'组合输入'!$H3*$B56+SQRT(1-'组合输入'!$H3^2)*H56)</f>
        <v/>
      </c>
      <c r="J56" s="7">
        <f>IF(I56="","",NORM.S.DIST(I56,TRUE))</f>
        <v/>
      </c>
      <c r="K56" s="13">
        <f>IF(J56="","",IF(J56&lt;='组合输入'!$K3,"AAA",IF(J56&lt;='组合输入'!$L3,"AA",IF(J56&lt;='组合输入'!$M3,"A",IF(J56&lt;='组合输入'!$N3,"BBB",IF(J56&lt;='组合输入'!$O3,"BB",IF(J56&lt;='组合输入'!$P3,"B",IF(J56&lt;='组合输入'!$Q3,"CCC","D")))))))</f>
        <v/>
      </c>
      <c r="L56" s="12">
        <f>IF(K56="","",INDEX('状态价值'!$D3:$K3,MATCH(K56,'状态价值'!$D$1:$K$1,0)))</f>
        <v/>
      </c>
      <c r="M56" s="15">
        <f>NORM.S.INV(RAND())</f>
        <v/>
      </c>
      <c r="N56" s="15">
        <f>IF('组合输入'!$C4="","",'组合输入'!$H4*$B56+SQRT(1-'组合输入'!$H4^2)*M56)</f>
        <v/>
      </c>
      <c r="O56" s="7">
        <f>IF(N56="","",NORM.S.DIST(N56,TRUE))</f>
        <v/>
      </c>
      <c r="P56" s="13">
        <f>IF(O56="","",IF(O56&lt;='组合输入'!$K4,"AAA",IF(O56&lt;='组合输入'!$L4,"AA",IF(O56&lt;='组合输入'!$M4,"A",IF(O56&lt;='组合输入'!$N4,"BBB",IF(O56&lt;='组合输入'!$O4,"BB",IF(O56&lt;='组合输入'!$P4,"B",IF(O56&lt;='组合输入'!$Q4,"CCC","D")))))))</f>
        <v/>
      </c>
      <c r="Q56" s="12">
        <f>IF(P56="","",INDEX('状态价值'!$D4:$K4,MATCH(P56,'状态价值'!$D$1:$K$1,0)))</f>
        <v/>
      </c>
      <c r="R56" s="15">
        <f>NORM.S.INV(RAND())</f>
        <v/>
      </c>
      <c r="S56" s="15">
        <f>IF('组合输入'!$C5="","",'组合输入'!$H5*$B56+SQRT(1-'组合输入'!$H5^2)*R56)</f>
        <v/>
      </c>
      <c r="T56" s="7">
        <f>IF(S56="","",NORM.S.DIST(S56,TRUE))</f>
        <v/>
      </c>
      <c r="U56" s="13">
        <f>IF(T56="","",IF(T56&lt;='组合输入'!$K5,"AAA",IF(T56&lt;='组合输入'!$L5,"AA",IF(T56&lt;='组合输入'!$M5,"A",IF(T56&lt;='组合输入'!$N5,"BBB",IF(T56&lt;='组合输入'!$O5,"BB",IF(T56&lt;='组合输入'!$P5,"B",IF(T56&lt;='组合输入'!$Q5,"CCC","D")))))))</f>
        <v/>
      </c>
      <c r="V56" s="12">
        <f>IF(U56="","",INDEX('状态价值'!$D5:$K5,MATCH(U56,'状态价值'!$D$1:$K$1,0)))</f>
        <v/>
      </c>
      <c r="W56" s="15">
        <f>NORM.S.INV(RAND())</f>
        <v/>
      </c>
      <c r="X56" s="15">
        <f>IF('组合输入'!$C6="","",'组合输入'!$H6*$B56+SQRT(1-'组合输入'!$H6^2)*W56)</f>
        <v/>
      </c>
      <c r="Y56" s="7">
        <f>IF(X56="","",NORM.S.DIST(X56,TRUE))</f>
        <v/>
      </c>
      <c r="Z56" s="13">
        <f>IF(Y56="","",IF(Y56&lt;='组合输入'!$K6,"AAA",IF(Y56&lt;='组合输入'!$L6,"AA",IF(Y56&lt;='组合输入'!$M6,"A",IF(Y56&lt;='组合输入'!$N6,"BBB",IF(Y56&lt;='组合输入'!$O6,"BB",IF(Y56&lt;='组合输入'!$P6,"B",IF(Y56&lt;='组合输入'!$Q6,"CCC","D")))))))</f>
        <v/>
      </c>
      <c r="AA56" s="12">
        <f>IF(Z56="","",INDEX('状态价值'!$D6:$K6,MATCH(Z56,'状态价值'!$D$1:$K$1,0)))</f>
        <v/>
      </c>
      <c r="AB56" s="15">
        <f>NORM.S.INV(RAND())</f>
        <v/>
      </c>
      <c r="AC56" s="15">
        <f>IF('组合输入'!$C7="","",'组合输入'!$H7*$B56+SQRT(1-'组合输入'!$H7^2)*AB56)</f>
        <v/>
      </c>
      <c r="AD56" s="7">
        <f>IF(AC56="","",NORM.S.DIST(AC56,TRUE))</f>
        <v/>
      </c>
      <c r="AE56" s="13">
        <f>IF(AD56="","",IF(AD56&lt;='组合输入'!$K7,"AAA",IF(AD56&lt;='组合输入'!$L7,"AA",IF(AD56&lt;='组合输入'!$M7,"A",IF(AD56&lt;='组合输入'!$N7,"BBB",IF(AD56&lt;='组合输入'!$O7,"BB",IF(AD56&lt;='组合输入'!$P7,"B",IF(AD56&lt;='组合输入'!$Q7,"CCC","D")))))))</f>
        <v/>
      </c>
      <c r="AF56" s="12">
        <f>IF(AE56="","",INDEX('状态价值'!$D7:$K7,MATCH(AE56,'状态价值'!$D$1:$K$1,0)))</f>
        <v/>
      </c>
      <c r="AG56" s="15">
        <f>NORM.S.INV(RAND())</f>
        <v/>
      </c>
      <c r="AH56" s="15">
        <f>IF('组合输入'!$C8="","",'组合输入'!$H8*$B56+SQRT(1-'组合输入'!$H8^2)*AG56)</f>
        <v/>
      </c>
      <c r="AI56" s="7">
        <f>IF(AH56="","",NORM.S.DIST(AH56,TRUE))</f>
        <v/>
      </c>
      <c r="AJ56" s="13">
        <f>IF(AI56="","",IF(AI56&lt;='组合输入'!$K8,"AAA",IF(AI56&lt;='组合输入'!$L8,"AA",IF(AI56&lt;='组合输入'!$M8,"A",IF(AI56&lt;='组合输入'!$N8,"BBB",IF(AI56&lt;='组合输入'!$O8,"BB",IF(AI56&lt;='组合输入'!$P8,"B",IF(AI56&lt;='组合输入'!$Q8,"CCC","D")))))))</f>
        <v/>
      </c>
      <c r="AK56" s="12">
        <f>IF(AJ56="","",INDEX('状态价值'!$D8:$K8,MATCH(AJ56,'状态价值'!$D$1:$K$1,0)))</f>
        <v/>
      </c>
      <c r="AL56" s="15">
        <f>NORM.S.INV(RAND())</f>
        <v/>
      </c>
      <c r="AM56" s="15">
        <f>IF('组合输入'!$C9="","",'组合输入'!$H9*$B56+SQRT(1-'组合输入'!$H9^2)*AL56)</f>
        <v/>
      </c>
      <c r="AN56" s="7">
        <f>IF(AM56="","",NORM.S.DIST(AM56,TRUE))</f>
        <v/>
      </c>
      <c r="AO56" s="13">
        <f>IF(AN56="","",IF(AN56&lt;='组合输入'!$K9,"AAA",IF(AN56&lt;='组合输入'!$L9,"AA",IF(AN56&lt;='组合输入'!$M9,"A",IF(AN56&lt;='组合输入'!$N9,"BBB",IF(AN56&lt;='组合输入'!$O9,"BB",IF(AN56&lt;='组合输入'!$P9,"B",IF(AN56&lt;='组合输入'!$Q9,"CCC","D")))))))</f>
        <v/>
      </c>
      <c r="AP56" s="12">
        <f>IF(AO56="","",INDEX('状态价值'!$D9:$K9,MATCH(AO56,'状态价值'!$D$1:$K$1,0)))</f>
        <v/>
      </c>
      <c r="AQ56" s="15">
        <f>NORM.S.INV(RAND())</f>
        <v/>
      </c>
      <c r="AR56" s="15">
        <f>IF('组合输入'!$C10="","",'组合输入'!$H10*$B56+SQRT(1-'组合输入'!$H10^2)*AQ56)</f>
        <v/>
      </c>
      <c r="AS56" s="7">
        <f>IF(AR56="","",NORM.S.DIST(AR56,TRUE))</f>
        <v/>
      </c>
      <c r="AT56" s="13">
        <f>IF(AS56="","",IF(AS56&lt;='组合输入'!$K10,"AAA",IF(AS56&lt;='组合输入'!$L10,"AA",IF(AS56&lt;='组合输入'!$M10,"A",IF(AS56&lt;='组合输入'!$N10,"BBB",IF(AS56&lt;='组合输入'!$O10,"BB",IF(AS56&lt;='组合输入'!$P10,"B",IF(AS56&lt;='组合输入'!$Q10,"CCC","D")))))))</f>
        <v/>
      </c>
      <c r="AU56" s="12">
        <f>IF(AT56="","",INDEX('状态价值'!$D10:$K10,MATCH(AT56,'状态价值'!$D$1:$K$1,0)))</f>
        <v/>
      </c>
      <c r="AV56" s="15">
        <f>NORM.S.INV(RAND())</f>
        <v/>
      </c>
      <c r="AW56" s="15">
        <f>IF('组合输入'!$C11="","",'组合输入'!$H11*$B56+SQRT(1-'组合输入'!$H11^2)*AV56)</f>
        <v/>
      </c>
      <c r="AX56" s="7">
        <f>IF(AW56="","",NORM.S.DIST(AW56,TRUE))</f>
        <v/>
      </c>
      <c r="AY56" s="13">
        <f>IF(AX56="","",IF(AX56&lt;='组合输入'!$K11,"AAA",IF(AX56&lt;='组合输入'!$L11,"AA",IF(AX56&lt;='组合输入'!$M11,"A",IF(AX56&lt;='组合输入'!$N11,"BBB",IF(AX56&lt;='组合输入'!$O11,"BB",IF(AX56&lt;='组合输入'!$P11,"B",IF(AX56&lt;='组合输入'!$Q11,"CCC","D")))))))</f>
        <v/>
      </c>
      <c r="AZ56" s="12">
        <f>IF(AY56="","",INDEX('状态价值'!$D11:$K11,MATCH(AY56,'状态价值'!$D$1:$K$1,0)))</f>
        <v/>
      </c>
      <c r="BA56" s="12">
        <f>G56+L56+Q56+V56+AA56+AF56+AK56+AP56+AU56+AZ56</f>
        <v/>
      </c>
      <c r="BB56" s="12">
        <f>SUM('组合输入'!$J$2:$J$11)-BA56</f>
        <v/>
      </c>
    </row>
    <row r="57">
      <c r="A57" s="11" t="n">
        <v>56</v>
      </c>
      <c r="B57" s="14">
        <f>NORM.S.INV(RAND())</f>
        <v/>
      </c>
      <c r="C57" s="14">
        <f>NORM.S.INV(RAND())</f>
        <v/>
      </c>
      <c r="D57" s="15">
        <f>IF('组合输入'!$C2="","",'组合输入'!$H2*$B57+SQRT(1-'组合输入'!$H2^2)*C57)</f>
        <v/>
      </c>
      <c r="E57" s="7">
        <f>IF(D57="","",NORM.S.DIST(D57,TRUE))</f>
        <v/>
      </c>
      <c r="F57" s="13">
        <f>IF(E57="","",IF(E57&lt;='组合输入'!$K2,"AAA",IF(E57&lt;='组合输入'!$L2,"AA",IF(E57&lt;='组合输入'!$M2,"A",IF(E57&lt;='组合输入'!$N2,"BBB",IF(E57&lt;='组合输入'!$O2,"BB",IF(E57&lt;='组合输入'!$P2,"B",IF(E57&lt;='组合输入'!$Q2,"CCC","D")))))))</f>
        <v/>
      </c>
      <c r="G57" s="12">
        <f>IF(F57="","",INDEX('状态价值'!$D2:$K2,MATCH(F57,'状态价值'!$D$1:$K$1,0)))</f>
        <v/>
      </c>
      <c r="H57" s="15">
        <f>NORM.S.INV(RAND())</f>
        <v/>
      </c>
      <c r="I57" s="15">
        <f>IF('组合输入'!$C3="","",'组合输入'!$H3*$B57+SQRT(1-'组合输入'!$H3^2)*H57)</f>
        <v/>
      </c>
      <c r="J57" s="7">
        <f>IF(I57="","",NORM.S.DIST(I57,TRUE))</f>
        <v/>
      </c>
      <c r="K57" s="13">
        <f>IF(J57="","",IF(J57&lt;='组合输入'!$K3,"AAA",IF(J57&lt;='组合输入'!$L3,"AA",IF(J57&lt;='组合输入'!$M3,"A",IF(J57&lt;='组合输入'!$N3,"BBB",IF(J57&lt;='组合输入'!$O3,"BB",IF(J57&lt;='组合输入'!$P3,"B",IF(J57&lt;='组合输入'!$Q3,"CCC","D")))))))</f>
        <v/>
      </c>
      <c r="L57" s="12">
        <f>IF(K57="","",INDEX('状态价值'!$D3:$K3,MATCH(K57,'状态价值'!$D$1:$K$1,0)))</f>
        <v/>
      </c>
      <c r="M57" s="15">
        <f>NORM.S.INV(RAND())</f>
        <v/>
      </c>
      <c r="N57" s="15">
        <f>IF('组合输入'!$C4="","",'组合输入'!$H4*$B57+SQRT(1-'组合输入'!$H4^2)*M57)</f>
        <v/>
      </c>
      <c r="O57" s="7">
        <f>IF(N57="","",NORM.S.DIST(N57,TRUE))</f>
        <v/>
      </c>
      <c r="P57" s="13">
        <f>IF(O57="","",IF(O57&lt;='组合输入'!$K4,"AAA",IF(O57&lt;='组合输入'!$L4,"AA",IF(O57&lt;='组合输入'!$M4,"A",IF(O57&lt;='组合输入'!$N4,"BBB",IF(O57&lt;='组合输入'!$O4,"BB",IF(O57&lt;='组合输入'!$P4,"B",IF(O57&lt;='组合输入'!$Q4,"CCC","D")))))))</f>
        <v/>
      </c>
      <c r="Q57" s="12">
        <f>IF(P57="","",INDEX('状态价值'!$D4:$K4,MATCH(P57,'状态价值'!$D$1:$K$1,0)))</f>
        <v/>
      </c>
      <c r="R57" s="15">
        <f>NORM.S.INV(RAND())</f>
        <v/>
      </c>
      <c r="S57" s="15">
        <f>IF('组合输入'!$C5="","",'组合输入'!$H5*$B57+SQRT(1-'组合输入'!$H5^2)*R57)</f>
        <v/>
      </c>
      <c r="T57" s="7">
        <f>IF(S57="","",NORM.S.DIST(S57,TRUE))</f>
        <v/>
      </c>
      <c r="U57" s="13">
        <f>IF(T57="","",IF(T57&lt;='组合输入'!$K5,"AAA",IF(T57&lt;='组合输入'!$L5,"AA",IF(T57&lt;='组合输入'!$M5,"A",IF(T57&lt;='组合输入'!$N5,"BBB",IF(T57&lt;='组合输入'!$O5,"BB",IF(T57&lt;='组合输入'!$P5,"B",IF(T57&lt;='组合输入'!$Q5,"CCC","D")))))))</f>
        <v/>
      </c>
      <c r="V57" s="12">
        <f>IF(U57="","",INDEX('状态价值'!$D5:$K5,MATCH(U57,'状态价值'!$D$1:$K$1,0)))</f>
        <v/>
      </c>
      <c r="W57" s="15">
        <f>NORM.S.INV(RAND())</f>
        <v/>
      </c>
      <c r="X57" s="15">
        <f>IF('组合输入'!$C6="","",'组合输入'!$H6*$B57+SQRT(1-'组合输入'!$H6^2)*W57)</f>
        <v/>
      </c>
      <c r="Y57" s="7">
        <f>IF(X57="","",NORM.S.DIST(X57,TRUE))</f>
        <v/>
      </c>
      <c r="Z57" s="13">
        <f>IF(Y57="","",IF(Y57&lt;='组合输入'!$K6,"AAA",IF(Y57&lt;='组合输入'!$L6,"AA",IF(Y57&lt;='组合输入'!$M6,"A",IF(Y57&lt;='组合输入'!$N6,"BBB",IF(Y57&lt;='组合输入'!$O6,"BB",IF(Y57&lt;='组合输入'!$P6,"B",IF(Y57&lt;='组合输入'!$Q6,"CCC","D")))))))</f>
        <v/>
      </c>
      <c r="AA57" s="12">
        <f>IF(Z57="","",INDEX('状态价值'!$D6:$K6,MATCH(Z57,'状态价值'!$D$1:$K$1,0)))</f>
        <v/>
      </c>
      <c r="AB57" s="15">
        <f>NORM.S.INV(RAND())</f>
        <v/>
      </c>
      <c r="AC57" s="15">
        <f>IF('组合输入'!$C7="","",'组合输入'!$H7*$B57+SQRT(1-'组合输入'!$H7^2)*AB57)</f>
        <v/>
      </c>
      <c r="AD57" s="7">
        <f>IF(AC57="","",NORM.S.DIST(AC57,TRUE))</f>
        <v/>
      </c>
      <c r="AE57" s="13">
        <f>IF(AD57="","",IF(AD57&lt;='组合输入'!$K7,"AAA",IF(AD57&lt;='组合输入'!$L7,"AA",IF(AD57&lt;='组合输入'!$M7,"A",IF(AD57&lt;='组合输入'!$N7,"BBB",IF(AD57&lt;='组合输入'!$O7,"BB",IF(AD57&lt;='组合输入'!$P7,"B",IF(AD57&lt;='组合输入'!$Q7,"CCC","D")))))))</f>
        <v/>
      </c>
      <c r="AF57" s="12">
        <f>IF(AE57="","",INDEX('状态价值'!$D7:$K7,MATCH(AE57,'状态价值'!$D$1:$K$1,0)))</f>
        <v/>
      </c>
      <c r="AG57" s="15">
        <f>NORM.S.INV(RAND())</f>
        <v/>
      </c>
      <c r="AH57" s="15">
        <f>IF('组合输入'!$C8="","",'组合输入'!$H8*$B57+SQRT(1-'组合输入'!$H8^2)*AG57)</f>
        <v/>
      </c>
      <c r="AI57" s="7">
        <f>IF(AH57="","",NORM.S.DIST(AH57,TRUE))</f>
        <v/>
      </c>
      <c r="AJ57" s="13">
        <f>IF(AI57="","",IF(AI57&lt;='组合输入'!$K8,"AAA",IF(AI57&lt;='组合输入'!$L8,"AA",IF(AI57&lt;='组合输入'!$M8,"A",IF(AI57&lt;='组合输入'!$N8,"BBB",IF(AI57&lt;='组合输入'!$O8,"BB",IF(AI57&lt;='组合输入'!$P8,"B",IF(AI57&lt;='组合输入'!$Q8,"CCC","D")))))))</f>
        <v/>
      </c>
      <c r="AK57" s="12">
        <f>IF(AJ57="","",INDEX('状态价值'!$D8:$K8,MATCH(AJ57,'状态价值'!$D$1:$K$1,0)))</f>
        <v/>
      </c>
      <c r="AL57" s="15">
        <f>NORM.S.INV(RAND())</f>
        <v/>
      </c>
      <c r="AM57" s="15">
        <f>IF('组合输入'!$C9="","",'组合输入'!$H9*$B57+SQRT(1-'组合输入'!$H9^2)*AL57)</f>
        <v/>
      </c>
      <c r="AN57" s="7">
        <f>IF(AM57="","",NORM.S.DIST(AM57,TRUE))</f>
        <v/>
      </c>
      <c r="AO57" s="13">
        <f>IF(AN57="","",IF(AN57&lt;='组合输入'!$K9,"AAA",IF(AN57&lt;='组合输入'!$L9,"AA",IF(AN57&lt;='组合输入'!$M9,"A",IF(AN57&lt;='组合输入'!$N9,"BBB",IF(AN57&lt;='组合输入'!$O9,"BB",IF(AN57&lt;='组合输入'!$P9,"B",IF(AN57&lt;='组合输入'!$Q9,"CCC","D")))))))</f>
        <v/>
      </c>
      <c r="AP57" s="12">
        <f>IF(AO57="","",INDEX('状态价值'!$D9:$K9,MATCH(AO57,'状态价值'!$D$1:$K$1,0)))</f>
        <v/>
      </c>
      <c r="AQ57" s="15">
        <f>NORM.S.INV(RAND())</f>
        <v/>
      </c>
      <c r="AR57" s="15">
        <f>IF('组合输入'!$C10="","",'组合输入'!$H10*$B57+SQRT(1-'组合输入'!$H10^2)*AQ57)</f>
        <v/>
      </c>
      <c r="AS57" s="7">
        <f>IF(AR57="","",NORM.S.DIST(AR57,TRUE))</f>
        <v/>
      </c>
      <c r="AT57" s="13">
        <f>IF(AS57="","",IF(AS57&lt;='组合输入'!$K10,"AAA",IF(AS57&lt;='组合输入'!$L10,"AA",IF(AS57&lt;='组合输入'!$M10,"A",IF(AS57&lt;='组合输入'!$N10,"BBB",IF(AS57&lt;='组合输入'!$O10,"BB",IF(AS57&lt;='组合输入'!$P10,"B",IF(AS57&lt;='组合输入'!$Q10,"CCC","D")))))))</f>
        <v/>
      </c>
      <c r="AU57" s="12">
        <f>IF(AT57="","",INDEX('状态价值'!$D10:$K10,MATCH(AT57,'状态价值'!$D$1:$K$1,0)))</f>
        <v/>
      </c>
      <c r="AV57" s="15">
        <f>NORM.S.INV(RAND())</f>
        <v/>
      </c>
      <c r="AW57" s="15">
        <f>IF('组合输入'!$C11="","",'组合输入'!$H11*$B57+SQRT(1-'组合输入'!$H11^2)*AV57)</f>
        <v/>
      </c>
      <c r="AX57" s="7">
        <f>IF(AW57="","",NORM.S.DIST(AW57,TRUE))</f>
        <v/>
      </c>
      <c r="AY57" s="13">
        <f>IF(AX57="","",IF(AX57&lt;='组合输入'!$K11,"AAA",IF(AX57&lt;='组合输入'!$L11,"AA",IF(AX57&lt;='组合输入'!$M11,"A",IF(AX57&lt;='组合输入'!$N11,"BBB",IF(AX57&lt;='组合输入'!$O11,"BB",IF(AX57&lt;='组合输入'!$P11,"B",IF(AX57&lt;='组合输入'!$Q11,"CCC","D")))))))</f>
        <v/>
      </c>
      <c r="AZ57" s="12">
        <f>IF(AY57="","",INDEX('状态价值'!$D11:$K11,MATCH(AY57,'状态价值'!$D$1:$K$1,0)))</f>
        <v/>
      </c>
      <c r="BA57" s="12">
        <f>G57+L57+Q57+V57+AA57+AF57+AK57+AP57+AU57+AZ57</f>
        <v/>
      </c>
      <c r="BB57" s="12">
        <f>SUM('组合输入'!$J$2:$J$11)-BA57</f>
        <v/>
      </c>
    </row>
    <row r="58">
      <c r="A58" s="11" t="n">
        <v>57</v>
      </c>
      <c r="B58" s="14">
        <f>NORM.S.INV(RAND())</f>
        <v/>
      </c>
      <c r="C58" s="14">
        <f>NORM.S.INV(RAND())</f>
        <v/>
      </c>
      <c r="D58" s="15">
        <f>IF('组合输入'!$C2="","",'组合输入'!$H2*$B58+SQRT(1-'组合输入'!$H2^2)*C58)</f>
        <v/>
      </c>
      <c r="E58" s="7">
        <f>IF(D58="","",NORM.S.DIST(D58,TRUE))</f>
        <v/>
      </c>
      <c r="F58" s="13">
        <f>IF(E58="","",IF(E58&lt;='组合输入'!$K2,"AAA",IF(E58&lt;='组合输入'!$L2,"AA",IF(E58&lt;='组合输入'!$M2,"A",IF(E58&lt;='组合输入'!$N2,"BBB",IF(E58&lt;='组合输入'!$O2,"BB",IF(E58&lt;='组合输入'!$P2,"B",IF(E58&lt;='组合输入'!$Q2,"CCC","D")))))))</f>
        <v/>
      </c>
      <c r="G58" s="12">
        <f>IF(F58="","",INDEX('状态价值'!$D2:$K2,MATCH(F58,'状态价值'!$D$1:$K$1,0)))</f>
        <v/>
      </c>
      <c r="H58" s="15">
        <f>NORM.S.INV(RAND())</f>
        <v/>
      </c>
      <c r="I58" s="15">
        <f>IF('组合输入'!$C3="","",'组合输入'!$H3*$B58+SQRT(1-'组合输入'!$H3^2)*H58)</f>
        <v/>
      </c>
      <c r="J58" s="7">
        <f>IF(I58="","",NORM.S.DIST(I58,TRUE))</f>
        <v/>
      </c>
      <c r="K58" s="13">
        <f>IF(J58="","",IF(J58&lt;='组合输入'!$K3,"AAA",IF(J58&lt;='组合输入'!$L3,"AA",IF(J58&lt;='组合输入'!$M3,"A",IF(J58&lt;='组合输入'!$N3,"BBB",IF(J58&lt;='组合输入'!$O3,"BB",IF(J58&lt;='组合输入'!$P3,"B",IF(J58&lt;='组合输入'!$Q3,"CCC","D")))))))</f>
        <v/>
      </c>
      <c r="L58" s="12">
        <f>IF(K58="","",INDEX('状态价值'!$D3:$K3,MATCH(K58,'状态价值'!$D$1:$K$1,0)))</f>
        <v/>
      </c>
      <c r="M58" s="15">
        <f>NORM.S.INV(RAND())</f>
        <v/>
      </c>
      <c r="N58" s="15">
        <f>IF('组合输入'!$C4="","",'组合输入'!$H4*$B58+SQRT(1-'组合输入'!$H4^2)*M58)</f>
        <v/>
      </c>
      <c r="O58" s="7">
        <f>IF(N58="","",NORM.S.DIST(N58,TRUE))</f>
        <v/>
      </c>
      <c r="P58" s="13">
        <f>IF(O58="","",IF(O58&lt;='组合输入'!$K4,"AAA",IF(O58&lt;='组合输入'!$L4,"AA",IF(O58&lt;='组合输入'!$M4,"A",IF(O58&lt;='组合输入'!$N4,"BBB",IF(O58&lt;='组合输入'!$O4,"BB",IF(O58&lt;='组合输入'!$P4,"B",IF(O58&lt;='组合输入'!$Q4,"CCC","D")))))))</f>
        <v/>
      </c>
      <c r="Q58" s="12">
        <f>IF(P58="","",INDEX('状态价值'!$D4:$K4,MATCH(P58,'状态价值'!$D$1:$K$1,0)))</f>
        <v/>
      </c>
      <c r="R58" s="15">
        <f>NORM.S.INV(RAND())</f>
        <v/>
      </c>
      <c r="S58" s="15">
        <f>IF('组合输入'!$C5="","",'组合输入'!$H5*$B58+SQRT(1-'组合输入'!$H5^2)*R58)</f>
        <v/>
      </c>
      <c r="T58" s="7">
        <f>IF(S58="","",NORM.S.DIST(S58,TRUE))</f>
        <v/>
      </c>
      <c r="U58" s="13">
        <f>IF(T58="","",IF(T58&lt;='组合输入'!$K5,"AAA",IF(T58&lt;='组合输入'!$L5,"AA",IF(T58&lt;='组合输入'!$M5,"A",IF(T58&lt;='组合输入'!$N5,"BBB",IF(T58&lt;='组合输入'!$O5,"BB",IF(T58&lt;='组合输入'!$P5,"B",IF(T58&lt;='组合输入'!$Q5,"CCC","D")))))))</f>
        <v/>
      </c>
      <c r="V58" s="12">
        <f>IF(U58="","",INDEX('状态价值'!$D5:$K5,MATCH(U58,'状态价值'!$D$1:$K$1,0)))</f>
        <v/>
      </c>
      <c r="W58" s="15">
        <f>NORM.S.INV(RAND())</f>
        <v/>
      </c>
      <c r="X58" s="15">
        <f>IF('组合输入'!$C6="","",'组合输入'!$H6*$B58+SQRT(1-'组合输入'!$H6^2)*W58)</f>
        <v/>
      </c>
      <c r="Y58" s="7">
        <f>IF(X58="","",NORM.S.DIST(X58,TRUE))</f>
        <v/>
      </c>
      <c r="Z58" s="13">
        <f>IF(Y58="","",IF(Y58&lt;='组合输入'!$K6,"AAA",IF(Y58&lt;='组合输入'!$L6,"AA",IF(Y58&lt;='组合输入'!$M6,"A",IF(Y58&lt;='组合输入'!$N6,"BBB",IF(Y58&lt;='组合输入'!$O6,"BB",IF(Y58&lt;='组合输入'!$P6,"B",IF(Y58&lt;='组合输入'!$Q6,"CCC","D")))))))</f>
        <v/>
      </c>
      <c r="AA58" s="12">
        <f>IF(Z58="","",INDEX('状态价值'!$D6:$K6,MATCH(Z58,'状态价值'!$D$1:$K$1,0)))</f>
        <v/>
      </c>
      <c r="AB58" s="15">
        <f>NORM.S.INV(RAND())</f>
        <v/>
      </c>
      <c r="AC58" s="15">
        <f>IF('组合输入'!$C7="","",'组合输入'!$H7*$B58+SQRT(1-'组合输入'!$H7^2)*AB58)</f>
        <v/>
      </c>
      <c r="AD58" s="7">
        <f>IF(AC58="","",NORM.S.DIST(AC58,TRUE))</f>
        <v/>
      </c>
      <c r="AE58" s="13">
        <f>IF(AD58="","",IF(AD58&lt;='组合输入'!$K7,"AAA",IF(AD58&lt;='组合输入'!$L7,"AA",IF(AD58&lt;='组合输入'!$M7,"A",IF(AD58&lt;='组合输入'!$N7,"BBB",IF(AD58&lt;='组合输入'!$O7,"BB",IF(AD58&lt;='组合输入'!$P7,"B",IF(AD58&lt;='组合输入'!$Q7,"CCC","D")))))))</f>
        <v/>
      </c>
      <c r="AF58" s="12">
        <f>IF(AE58="","",INDEX('状态价值'!$D7:$K7,MATCH(AE58,'状态价值'!$D$1:$K$1,0)))</f>
        <v/>
      </c>
      <c r="AG58" s="15">
        <f>NORM.S.INV(RAND())</f>
        <v/>
      </c>
      <c r="AH58" s="15">
        <f>IF('组合输入'!$C8="","",'组合输入'!$H8*$B58+SQRT(1-'组合输入'!$H8^2)*AG58)</f>
        <v/>
      </c>
      <c r="AI58" s="7">
        <f>IF(AH58="","",NORM.S.DIST(AH58,TRUE))</f>
        <v/>
      </c>
      <c r="AJ58" s="13">
        <f>IF(AI58="","",IF(AI58&lt;='组合输入'!$K8,"AAA",IF(AI58&lt;='组合输入'!$L8,"AA",IF(AI58&lt;='组合输入'!$M8,"A",IF(AI58&lt;='组合输入'!$N8,"BBB",IF(AI58&lt;='组合输入'!$O8,"BB",IF(AI58&lt;='组合输入'!$P8,"B",IF(AI58&lt;='组合输入'!$Q8,"CCC","D")))))))</f>
        <v/>
      </c>
      <c r="AK58" s="12">
        <f>IF(AJ58="","",INDEX('状态价值'!$D8:$K8,MATCH(AJ58,'状态价值'!$D$1:$K$1,0)))</f>
        <v/>
      </c>
      <c r="AL58" s="15">
        <f>NORM.S.INV(RAND())</f>
        <v/>
      </c>
      <c r="AM58" s="15">
        <f>IF('组合输入'!$C9="","",'组合输入'!$H9*$B58+SQRT(1-'组合输入'!$H9^2)*AL58)</f>
        <v/>
      </c>
      <c r="AN58" s="7">
        <f>IF(AM58="","",NORM.S.DIST(AM58,TRUE))</f>
        <v/>
      </c>
      <c r="AO58" s="13">
        <f>IF(AN58="","",IF(AN58&lt;='组合输入'!$K9,"AAA",IF(AN58&lt;='组合输入'!$L9,"AA",IF(AN58&lt;='组合输入'!$M9,"A",IF(AN58&lt;='组合输入'!$N9,"BBB",IF(AN58&lt;='组合输入'!$O9,"BB",IF(AN58&lt;='组合输入'!$P9,"B",IF(AN58&lt;='组合输入'!$Q9,"CCC","D")))))))</f>
        <v/>
      </c>
      <c r="AP58" s="12">
        <f>IF(AO58="","",INDEX('状态价值'!$D9:$K9,MATCH(AO58,'状态价值'!$D$1:$K$1,0)))</f>
        <v/>
      </c>
      <c r="AQ58" s="15">
        <f>NORM.S.INV(RAND())</f>
        <v/>
      </c>
      <c r="AR58" s="15">
        <f>IF('组合输入'!$C10="","",'组合输入'!$H10*$B58+SQRT(1-'组合输入'!$H10^2)*AQ58)</f>
        <v/>
      </c>
      <c r="AS58" s="7">
        <f>IF(AR58="","",NORM.S.DIST(AR58,TRUE))</f>
        <v/>
      </c>
      <c r="AT58" s="13">
        <f>IF(AS58="","",IF(AS58&lt;='组合输入'!$K10,"AAA",IF(AS58&lt;='组合输入'!$L10,"AA",IF(AS58&lt;='组合输入'!$M10,"A",IF(AS58&lt;='组合输入'!$N10,"BBB",IF(AS58&lt;='组合输入'!$O10,"BB",IF(AS58&lt;='组合输入'!$P10,"B",IF(AS58&lt;='组合输入'!$Q10,"CCC","D")))))))</f>
        <v/>
      </c>
      <c r="AU58" s="12">
        <f>IF(AT58="","",INDEX('状态价值'!$D10:$K10,MATCH(AT58,'状态价值'!$D$1:$K$1,0)))</f>
        <v/>
      </c>
      <c r="AV58" s="15">
        <f>NORM.S.INV(RAND())</f>
        <v/>
      </c>
      <c r="AW58" s="15">
        <f>IF('组合输入'!$C11="","",'组合输入'!$H11*$B58+SQRT(1-'组合输入'!$H11^2)*AV58)</f>
        <v/>
      </c>
      <c r="AX58" s="7">
        <f>IF(AW58="","",NORM.S.DIST(AW58,TRUE))</f>
        <v/>
      </c>
      <c r="AY58" s="13">
        <f>IF(AX58="","",IF(AX58&lt;='组合输入'!$K11,"AAA",IF(AX58&lt;='组合输入'!$L11,"AA",IF(AX58&lt;='组合输入'!$M11,"A",IF(AX58&lt;='组合输入'!$N11,"BBB",IF(AX58&lt;='组合输入'!$O11,"BB",IF(AX58&lt;='组合输入'!$P11,"B",IF(AX58&lt;='组合输入'!$Q11,"CCC","D")))))))</f>
        <v/>
      </c>
      <c r="AZ58" s="12">
        <f>IF(AY58="","",INDEX('状态价值'!$D11:$K11,MATCH(AY58,'状态价值'!$D$1:$K$1,0)))</f>
        <v/>
      </c>
      <c r="BA58" s="12">
        <f>G58+L58+Q58+V58+AA58+AF58+AK58+AP58+AU58+AZ58</f>
        <v/>
      </c>
      <c r="BB58" s="12">
        <f>SUM('组合输入'!$J$2:$J$11)-BA58</f>
        <v/>
      </c>
    </row>
    <row r="59">
      <c r="A59" s="11" t="n">
        <v>58</v>
      </c>
      <c r="B59" s="14">
        <f>NORM.S.INV(RAND())</f>
        <v/>
      </c>
      <c r="C59" s="14">
        <f>NORM.S.INV(RAND())</f>
        <v/>
      </c>
      <c r="D59" s="15">
        <f>IF('组合输入'!$C2="","",'组合输入'!$H2*$B59+SQRT(1-'组合输入'!$H2^2)*C59)</f>
        <v/>
      </c>
      <c r="E59" s="7">
        <f>IF(D59="","",NORM.S.DIST(D59,TRUE))</f>
        <v/>
      </c>
      <c r="F59" s="13">
        <f>IF(E59="","",IF(E59&lt;='组合输入'!$K2,"AAA",IF(E59&lt;='组合输入'!$L2,"AA",IF(E59&lt;='组合输入'!$M2,"A",IF(E59&lt;='组合输入'!$N2,"BBB",IF(E59&lt;='组合输入'!$O2,"BB",IF(E59&lt;='组合输入'!$P2,"B",IF(E59&lt;='组合输入'!$Q2,"CCC","D")))))))</f>
        <v/>
      </c>
      <c r="G59" s="12">
        <f>IF(F59="","",INDEX('状态价值'!$D2:$K2,MATCH(F59,'状态价值'!$D$1:$K$1,0)))</f>
        <v/>
      </c>
      <c r="H59" s="15">
        <f>NORM.S.INV(RAND())</f>
        <v/>
      </c>
      <c r="I59" s="15">
        <f>IF('组合输入'!$C3="","",'组合输入'!$H3*$B59+SQRT(1-'组合输入'!$H3^2)*H59)</f>
        <v/>
      </c>
      <c r="J59" s="7">
        <f>IF(I59="","",NORM.S.DIST(I59,TRUE))</f>
        <v/>
      </c>
      <c r="K59" s="13">
        <f>IF(J59="","",IF(J59&lt;='组合输入'!$K3,"AAA",IF(J59&lt;='组合输入'!$L3,"AA",IF(J59&lt;='组合输入'!$M3,"A",IF(J59&lt;='组合输入'!$N3,"BBB",IF(J59&lt;='组合输入'!$O3,"BB",IF(J59&lt;='组合输入'!$P3,"B",IF(J59&lt;='组合输入'!$Q3,"CCC","D")))))))</f>
        <v/>
      </c>
      <c r="L59" s="12">
        <f>IF(K59="","",INDEX('状态价值'!$D3:$K3,MATCH(K59,'状态价值'!$D$1:$K$1,0)))</f>
        <v/>
      </c>
      <c r="M59" s="15">
        <f>NORM.S.INV(RAND())</f>
        <v/>
      </c>
      <c r="N59" s="15">
        <f>IF('组合输入'!$C4="","",'组合输入'!$H4*$B59+SQRT(1-'组合输入'!$H4^2)*M59)</f>
        <v/>
      </c>
      <c r="O59" s="7">
        <f>IF(N59="","",NORM.S.DIST(N59,TRUE))</f>
        <v/>
      </c>
      <c r="P59" s="13">
        <f>IF(O59="","",IF(O59&lt;='组合输入'!$K4,"AAA",IF(O59&lt;='组合输入'!$L4,"AA",IF(O59&lt;='组合输入'!$M4,"A",IF(O59&lt;='组合输入'!$N4,"BBB",IF(O59&lt;='组合输入'!$O4,"BB",IF(O59&lt;='组合输入'!$P4,"B",IF(O59&lt;='组合输入'!$Q4,"CCC","D")))))))</f>
        <v/>
      </c>
      <c r="Q59" s="12">
        <f>IF(P59="","",INDEX('状态价值'!$D4:$K4,MATCH(P59,'状态价值'!$D$1:$K$1,0)))</f>
        <v/>
      </c>
      <c r="R59" s="15">
        <f>NORM.S.INV(RAND())</f>
        <v/>
      </c>
      <c r="S59" s="15">
        <f>IF('组合输入'!$C5="","",'组合输入'!$H5*$B59+SQRT(1-'组合输入'!$H5^2)*R59)</f>
        <v/>
      </c>
      <c r="T59" s="7">
        <f>IF(S59="","",NORM.S.DIST(S59,TRUE))</f>
        <v/>
      </c>
      <c r="U59" s="13">
        <f>IF(T59="","",IF(T59&lt;='组合输入'!$K5,"AAA",IF(T59&lt;='组合输入'!$L5,"AA",IF(T59&lt;='组合输入'!$M5,"A",IF(T59&lt;='组合输入'!$N5,"BBB",IF(T59&lt;='组合输入'!$O5,"BB",IF(T59&lt;='组合输入'!$P5,"B",IF(T59&lt;='组合输入'!$Q5,"CCC","D")))))))</f>
        <v/>
      </c>
      <c r="V59" s="12">
        <f>IF(U59="","",INDEX('状态价值'!$D5:$K5,MATCH(U59,'状态价值'!$D$1:$K$1,0)))</f>
        <v/>
      </c>
      <c r="W59" s="15">
        <f>NORM.S.INV(RAND())</f>
        <v/>
      </c>
      <c r="X59" s="15">
        <f>IF('组合输入'!$C6="","",'组合输入'!$H6*$B59+SQRT(1-'组合输入'!$H6^2)*W59)</f>
        <v/>
      </c>
      <c r="Y59" s="7">
        <f>IF(X59="","",NORM.S.DIST(X59,TRUE))</f>
        <v/>
      </c>
      <c r="Z59" s="13">
        <f>IF(Y59="","",IF(Y59&lt;='组合输入'!$K6,"AAA",IF(Y59&lt;='组合输入'!$L6,"AA",IF(Y59&lt;='组合输入'!$M6,"A",IF(Y59&lt;='组合输入'!$N6,"BBB",IF(Y59&lt;='组合输入'!$O6,"BB",IF(Y59&lt;='组合输入'!$P6,"B",IF(Y59&lt;='组合输入'!$Q6,"CCC","D")))))))</f>
        <v/>
      </c>
      <c r="AA59" s="12">
        <f>IF(Z59="","",INDEX('状态价值'!$D6:$K6,MATCH(Z59,'状态价值'!$D$1:$K$1,0)))</f>
        <v/>
      </c>
      <c r="AB59" s="15">
        <f>NORM.S.INV(RAND())</f>
        <v/>
      </c>
      <c r="AC59" s="15">
        <f>IF('组合输入'!$C7="","",'组合输入'!$H7*$B59+SQRT(1-'组合输入'!$H7^2)*AB59)</f>
        <v/>
      </c>
      <c r="AD59" s="7">
        <f>IF(AC59="","",NORM.S.DIST(AC59,TRUE))</f>
        <v/>
      </c>
      <c r="AE59" s="13">
        <f>IF(AD59="","",IF(AD59&lt;='组合输入'!$K7,"AAA",IF(AD59&lt;='组合输入'!$L7,"AA",IF(AD59&lt;='组合输入'!$M7,"A",IF(AD59&lt;='组合输入'!$N7,"BBB",IF(AD59&lt;='组合输入'!$O7,"BB",IF(AD59&lt;='组合输入'!$P7,"B",IF(AD59&lt;='组合输入'!$Q7,"CCC","D")))))))</f>
        <v/>
      </c>
      <c r="AF59" s="12">
        <f>IF(AE59="","",INDEX('状态价值'!$D7:$K7,MATCH(AE59,'状态价值'!$D$1:$K$1,0)))</f>
        <v/>
      </c>
      <c r="AG59" s="15">
        <f>NORM.S.INV(RAND())</f>
        <v/>
      </c>
      <c r="AH59" s="15">
        <f>IF('组合输入'!$C8="","",'组合输入'!$H8*$B59+SQRT(1-'组合输入'!$H8^2)*AG59)</f>
        <v/>
      </c>
      <c r="AI59" s="7">
        <f>IF(AH59="","",NORM.S.DIST(AH59,TRUE))</f>
        <v/>
      </c>
      <c r="AJ59" s="13">
        <f>IF(AI59="","",IF(AI59&lt;='组合输入'!$K8,"AAA",IF(AI59&lt;='组合输入'!$L8,"AA",IF(AI59&lt;='组合输入'!$M8,"A",IF(AI59&lt;='组合输入'!$N8,"BBB",IF(AI59&lt;='组合输入'!$O8,"BB",IF(AI59&lt;='组合输入'!$P8,"B",IF(AI59&lt;='组合输入'!$Q8,"CCC","D")))))))</f>
        <v/>
      </c>
      <c r="AK59" s="12">
        <f>IF(AJ59="","",INDEX('状态价值'!$D8:$K8,MATCH(AJ59,'状态价值'!$D$1:$K$1,0)))</f>
        <v/>
      </c>
      <c r="AL59" s="15">
        <f>NORM.S.INV(RAND())</f>
        <v/>
      </c>
      <c r="AM59" s="15">
        <f>IF('组合输入'!$C9="","",'组合输入'!$H9*$B59+SQRT(1-'组合输入'!$H9^2)*AL59)</f>
        <v/>
      </c>
      <c r="AN59" s="7">
        <f>IF(AM59="","",NORM.S.DIST(AM59,TRUE))</f>
        <v/>
      </c>
      <c r="AO59" s="13">
        <f>IF(AN59="","",IF(AN59&lt;='组合输入'!$K9,"AAA",IF(AN59&lt;='组合输入'!$L9,"AA",IF(AN59&lt;='组合输入'!$M9,"A",IF(AN59&lt;='组合输入'!$N9,"BBB",IF(AN59&lt;='组合输入'!$O9,"BB",IF(AN59&lt;='组合输入'!$P9,"B",IF(AN59&lt;='组合输入'!$Q9,"CCC","D")))))))</f>
        <v/>
      </c>
      <c r="AP59" s="12">
        <f>IF(AO59="","",INDEX('状态价值'!$D9:$K9,MATCH(AO59,'状态价值'!$D$1:$K$1,0)))</f>
        <v/>
      </c>
      <c r="AQ59" s="15">
        <f>NORM.S.INV(RAND())</f>
        <v/>
      </c>
      <c r="AR59" s="15">
        <f>IF('组合输入'!$C10="","",'组合输入'!$H10*$B59+SQRT(1-'组合输入'!$H10^2)*AQ59)</f>
        <v/>
      </c>
      <c r="AS59" s="7">
        <f>IF(AR59="","",NORM.S.DIST(AR59,TRUE))</f>
        <v/>
      </c>
      <c r="AT59" s="13">
        <f>IF(AS59="","",IF(AS59&lt;='组合输入'!$K10,"AAA",IF(AS59&lt;='组合输入'!$L10,"AA",IF(AS59&lt;='组合输入'!$M10,"A",IF(AS59&lt;='组合输入'!$N10,"BBB",IF(AS59&lt;='组合输入'!$O10,"BB",IF(AS59&lt;='组合输入'!$P10,"B",IF(AS59&lt;='组合输入'!$Q10,"CCC","D")))))))</f>
        <v/>
      </c>
      <c r="AU59" s="12">
        <f>IF(AT59="","",INDEX('状态价值'!$D10:$K10,MATCH(AT59,'状态价值'!$D$1:$K$1,0)))</f>
        <v/>
      </c>
      <c r="AV59" s="15">
        <f>NORM.S.INV(RAND())</f>
        <v/>
      </c>
      <c r="AW59" s="15">
        <f>IF('组合输入'!$C11="","",'组合输入'!$H11*$B59+SQRT(1-'组合输入'!$H11^2)*AV59)</f>
        <v/>
      </c>
      <c r="AX59" s="7">
        <f>IF(AW59="","",NORM.S.DIST(AW59,TRUE))</f>
        <v/>
      </c>
      <c r="AY59" s="13">
        <f>IF(AX59="","",IF(AX59&lt;='组合输入'!$K11,"AAA",IF(AX59&lt;='组合输入'!$L11,"AA",IF(AX59&lt;='组合输入'!$M11,"A",IF(AX59&lt;='组合输入'!$N11,"BBB",IF(AX59&lt;='组合输入'!$O11,"BB",IF(AX59&lt;='组合输入'!$P11,"B",IF(AX59&lt;='组合输入'!$Q11,"CCC","D")))))))</f>
        <v/>
      </c>
      <c r="AZ59" s="12">
        <f>IF(AY59="","",INDEX('状态价值'!$D11:$K11,MATCH(AY59,'状态价值'!$D$1:$K$1,0)))</f>
        <v/>
      </c>
      <c r="BA59" s="12">
        <f>G59+L59+Q59+V59+AA59+AF59+AK59+AP59+AU59+AZ59</f>
        <v/>
      </c>
      <c r="BB59" s="12">
        <f>SUM('组合输入'!$J$2:$J$11)-BA59</f>
        <v/>
      </c>
    </row>
    <row r="60">
      <c r="A60" s="11" t="n">
        <v>59</v>
      </c>
      <c r="B60" s="14">
        <f>NORM.S.INV(RAND())</f>
        <v/>
      </c>
      <c r="C60" s="14">
        <f>NORM.S.INV(RAND())</f>
        <v/>
      </c>
      <c r="D60" s="15">
        <f>IF('组合输入'!$C2="","",'组合输入'!$H2*$B60+SQRT(1-'组合输入'!$H2^2)*C60)</f>
        <v/>
      </c>
      <c r="E60" s="7">
        <f>IF(D60="","",NORM.S.DIST(D60,TRUE))</f>
        <v/>
      </c>
      <c r="F60" s="13">
        <f>IF(E60="","",IF(E60&lt;='组合输入'!$K2,"AAA",IF(E60&lt;='组合输入'!$L2,"AA",IF(E60&lt;='组合输入'!$M2,"A",IF(E60&lt;='组合输入'!$N2,"BBB",IF(E60&lt;='组合输入'!$O2,"BB",IF(E60&lt;='组合输入'!$P2,"B",IF(E60&lt;='组合输入'!$Q2,"CCC","D")))))))</f>
        <v/>
      </c>
      <c r="G60" s="12">
        <f>IF(F60="","",INDEX('状态价值'!$D2:$K2,MATCH(F60,'状态价值'!$D$1:$K$1,0)))</f>
        <v/>
      </c>
      <c r="H60" s="15">
        <f>NORM.S.INV(RAND())</f>
        <v/>
      </c>
      <c r="I60" s="15">
        <f>IF('组合输入'!$C3="","",'组合输入'!$H3*$B60+SQRT(1-'组合输入'!$H3^2)*H60)</f>
        <v/>
      </c>
      <c r="J60" s="7">
        <f>IF(I60="","",NORM.S.DIST(I60,TRUE))</f>
        <v/>
      </c>
      <c r="K60" s="13">
        <f>IF(J60="","",IF(J60&lt;='组合输入'!$K3,"AAA",IF(J60&lt;='组合输入'!$L3,"AA",IF(J60&lt;='组合输入'!$M3,"A",IF(J60&lt;='组合输入'!$N3,"BBB",IF(J60&lt;='组合输入'!$O3,"BB",IF(J60&lt;='组合输入'!$P3,"B",IF(J60&lt;='组合输入'!$Q3,"CCC","D")))))))</f>
        <v/>
      </c>
      <c r="L60" s="12">
        <f>IF(K60="","",INDEX('状态价值'!$D3:$K3,MATCH(K60,'状态价值'!$D$1:$K$1,0)))</f>
        <v/>
      </c>
      <c r="M60" s="15">
        <f>NORM.S.INV(RAND())</f>
        <v/>
      </c>
      <c r="N60" s="15">
        <f>IF('组合输入'!$C4="","",'组合输入'!$H4*$B60+SQRT(1-'组合输入'!$H4^2)*M60)</f>
        <v/>
      </c>
      <c r="O60" s="7">
        <f>IF(N60="","",NORM.S.DIST(N60,TRUE))</f>
        <v/>
      </c>
      <c r="P60" s="13">
        <f>IF(O60="","",IF(O60&lt;='组合输入'!$K4,"AAA",IF(O60&lt;='组合输入'!$L4,"AA",IF(O60&lt;='组合输入'!$M4,"A",IF(O60&lt;='组合输入'!$N4,"BBB",IF(O60&lt;='组合输入'!$O4,"BB",IF(O60&lt;='组合输入'!$P4,"B",IF(O60&lt;='组合输入'!$Q4,"CCC","D")))))))</f>
        <v/>
      </c>
      <c r="Q60" s="12">
        <f>IF(P60="","",INDEX('状态价值'!$D4:$K4,MATCH(P60,'状态价值'!$D$1:$K$1,0)))</f>
        <v/>
      </c>
      <c r="R60" s="15">
        <f>NORM.S.INV(RAND())</f>
        <v/>
      </c>
      <c r="S60" s="15">
        <f>IF('组合输入'!$C5="","",'组合输入'!$H5*$B60+SQRT(1-'组合输入'!$H5^2)*R60)</f>
        <v/>
      </c>
      <c r="T60" s="7">
        <f>IF(S60="","",NORM.S.DIST(S60,TRUE))</f>
        <v/>
      </c>
      <c r="U60" s="13">
        <f>IF(T60="","",IF(T60&lt;='组合输入'!$K5,"AAA",IF(T60&lt;='组合输入'!$L5,"AA",IF(T60&lt;='组合输入'!$M5,"A",IF(T60&lt;='组合输入'!$N5,"BBB",IF(T60&lt;='组合输入'!$O5,"BB",IF(T60&lt;='组合输入'!$P5,"B",IF(T60&lt;='组合输入'!$Q5,"CCC","D")))))))</f>
        <v/>
      </c>
      <c r="V60" s="12">
        <f>IF(U60="","",INDEX('状态价值'!$D5:$K5,MATCH(U60,'状态价值'!$D$1:$K$1,0)))</f>
        <v/>
      </c>
      <c r="W60" s="15">
        <f>NORM.S.INV(RAND())</f>
        <v/>
      </c>
      <c r="X60" s="15">
        <f>IF('组合输入'!$C6="","",'组合输入'!$H6*$B60+SQRT(1-'组合输入'!$H6^2)*W60)</f>
        <v/>
      </c>
      <c r="Y60" s="7">
        <f>IF(X60="","",NORM.S.DIST(X60,TRUE))</f>
        <v/>
      </c>
      <c r="Z60" s="13">
        <f>IF(Y60="","",IF(Y60&lt;='组合输入'!$K6,"AAA",IF(Y60&lt;='组合输入'!$L6,"AA",IF(Y60&lt;='组合输入'!$M6,"A",IF(Y60&lt;='组合输入'!$N6,"BBB",IF(Y60&lt;='组合输入'!$O6,"BB",IF(Y60&lt;='组合输入'!$P6,"B",IF(Y60&lt;='组合输入'!$Q6,"CCC","D")))))))</f>
        <v/>
      </c>
      <c r="AA60" s="12">
        <f>IF(Z60="","",INDEX('状态价值'!$D6:$K6,MATCH(Z60,'状态价值'!$D$1:$K$1,0)))</f>
        <v/>
      </c>
      <c r="AB60" s="15">
        <f>NORM.S.INV(RAND())</f>
        <v/>
      </c>
      <c r="AC60" s="15">
        <f>IF('组合输入'!$C7="","",'组合输入'!$H7*$B60+SQRT(1-'组合输入'!$H7^2)*AB60)</f>
        <v/>
      </c>
      <c r="AD60" s="7">
        <f>IF(AC60="","",NORM.S.DIST(AC60,TRUE))</f>
        <v/>
      </c>
      <c r="AE60" s="13">
        <f>IF(AD60="","",IF(AD60&lt;='组合输入'!$K7,"AAA",IF(AD60&lt;='组合输入'!$L7,"AA",IF(AD60&lt;='组合输入'!$M7,"A",IF(AD60&lt;='组合输入'!$N7,"BBB",IF(AD60&lt;='组合输入'!$O7,"BB",IF(AD60&lt;='组合输入'!$P7,"B",IF(AD60&lt;='组合输入'!$Q7,"CCC","D")))))))</f>
        <v/>
      </c>
      <c r="AF60" s="12">
        <f>IF(AE60="","",INDEX('状态价值'!$D7:$K7,MATCH(AE60,'状态价值'!$D$1:$K$1,0)))</f>
        <v/>
      </c>
      <c r="AG60" s="15">
        <f>NORM.S.INV(RAND())</f>
        <v/>
      </c>
      <c r="AH60" s="15">
        <f>IF('组合输入'!$C8="","",'组合输入'!$H8*$B60+SQRT(1-'组合输入'!$H8^2)*AG60)</f>
        <v/>
      </c>
      <c r="AI60" s="7">
        <f>IF(AH60="","",NORM.S.DIST(AH60,TRUE))</f>
        <v/>
      </c>
      <c r="AJ60" s="13">
        <f>IF(AI60="","",IF(AI60&lt;='组合输入'!$K8,"AAA",IF(AI60&lt;='组合输入'!$L8,"AA",IF(AI60&lt;='组合输入'!$M8,"A",IF(AI60&lt;='组合输入'!$N8,"BBB",IF(AI60&lt;='组合输入'!$O8,"BB",IF(AI60&lt;='组合输入'!$P8,"B",IF(AI60&lt;='组合输入'!$Q8,"CCC","D")))))))</f>
        <v/>
      </c>
      <c r="AK60" s="12">
        <f>IF(AJ60="","",INDEX('状态价值'!$D8:$K8,MATCH(AJ60,'状态价值'!$D$1:$K$1,0)))</f>
        <v/>
      </c>
      <c r="AL60" s="15">
        <f>NORM.S.INV(RAND())</f>
        <v/>
      </c>
      <c r="AM60" s="15">
        <f>IF('组合输入'!$C9="","",'组合输入'!$H9*$B60+SQRT(1-'组合输入'!$H9^2)*AL60)</f>
        <v/>
      </c>
      <c r="AN60" s="7">
        <f>IF(AM60="","",NORM.S.DIST(AM60,TRUE))</f>
        <v/>
      </c>
      <c r="AO60" s="13">
        <f>IF(AN60="","",IF(AN60&lt;='组合输入'!$K9,"AAA",IF(AN60&lt;='组合输入'!$L9,"AA",IF(AN60&lt;='组合输入'!$M9,"A",IF(AN60&lt;='组合输入'!$N9,"BBB",IF(AN60&lt;='组合输入'!$O9,"BB",IF(AN60&lt;='组合输入'!$P9,"B",IF(AN60&lt;='组合输入'!$Q9,"CCC","D")))))))</f>
        <v/>
      </c>
      <c r="AP60" s="12">
        <f>IF(AO60="","",INDEX('状态价值'!$D9:$K9,MATCH(AO60,'状态价值'!$D$1:$K$1,0)))</f>
        <v/>
      </c>
      <c r="AQ60" s="15">
        <f>NORM.S.INV(RAND())</f>
        <v/>
      </c>
      <c r="AR60" s="15">
        <f>IF('组合输入'!$C10="","",'组合输入'!$H10*$B60+SQRT(1-'组合输入'!$H10^2)*AQ60)</f>
        <v/>
      </c>
      <c r="AS60" s="7">
        <f>IF(AR60="","",NORM.S.DIST(AR60,TRUE))</f>
        <v/>
      </c>
      <c r="AT60" s="13">
        <f>IF(AS60="","",IF(AS60&lt;='组合输入'!$K10,"AAA",IF(AS60&lt;='组合输入'!$L10,"AA",IF(AS60&lt;='组合输入'!$M10,"A",IF(AS60&lt;='组合输入'!$N10,"BBB",IF(AS60&lt;='组合输入'!$O10,"BB",IF(AS60&lt;='组合输入'!$P10,"B",IF(AS60&lt;='组合输入'!$Q10,"CCC","D")))))))</f>
        <v/>
      </c>
      <c r="AU60" s="12">
        <f>IF(AT60="","",INDEX('状态价值'!$D10:$K10,MATCH(AT60,'状态价值'!$D$1:$K$1,0)))</f>
        <v/>
      </c>
      <c r="AV60" s="15">
        <f>NORM.S.INV(RAND())</f>
        <v/>
      </c>
      <c r="AW60" s="15">
        <f>IF('组合输入'!$C11="","",'组合输入'!$H11*$B60+SQRT(1-'组合输入'!$H11^2)*AV60)</f>
        <v/>
      </c>
      <c r="AX60" s="7">
        <f>IF(AW60="","",NORM.S.DIST(AW60,TRUE))</f>
        <v/>
      </c>
      <c r="AY60" s="13">
        <f>IF(AX60="","",IF(AX60&lt;='组合输入'!$K11,"AAA",IF(AX60&lt;='组合输入'!$L11,"AA",IF(AX60&lt;='组合输入'!$M11,"A",IF(AX60&lt;='组合输入'!$N11,"BBB",IF(AX60&lt;='组合输入'!$O11,"BB",IF(AX60&lt;='组合输入'!$P11,"B",IF(AX60&lt;='组合输入'!$Q11,"CCC","D")))))))</f>
        <v/>
      </c>
      <c r="AZ60" s="12">
        <f>IF(AY60="","",INDEX('状态价值'!$D11:$K11,MATCH(AY60,'状态价值'!$D$1:$K$1,0)))</f>
        <v/>
      </c>
      <c r="BA60" s="12">
        <f>G60+L60+Q60+V60+AA60+AF60+AK60+AP60+AU60+AZ60</f>
        <v/>
      </c>
      <c r="BB60" s="12">
        <f>SUM('组合输入'!$J$2:$J$11)-BA60</f>
        <v/>
      </c>
    </row>
    <row r="61">
      <c r="A61" s="11" t="n">
        <v>60</v>
      </c>
      <c r="B61" s="14">
        <f>NORM.S.INV(RAND())</f>
        <v/>
      </c>
      <c r="C61" s="14">
        <f>NORM.S.INV(RAND())</f>
        <v/>
      </c>
      <c r="D61" s="15">
        <f>IF('组合输入'!$C2="","",'组合输入'!$H2*$B61+SQRT(1-'组合输入'!$H2^2)*C61)</f>
        <v/>
      </c>
      <c r="E61" s="7">
        <f>IF(D61="","",NORM.S.DIST(D61,TRUE))</f>
        <v/>
      </c>
      <c r="F61" s="13">
        <f>IF(E61="","",IF(E61&lt;='组合输入'!$K2,"AAA",IF(E61&lt;='组合输入'!$L2,"AA",IF(E61&lt;='组合输入'!$M2,"A",IF(E61&lt;='组合输入'!$N2,"BBB",IF(E61&lt;='组合输入'!$O2,"BB",IF(E61&lt;='组合输入'!$P2,"B",IF(E61&lt;='组合输入'!$Q2,"CCC","D")))))))</f>
        <v/>
      </c>
      <c r="G61" s="12">
        <f>IF(F61="","",INDEX('状态价值'!$D2:$K2,MATCH(F61,'状态价值'!$D$1:$K$1,0)))</f>
        <v/>
      </c>
      <c r="H61" s="15">
        <f>NORM.S.INV(RAND())</f>
        <v/>
      </c>
      <c r="I61" s="15">
        <f>IF('组合输入'!$C3="","",'组合输入'!$H3*$B61+SQRT(1-'组合输入'!$H3^2)*H61)</f>
        <v/>
      </c>
      <c r="J61" s="7">
        <f>IF(I61="","",NORM.S.DIST(I61,TRUE))</f>
        <v/>
      </c>
      <c r="K61" s="13">
        <f>IF(J61="","",IF(J61&lt;='组合输入'!$K3,"AAA",IF(J61&lt;='组合输入'!$L3,"AA",IF(J61&lt;='组合输入'!$M3,"A",IF(J61&lt;='组合输入'!$N3,"BBB",IF(J61&lt;='组合输入'!$O3,"BB",IF(J61&lt;='组合输入'!$P3,"B",IF(J61&lt;='组合输入'!$Q3,"CCC","D")))))))</f>
        <v/>
      </c>
      <c r="L61" s="12">
        <f>IF(K61="","",INDEX('状态价值'!$D3:$K3,MATCH(K61,'状态价值'!$D$1:$K$1,0)))</f>
        <v/>
      </c>
      <c r="M61" s="15">
        <f>NORM.S.INV(RAND())</f>
        <v/>
      </c>
      <c r="N61" s="15">
        <f>IF('组合输入'!$C4="","",'组合输入'!$H4*$B61+SQRT(1-'组合输入'!$H4^2)*M61)</f>
        <v/>
      </c>
      <c r="O61" s="7">
        <f>IF(N61="","",NORM.S.DIST(N61,TRUE))</f>
        <v/>
      </c>
      <c r="P61" s="13">
        <f>IF(O61="","",IF(O61&lt;='组合输入'!$K4,"AAA",IF(O61&lt;='组合输入'!$L4,"AA",IF(O61&lt;='组合输入'!$M4,"A",IF(O61&lt;='组合输入'!$N4,"BBB",IF(O61&lt;='组合输入'!$O4,"BB",IF(O61&lt;='组合输入'!$P4,"B",IF(O61&lt;='组合输入'!$Q4,"CCC","D")))))))</f>
        <v/>
      </c>
      <c r="Q61" s="12">
        <f>IF(P61="","",INDEX('状态价值'!$D4:$K4,MATCH(P61,'状态价值'!$D$1:$K$1,0)))</f>
        <v/>
      </c>
      <c r="R61" s="15">
        <f>NORM.S.INV(RAND())</f>
        <v/>
      </c>
      <c r="S61" s="15">
        <f>IF('组合输入'!$C5="","",'组合输入'!$H5*$B61+SQRT(1-'组合输入'!$H5^2)*R61)</f>
        <v/>
      </c>
      <c r="T61" s="7">
        <f>IF(S61="","",NORM.S.DIST(S61,TRUE))</f>
        <v/>
      </c>
      <c r="U61" s="13">
        <f>IF(T61="","",IF(T61&lt;='组合输入'!$K5,"AAA",IF(T61&lt;='组合输入'!$L5,"AA",IF(T61&lt;='组合输入'!$M5,"A",IF(T61&lt;='组合输入'!$N5,"BBB",IF(T61&lt;='组合输入'!$O5,"BB",IF(T61&lt;='组合输入'!$P5,"B",IF(T61&lt;='组合输入'!$Q5,"CCC","D")))))))</f>
        <v/>
      </c>
      <c r="V61" s="12">
        <f>IF(U61="","",INDEX('状态价值'!$D5:$K5,MATCH(U61,'状态价值'!$D$1:$K$1,0)))</f>
        <v/>
      </c>
      <c r="W61" s="15">
        <f>NORM.S.INV(RAND())</f>
        <v/>
      </c>
      <c r="X61" s="15">
        <f>IF('组合输入'!$C6="","",'组合输入'!$H6*$B61+SQRT(1-'组合输入'!$H6^2)*W61)</f>
        <v/>
      </c>
      <c r="Y61" s="7">
        <f>IF(X61="","",NORM.S.DIST(X61,TRUE))</f>
        <v/>
      </c>
      <c r="Z61" s="13">
        <f>IF(Y61="","",IF(Y61&lt;='组合输入'!$K6,"AAA",IF(Y61&lt;='组合输入'!$L6,"AA",IF(Y61&lt;='组合输入'!$M6,"A",IF(Y61&lt;='组合输入'!$N6,"BBB",IF(Y61&lt;='组合输入'!$O6,"BB",IF(Y61&lt;='组合输入'!$P6,"B",IF(Y61&lt;='组合输入'!$Q6,"CCC","D")))))))</f>
        <v/>
      </c>
      <c r="AA61" s="12">
        <f>IF(Z61="","",INDEX('状态价值'!$D6:$K6,MATCH(Z61,'状态价值'!$D$1:$K$1,0)))</f>
        <v/>
      </c>
      <c r="AB61" s="15">
        <f>NORM.S.INV(RAND())</f>
        <v/>
      </c>
      <c r="AC61" s="15">
        <f>IF('组合输入'!$C7="","",'组合输入'!$H7*$B61+SQRT(1-'组合输入'!$H7^2)*AB61)</f>
        <v/>
      </c>
      <c r="AD61" s="7">
        <f>IF(AC61="","",NORM.S.DIST(AC61,TRUE))</f>
        <v/>
      </c>
      <c r="AE61" s="13">
        <f>IF(AD61="","",IF(AD61&lt;='组合输入'!$K7,"AAA",IF(AD61&lt;='组合输入'!$L7,"AA",IF(AD61&lt;='组合输入'!$M7,"A",IF(AD61&lt;='组合输入'!$N7,"BBB",IF(AD61&lt;='组合输入'!$O7,"BB",IF(AD61&lt;='组合输入'!$P7,"B",IF(AD61&lt;='组合输入'!$Q7,"CCC","D")))))))</f>
        <v/>
      </c>
      <c r="AF61" s="12">
        <f>IF(AE61="","",INDEX('状态价值'!$D7:$K7,MATCH(AE61,'状态价值'!$D$1:$K$1,0)))</f>
        <v/>
      </c>
      <c r="AG61" s="15">
        <f>NORM.S.INV(RAND())</f>
        <v/>
      </c>
      <c r="AH61" s="15">
        <f>IF('组合输入'!$C8="","",'组合输入'!$H8*$B61+SQRT(1-'组合输入'!$H8^2)*AG61)</f>
        <v/>
      </c>
      <c r="AI61" s="7">
        <f>IF(AH61="","",NORM.S.DIST(AH61,TRUE))</f>
        <v/>
      </c>
      <c r="AJ61" s="13">
        <f>IF(AI61="","",IF(AI61&lt;='组合输入'!$K8,"AAA",IF(AI61&lt;='组合输入'!$L8,"AA",IF(AI61&lt;='组合输入'!$M8,"A",IF(AI61&lt;='组合输入'!$N8,"BBB",IF(AI61&lt;='组合输入'!$O8,"BB",IF(AI61&lt;='组合输入'!$P8,"B",IF(AI61&lt;='组合输入'!$Q8,"CCC","D")))))))</f>
        <v/>
      </c>
      <c r="AK61" s="12">
        <f>IF(AJ61="","",INDEX('状态价值'!$D8:$K8,MATCH(AJ61,'状态价值'!$D$1:$K$1,0)))</f>
        <v/>
      </c>
      <c r="AL61" s="15">
        <f>NORM.S.INV(RAND())</f>
        <v/>
      </c>
      <c r="AM61" s="15">
        <f>IF('组合输入'!$C9="","",'组合输入'!$H9*$B61+SQRT(1-'组合输入'!$H9^2)*AL61)</f>
        <v/>
      </c>
      <c r="AN61" s="7">
        <f>IF(AM61="","",NORM.S.DIST(AM61,TRUE))</f>
        <v/>
      </c>
      <c r="AO61" s="13">
        <f>IF(AN61="","",IF(AN61&lt;='组合输入'!$K9,"AAA",IF(AN61&lt;='组合输入'!$L9,"AA",IF(AN61&lt;='组合输入'!$M9,"A",IF(AN61&lt;='组合输入'!$N9,"BBB",IF(AN61&lt;='组合输入'!$O9,"BB",IF(AN61&lt;='组合输入'!$P9,"B",IF(AN61&lt;='组合输入'!$Q9,"CCC","D")))))))</f>
        <v/>
      </c>
      <c r="AP61" s="12">
        <f>IF(AO61="","",INDEX('状态价值'!$D9:$K9,MATCH(AO61,'状态价值'!$D$1:$K$1,0)))</f>
        <v/>
      </c>
      <c r="AQ61" s="15">
        <f>NORM.S.INV(RAND())</f>
        <v/>
      </c>
      <c r="AR61" s="15">
        <f>IF('组合输入'!$C10="","",'组合输入'!$H10*$B61+SQRT(1-'组合输入'!$H10^2)*AQ61)</f>
        <v/>
      </c>
      <c r="AS61" s="7">
        <f>IF(AR61="","",NORM.S.DIST(AR61,TRUE))</f>
        <v/>
      </c>
      <c r="AT61" s="13">
        <f>IF(AS61="","",IF(AS61&lt;='组合输入'!$K10,"AAA",IF(AS61&lt;='组合输入'!$L10,"AA",IF(AS61&lt;='组合输入'!$M10,"A",IF(AS61&lt;='组合输入'!$N10,"BBB",IF(AS61&lt;='组合输入'!$O10,"BB",IF(AS61&lt;='组合输入'!$P10,"B",IF(AS61&lt;='组合输入'!$Q10,"CCC","D")))))))</f>
        <v/>
      </c>
      <c r="AU61" s="12">
        <f>IF(AT61="","",INDEX('状态价值'!$D10:$K10,MATCH(AT61,'状态价值'!$D$1:$K$1,0)))</f>
        <v/>
      </c>
      <c r="AV61" s="15">
        <f>NORM.S.INV(RAND())</f>
        <v/>
      </c>
      <c r="AW61" s="15">
        <f>IF('组合输入'!$C11="","",'组合输入'!$H11*$B61+SQRT(1-'组合输入'!$H11^2)*AV61)</f>
        <v/>
      </c>
      <c r="AX61" s="7">
        <f>IF(AW61="","",NORM.S.DIST(AW61,TRUE))</f>
        <v/>
      </c>
      <c r="AY61" s="13">
        <f>IF(AX61="","",IF(AX61&lt;='组合输入'!$K11,"AAA",IF(AX61&lt;='组合输入'!$L11,"AA",IF(AX61&lt;='组合输入'!$M11,"A",IF(AX61&lt;='组合输入'!$N11,"BBB",IF(AX61&lt;='组合输入'!$O11,"BB",IF(AX61&lt;='组合输入'!$P11,"B",IF(AX61&lt;='组合输入'!$Q11,"CCC","D")))))))</f>
        <v/>
      </c>
      <c r="AZ61" s="12">
        <f>IF(AY61="","",INDEX('状态价值'!$D11:$K11,MATCH(AY61,'状态价值'!$D$1:$K$1,0)))</f>
        <v/>
      </c>
      <c r="BA61" s="12">
        <f>G61+L61+Q61+V61+AA61+AF61+AK61+AP61+AU61+AZ61</f>
        <v/>
      </c>
      <c r="BB61" s="12">
        <f>SUM('组合输入'!$J$2:$J$11)-BA61</f>
        <v/>
      </c>
    </row>
    <row r="62">
      <c r="A62" s="11" t="n">
        <v>61</v>
      </c>
      <c r="B62" s="14">
        <f>NORM.S.INV(RAND())</f>
        <v/>
      </c>
      <c r="C62" s="14">
        <f>NORM.S.INV(RAND())</f>
        <v/>
      </c>
      <c r="D62" s="15">
        <f>IF('组合输入'!$C2="","",'组合输入'!$H2*$B62+SQRT(1-'组合输入'!$H2^2)*C62)</f>
        <v/>
      </c>
      <c r="E62" s="7">
        <f>IF(D62="","",NORM.S.DIST(D62,TRUE))</f>
        <v/>
      </c>
      <c r="F62" s="13">
        <f>IF(E62="","",IF(E62&lt;='组合输入'!$K2,"AAA",IF(E62&lt;='组合输入'!$L2,"AA",IF(E62&lt;='组合输入'!$M2,"A",IF(E62&lt;='组合输入'!$N2,"BBB",IF(E62&lt;='组合输入'!$O2,"BB",IF(E62&lt;='组合输入'!$P2,"B",IF(E62&lt;='组合输入'!$Q2,"CCC","D")))))))</f>
        <v/>
      </c>
      <c r="G62" s="12">
        <f>IF(F62="","",INDEX('状态价值'!$D2:$K2,MATCH(F62,'状态价值'!$D$1:$K$1,0)))</f>
        <v/>
      </c>
      <c r="H62" s="15">
        <f>NORM.S.INV(RAND())</f>
        <v/>
      </c>
      <c r="I62" s="15">
        <f>IF('组合输入'!$C3="","",'组合输入'!$H3*$B62+SQRT(1-'组合输入'!$H3^2)*H62)</f>
        <v/>
      </c>
      <c r="J62" s="7">
        <f>IF(I62="","",NORM.S.DIST(I62,TRUE))</f>
        <v/>
      </c>
      <c r="K62" s="13">
        <f>IF(J62="","",IF(J62&lt;='组合输入'!$K3,"AAA",IF(J62&lt;='组合输入'!$L3,"AA",IF(J62&lt;='组合输入'!$M3,"A",IF(J62&lt;='组合输入'!$N3,"BBB",IF(J62&lt;='组合输入'!$O3,"BB",IF(J62&lt;='组合输入'!$P3,"B",IF(J62&lt;='组合输入'!$Q3,"CCC","D")))))))</f>
        <v/>
      </c>
      <c r="L62" s="12">
        <f>IF(K62="","",INDEX('状态价值'!$D3:$K3,MATCH(K62,'状态价值'!$D$1:$K$1,0)))</f>
        <v/>
      </c>
      <c r="M62" s="15">
        <f>NORM.S.INV(RAND())</f>
        <v/>
      </c>
      <c r="N62" s="15">
        <f>IF('组合输入'!$C4="","",'组合输入'!$H4*$B62+SQRT(1-'组合输入'!$H4^2)*M62)</f>
        <v/>
      </c>
      <c r="O62" s="7">
        <f>IF(N62="","",NORM.S.DIST(N62,TRUE))</f>
        <v/>
      </c>
      <c r="P62" s="13">
        <f>IF(O62="","",IF(O62&lt;='组合输入'!$K4,"AAA",IF(O62&lt;='组合输入'!$L4,"AA",IF(O62&lt;='组合输入'!$M4,"A",IF(O62&lt;='组合输入'!$N4,"BBB",IF(O62&lt;='组合输入'!$O4,"BB",IF(O62&lt;='组合输入'!$P4,"B",IF(O62&lt;='组合输入'!$Q4,"CCC","D")))))))</f>
        <v/>
      </c>
      <c r="Q62" s="12">
        <f>IF(P62="","",INDEX('状态价值'!$D4:$K4,MATCH(P62,'状态价值'!$D$1:$K$1,0)))</f>
        <v/>
      </c>
      <c r="R62" s="15">
        <f>NORM.S.INV(RAND())</f>
        <v/>
      </c>
      <c r="S62" s="15">
        <f>IF('组合输入'!$C5="","",'组合输入'!$H5*$B62+SQRT(1-'组合输入'!$H5^2)*R62)</f>
        <v/>
      </c>
      <c r="T62" s="7">
        <f>IF(S62="","",NORM.S.DIST(S62,TRUE))</f>
        <v/>
      </c>
      <c r="U62" s="13">
        <f>IF(T62="","",IF(T62&lt;='组合输入'!$K5,"AAA",IF(T62&lt;='组合输入'!$L5,"AA",IF(T62&lt;='组合输入'!$M5,"A",IF(T62&lt;='组合输入'!$N5,"BBB",IF(T62&lt;='组合输入'!$O5,"BB",IF(T62&lt;='组合输入'!$P5,"B",IF(T62&lt;='组合输入'!$Q5,"CCC","D")))))))</f>
        <v/>
      </c>
      <c r="V62" s="12">
        <f>IF(U62="","",INDEX('状态价值'!$D5:$K5,MATCH(U62,'状态价值'!$D$1:$K$1,0)))</f>
        <v/>
      </c>
      <c r="W62" s="15">
        <f>NORM.S.INV(RAND())</f>
        <v/>
      </c>
      <c r="X62" s="15">
        <f>IF('组合输入'!$C6="","",'组合输入'!$H6*$B62+SQRT(1-'组合输入'!$H6^2)*W62)</f>
        <v/>
      </c>
      <c r="Y62" s="7">
        <f>IF(X62="","",NORM.S.DIST(X62,TRUE))</f>
        <v/>
      </c>
      <c r="Z62" s="13">
        <f>IF(Y62="","",IF(Y62&lt;='组合输入'!$K6,"AAA",IF(Y62&lt;='组合输入'!$L6,"AA",IF(Y62&lt;='组合输入'!$M6,"A",IF(Y62&lt;='组合输入'!$N6,"BBB",IF(Y62&lt;='组合输入'!$O6,"BB",IF(Y62&lt;='组合输入'!$P6,"B",IF(Y62&lt;='组合输入'!$Q6,"CCC","D")))))))</f>
        <v/>
      </c>
      <c r="AA62" s="12">
        <f>IF(Z62="","",INDEX('状态价值'!$D6:$K6,MATCH(Z62,'状态价值'!$D$1:$K$1,0)))</f>
        <v/>
      </c>
      <c r="AB62" s="15">
        <f>NORM.S.INV(RAND())</f>
        <v/>
      </c>
      <c r="AC62" s="15">
        <f>IF('组合输入'!$C7="","",'组合输入'!$H7*$B62+SQRT(1-'组合输入'!$H7^2)*AB62)</f>
        <v/>
      </c>
      <c r="AD62" s="7">
        <f>IF(AC62="","",NORM.S.DIST(AC62,TRUE))</f>
        <v/>
      </c>
      <c r="AE62" s="13">
        <f>IF(AD62="","",IF(AD62&lt;='组合输入'!$K7,"AAA",IF(AD62&lt;='组合输入'!$L7,"AA",IF(AD62&lt;='组合输入'!$M7,"A",IF(AD62&lt;='组合输入'!$N7,"BBB",IF(AD62&lt;='组合输入'!$O7,"BB",IF(AD62&lt;='组合输入'!$P7,"B",IF(AD62&lt;='组合输入'!$Q7,"CCC","D")))))))</f>
        <v/>
      </c>
      <c r="AF62" s="12">
        <f>IF(AE62="","",INDEX('状态价值'!$D7:$K7,MATCH(AE62,'状态价值'!$D$1:$K$1,0)))</f>
        <v/>
      </c>
      <c r="AG62" s="15">
        <f>NORM.S.INV(RAND())</f>
        <v/>
      </c>
      <c r="AH62" s="15">
        <f>IF('组合输入'!$C8="","",'组合输入'!$H8*$B62+SQRT(1-'组合输入'!$H8^2)*AG62)</f>
        <v/>
      </c>
      <c r="AI62" s="7">
        <f>IF(AH62="","",NORM.S.DIST(AH62,TRUE))</f>
        <v/>
      </c>
      <c r="AJ62" s="13">
        <f>IF(AI62="","",IF(AI62&lt;='组合输入'!$K8,"AAA",IF(AI62&lt;='组合输入'!$L8,"AA",IF(AI62&lt;='组合输入'!$M8,"A",IF(AI62&lt;='组合输入'!$N8,"BBB",IF(AI62&lt;='组合输入'!$O8,"BB",IF(AI62&lt;='组合输入'!$P8,"B",IF(AI62&lt;='组合输入'!$Q8,"CCC","D")))))))</f>
        <v/>
      </c>
      <c r="AK62" s="12">
        <f>IF(AJ62="","",INDEX('状态价值'!$D8:$K8,MATCH(AJ62,'状态价值'!$D$1:$K$1,0)))</f>
        <v/>
      </c>
      <c r="AL62" s="15">
        <f>NORM.S.INV(RAND())</f>
        <v/>
      </c>
      <c r="AM62" s="15">
        <f>IF('组合输入'!$C9="","",'组合输入'!$H9*$B62+SQRT(1-'组合输入'!$H9^2)*AL62)</f>
        <v/>
      </c>
      <c r="AN62" s="7">
        <f>IF(AM62="","",NORM.S.DIST(AM62,TRUE))</f>
        <v/>
      </c>
      <c r="AO62" s="13">
        <f>IF(AN62="","",IF(AN62&lt;='组合输入'!$K9,"AAA",IF(AN62&lt;='组合输入'!$L9,"AA",IF(AN62&lt;='组合输入'!$M9,"A",IF(AN62&lt;='组合输入'!$N9,"BBB",IF(AN62&lt;='组合输入'!$O9,"BB",IF(AN62&lt;='组合输入'!$P9,"B",IF(AN62&lt;='组合输入'!$Q9,"CCC","D")))))))</f>
        <v/>
      </c>
      <c r="AP62" s="12">
        <f>IF(AO62="","",INDEX('状态价值'!$D9:$K9,MATCH(AO62,'状态价值'!$D$1:$K$1,0)))</f>
        <v/>
      </c>
      <c r="AQ62" s="15">
        <f>NORM.S.INV(RAND())</f>
        <v/>
      </c>
      <c r="AR62" s="15">
        <f>IF('组合输入'!$C10="","",'组合输入'!$H10*$B62+SQRT(1-'组合输入'!$H10^2)*AQ62)</f>
        <v/>
      </c>
      <c r="AS62" s="7">
        <f>IF(AR62="","",NORM.S.DIST(AR62,TRUE))</f>
        <v/>
      </c>
      <c r="AT62" s="13">
        <f>IF(AS62="","",IF(AS62&lt;='组合输入'!$K10,"AAA",IF(AS62&lt;='组合输入'!$L10,"AA",IF(AS62&lt;='组合输入'!$M10,"A",IF(AS62&lt;='组合输入'!$N10,"BBB",IF(AS62&lt;='组合输入'!$O10,"BB",IF(AS62&lt;='组合输入'!$P10,"B",IF(AS62&lt;='组合输入'!$Q10,"CCC","D")))))))</f>
        <v/>
      </c>
      <c r="AU62" s="12">
        <f>IF(AT62="","",INDEX('状态价值'!$D10:$K10,MATCH(AT62,'状态价值'!$D$1:$K$1,0)))</f>
        <v/>
      </c>
      <c r="AV62" s="15">
        <f>NORM.S.INV(RAND())</f>
        <v/>
      </c>
      <c r="AW62" s="15">
        <f>IF('组合输入'!$C11="","",'组合输入'!$H11*$B62+SQRT(1-'组合输入'!$H11^2)*AV62)</f>
        <v/>
      </c>
      <c r="AX62" s="7">
        <f>IF(AW62="","",NORM.S.DIST(AW62,TRUE))</f>
        <v/>
      </c>
      <c r="AY62" s="13">
        <f>IF(AX62="","",IF(AX62&lt;='组合输入'!$K11,"AAA",IF(AX62&lt;='组合输入'!$L11,"AA",IF(AX62&lt;='组合输入'!$M11,"A",IF(AX62&lt;='组合输入'!$N11,"BBB",IF(AX62&lt;='组合输入'!$O11,"BB",IF(AX62&lt;='组合输入'!$P11,"B",IF(AX62&lt;='组合输入'!$Q11,"CCC","D")))))))</f>
        <v/>
      </c>
      <c r="AZ62" s="12">
        <f>IF(AY62="","",INDEX('状态价值'!$D11:$K11,MATCH(AY62,'状态价值'!$D$1:$K$1,0)))</f>
        <v/>
      </c>
      <c r="BA62" s="12">
        <f>G62+L62+Q62+V62+AA62+AF62+AK62+AP62+AU62+AZ62</f>
        <v/>
      </c>
      <c r="BB62" s="12">
        <f>SUM('组合输入'!$J$2:$J$11)-BA62</f>
        <v/>
      </c>
    </row>
    <row r="63">
      <c r="A63" s="11" t="n">
        <v>62</v>
      </c>
      <c r="B63" s="14">
        <f>NORM.S.INV(RAND())</f>
        <v/>
      </c>
      <c r="C63" s="14">
        <f>NORM.S.INV(RAND())</f>
        <v/>
      </c>
      <c r="D63" s="15">
        <f>IF('组合输入'!$C2="","",'组合输入'!$H2*$B63+SQRT(1-'组合输入'!$H2^2)*C63)</f>
        <v/>
      </c>
      <c r="E63" s="7">
        <f>IF(D63="","",NORM.S.DIST(D63,TRUE))</f>
        <v/>
      </c>
      <c r="F63" s="13">
        <f>IF(E63="","",IF(E63&lt;='组合输入'!$K2,"AAA",IF(E63&lt;='组合输入'!$L2,"AA",IF(E63&lt;='组合输入'!$M2,"A",IF(E63&lt;='组合输入'!$N2,"BBB",IF(E63&lt;='组合输入'!$O2,"BB",IF(E63&lt;='组合输入'!$P2,"B",IF(E63&lt;='组合输入'!$Q2,"CCC","D")))))))</f>
        <v/>
      </c>
      <c r="G63" s="12">
        <f>IF(F63="","",INDEX('状态价值'!$D2:$K2,MATCH(F63,'状态价值'!$D$1:$K$1,0)))</f>
        <v/>
      </c>
      <c r="H63" s="15">
        <f>NORM.S.INV(RAND())</f>
        <v/>
      </c>
      <c r="I63" s="15">
        <f>IF('组合输入'!$C3="","",'组合输入'!$H3*$B63+SQRT(1-'组合输入'!$H3^2)*H63)</f>
        <v/>
      </c>
      <c r="J63" s="7">
        <f>IF(I63="","",NORM.S.DIST(I63,TRUE))</f>
        <v/>
      </c>
      <c r="K63" s="13">
        <f>IF(J63="","",IF(J63&lt;='组合输入'!$K3,"AAA",IF(J63&lt;='组合输入'!$L3,"AA",IF(J63&lt;='组合输入'!$M3,"A",IF(J63&lt;='组合输入'!$N3,"BBB",IF(J63&lt;='组合输入'!$O3,"BB",IF(J63&lt;='组合输入'!$P3,"B",IF(J63&lt;='组合输入'!$Q3,"CCC","D")))))))</f>
        <v/>
      </c>
      <c r="L63" s="12">
        <f>IF(K63="","",INDEX('状态价值'!$D3:$K3,MATCH(K63,'状态价值'!$D$1:$K$1,0)))</f>
        <v/>
      </c>
      <c r="M63" s="15">
        <f>NORM.S.INV(RAND())</f>
        <v/>
      </c>
      <c r="N63" s="15">
        <f>IF('组合输入'!$C4="","",'组合输入'!$H4*$B63+SQRT(1-'组合输入'!$H4^2)*M63)</f>
        <v/>
      </c>
      <c r="O63" s="7">
        <f>IF(N63="","",NORM.S.DIST(N63,TRUE))</f>
        <v/>
      </c>
      <c r="P63" s="13">
        <f>IF(O63="","",IF(O63&lt;='组合输入'!$K4,"AAA",IF(O63&lt;='组合输入'!$L4,"AA",IF(O63&lt;='组合输入'!$M4,"A",IF(O63&lt;='组合输入'!$N4,"BBB",IF(O63&lt;='组合输入'!$O4,"BB",IF(O63&lt;='组合输入'!$P4,"B",IF(O63&lt;='组合输入'!$Q4,"CCC","D")))))))</f>
        <v/>
      </c>
      <c r="Q63" s="12">
        <f>IF(P63="","",INDEX('状态价值'!$D4:$K4,MATCH(P63,'状态价值'!$D$1:$K$1,0)))</f>
        <v/>
      </c>
      <c r="R63" s="15">
        <f>NORM.S.INV(RAND())</f>
        <v/>
      </c>
      <c r="S63" s="15">
        <f>IF('组合输入'!$C5="","",'组合输入'!$H5*$B63+SQRT(1-'组合输入'!$H5^2)*R63)</f>
        <v/>
      </c>
      <c r="T63" s="7">
        <f>IF(S63="","",NORM.S.DIST(S63,TRUE))</f>
        <v/>
      </c>
      <c r="U63" s="13">
        <f>IF(T63="","",IF(T63&lt;='组合输入'!$K5,"AAA",IF(T63&lt;='组合输入'!$L5,"AA",IF(T63&lt;='组合输入'!$M5,"A",IF(T63&lt;='组合输入'!$N5,"BBB",IF(T63&lt;='组合输入'!$O5,"BB",IF(T63&lt;='组合输入'!$P5,"B",IF(T63&lt;='组合输入'!$Q5,"CCC","D")))))))</f>
        <v/>
      </c>
      <c r="V63" s="12">
        <f>IF(U63="","",INDEX('状态价值'!$D5:$K5,MATCH(U63,'状态价值'!$D$1:$K$1,0)))</f>
        <v/>
      </c>
      <c r="W63" s="15">
        <f>NORM.S.INV(RAND())</f>
        <v/>
      </c>
      <c r="X63" s="15">
        <f>IF('组合输入'!$C6="","",'组合输入'!$H6*$B63+SQRT(1-'组合输入'!$H6^2)*W63)</f>
        <v/>
      </c>
      <c r="Y63" s="7">
        <f>IF(X63="","",NORM.S.DIST(X63,TRUE))</f>
        <v/>
      </c>
      <c r="Z63" s="13">
        <f>IF(Y63="","",IF(Y63&lt;='组合输入'!$K6,"AAA",IF(Y63&lt;='组合输入'!$L6,"AA",IF(Y63&lt;='组合输入'!$M6,"A",IF(Y63&lt;='组合输入'!$N6,"BBB",IF(Y63&lt;='组合输入'!$O6,"BB",IF(Y63&lt;='组合输入'!$P6,"B",IF(Y63&lt;='组合输入'!$Q6,"CCC","D")))))))</f>
        <v/>
      </c>
      <c r="AA63" s="12">
        <f>IF(Z63="","",INDEX('状态价值'!$D6:$K6,MATCH(Z63,'状态价值'!$D$1:$K$1,0)))</f>
        <v/>
      </c>
      <c r="AB63" s="15">
        <f>NORM.S.INV(RAND())</f>
        <v/>
      </c>
      <c r="AC63" s="15">
        <f>IF('组合输入'!$C7="","",'组合输入'!$H7*$B63+SQRT(1-'组合输入'!$H7^2)*AB63)</f>
        <v/>
      </c>
      <c r="AD63" s="7">
        <f>IF(AC63="","",NORM.S.DIST(AC63,TRUE))</f>
        <v/>
      </c>
      <c r="AE63" s="13">
        <f>IF(AD63="","",IF(AD63&lt;='组合输入'!$K7,"AAA",IF(AD63&lt;='组合输入'!$L7,"AA",IF(AD63&lt;='组合输入'!$M7,"A",IF(AD63&lt;='组合输入'!$N7,"BBB",IF(AD63&lt;='组合输入'!$O7,"BB",IF(AD63&lt;='组合输入'!$P7,"B",IF(AD63&lt;='组合输入'!$Q7,"CCC","D")))))))</f>
        <v/>
      </c>
      <c r="AF63" s="12">
        <f>IF(AE63="","",INDEX('状态价值'!$D7:$K7,MATCH(AE63,'状态价值'!$D$1:$K$1,0)))</f>
        <v/>
      </c>
      <c r="AG63" s="15">
        <f>NORM.S.INV(RAND())</f>
        <v/>
      </c>
      <c r="AH63" s="15">
        <f>IF('组合输入'!$C8="","",'组合输入'!$H8*$B63+SQRT(1-'组合输入'!$H8^2)*AG63)</f>
        <v/>
      </c>
      <c r="AI63" s="7">
        <f>IF(AH63="","",NORM.S.DIST(AH63,TRUE))</f>
        <v/>
      </c>
      <c r="AJ63" s="13">
        <f>IF(AI63="","",IF(AI63&lt;='组合输入'!$K8,"AAA",IF(AI63&lt;='组合输入'!$L8,"AA",IF(AI63&lt;='组合输入'!$M8,"A",IF(AI63&lt;='组合输入'!$N8,"BBB",IF(AI63&lt;='组合输入'!$O8,"BB",IF(AI63&lt;='组合输入'!$P8,"B",IF(AI63&lt;='组合输入'!$Q8,"CCC","D")))))))</f>
        <v/>
      </c>
      <c r="AK63" s="12">
        <f>IF(AJ63="","",INDEX('状态价值'!$D8:$K8,MATCH(AJ63,'状态价值'!$D$1:$K$1,0)))</f>
        <v/>
      </c>
      <c r="AL63" s="15">
        <f>NORM.S.INV(RAND())</f>
        <v/>
      </c>
      <c r="AM63" s="15">
        <f>IF('组合输入'!$C9="","",'组合输入'!$H9*$B63+SQRT(1-'组合输入'!$H9^2)*AL63)</f>
        <v/>
      </c>
      <c r="AN63" s="7">
        <f>IF(AM63="","",NORM.S.DIST(AM63,TRUE))</f>
        <v/>
      </c>
      <c r="AO63" s="13">
        <f>IF(AN63="","",IF(AN63&lt;='组合输入'!$K9,"AAA",IF(AN63&lt;='组合输入'!$L9,"AA",IF(AN63&lt;='组合输入'!$M9,"A",IF(AN63&lt;='组合输入'!$N9,"BBB",IF(AN63&lt;='组合输入'!$O9,"BB",IF(AN63&lt;='组合输入'!$P9,"B",IF(AN63&lt;='组合输入'!$Q9,"CCC","D")))))))</f>
        <v/>
      </c>
      <c r="AP63" s="12">
        <f>IF(AO63="","",INDEX('状态价值'!$D9:$K9,MATCH(AO63,'状态价值'!$D$1:$K$1,0)))</f>
        <v/>
      </c>
      <c r="AQ63" s="15">
        <f>NORM.S.INV(RAND())</f>
        <v/>
      </c>
      <c r="AR63" s="15">
        <f>IF('组合输入'!$C10="","",'组合输入'!$H10*$B63+SQRT(1-'组合输入'!$H10^2)*AQ63)</f>
        <v/>
      </c>
      <c r="AS63" s="7">
        <f>IF(AR63="","",NORM.S.DIST(AR63,TRUE))</f>
        <v/>
      </c>
      <c r="AT63" s="13">
        <f>IF(AS63="","",IF(AS63&lt;='组合输入'!$K10,"AAA",IF(AS63&lt;='组合输入'!$L10,"AA",IF(AS63&lt;='组合输入'!$M10,"A",IF(AS63&lt;='组合输入'!$N10,"BBB",IF(AS63&lt;='组合输入'!$O10,"BB",IF(AS63&lt;='组合输入'!$P10,"B",IF(AS63&lt;='组合输入'!$Q10,"CCC","D")))))))</f>
        <v/>
      </c>
      <c r="AU63" s="12">
        <f>IF(AT63="","",INDEX('状态价值'!$D10:$K10,MATCH(AT63,'状态价值'!$D$1:$K$1,0)))</f>
        <v/>
      </c>
      <c r="AV63" s="15">
        <f>NORM.S.INV(RAND())</f>
        <v/>
      </c>
      <c r="AW63" s="15">
        <f>IF('组合输入'!$C11="","",'组合输入'!$H11*$B63+SQRT(1-'组合输入'!$H11^2)*AV63)</f>
        <v/>
      </c>
      <c r="AX63" s="7">
        <f>IF(AW63="","",NORM.S.DIST(AW63,TRUE))</f>
        <v/>
      </c>
      <c r="AY63" s="13">
        <f>IF(AX63="","",IF(AX63&lt;='组合输入'!$K11,"AAA",IF(AX63&lt;='组合输入'!$L11,"AA",IF(AX63&lt;='组合输入'!$M11,"A",IF(AX63&lt;='组合输入'!$N11,"BBB",IF(AX63&lt;='组合输入'!$O11,"BB",IF(AX63&lt;='组合输入'!$P11,"B",IF(AX63&lt;='组合输入'!$Q11,"CCC","D")))))))</f>
        <v/>
      </c>
      <c r="AZ63" s="12">
        <f>IF(AY63="","",INDEX('状态价值'!$D11:$K11,MATCH(AY63,'状态价值'!$D$1:$K$1,0)))</f>
        <v/>
      </c>
      <c r="BA63" s="12">
        <f>G63+L63+Q63+V63+AA63+AF63+AK63+AP63+AU63+AZ63</f>
        <v/>
      </c>
      <c r="BB63" s="12">
        <f>SUM('组合输入'!$J$2:$J$11)-BA63</f>
        <v/>
      </c>
    </row>
    <row r="64">
      <c r="A64" s="11" t="n">
        <v>63</v>
      </c>
      <c r="B64" s="14">
        <f>NORM.S.INV(RAND())</f>
        <v/>
      </c>
      <c r="C64" s="14">
        <f>NORM.S.INV(RAND())</f>
        <v/>
      </c>
      <c r="D64" s="15">
        <f>IF('组合输入'!$C2="","",'组合输入'!$H2*$B64+SQRT(1-'组合输入'!$H2^2)*C64)</f>
        <v/>
      </c>
      <c r="E64" s="7">
        <f>IF(D64="","",NORM.S.DIST(D64,TRUE))</f>
        <v/>
      </c>
      <c r="F64" s="13">
        <f>IF(E64="","",IF(E64&lt;='组合输入'!$K2,"AAA",IF(E64&lt;='组合输入'!$L2,"AA",IF(E64&lt;='组合输入'!$M2,"A",IF(E64&lt;='组合输入'!$N2,"BBB",IF(E64&lt;='组合输入'!$O2,"BB",IF(E64&lt;='组合输入'!$P2,"B",IF(E64&lt;='组合输入'!$Q2,"CCC","D")))))))</f>
        <v/>
      </c>
      <c r="G64" s="12">
        <f>IF(F64="","",INDEX('状态价值'!$D2:$K2,MATCH(F64,'状态价值'!$D$1:$K$1,0)))</f>
        <v/>
      </c>
      <c r="H64" s="15">
        <f>NORM.S.INV(RAND())</f>
        <v/>
      </c>
      <c r="I64" s="15">
        <f>IF('组合输入'!$C3="","",'组合输入'!$H3*$B64+SQRT(1-'组合输入'!$H3^2)*H64)</f>
        <v/>
      </c>
      <c r="J64" s="7">
        <f>IF(I64="","",NORM.S.DIST(I64,TRUE))</f>
        <v/>
      </c>
      <c r="K64" s="13">
        <f>IF(J64="","",IF(J64&lt;='组合输入'!$K3,"AAA",IF(J64&lt;='组合输入'!$L3,"AA",IF(J64&lt;='组合输入'!$M3,"A",IF(J64&lt;='组合输入'!$N3,"BBB",IF(J64&lt;='组合输入'!$O3,"BB",IF(J64&lt;='组合输入'!$P3,"B",IF(J64&lt;='组合输入'!$Q3,"CCC","D")))))))</f>
        <v/>
      </c>
      <c r="L64" s="12">
        <f>IF(K64="","",INDEX('状态价值'!$D3:$K3,MATCH(K64,'状态价值'!$D$1:$K$1,0)))</f>
        <v/>
      </c>
      <c r="M64" s="15">
        <f>NORM.S.INV(RAND())</f>
        <v/>
      </c>
      <c r="N64" s="15">
        <f>IF('组合输入'!$C4="","",'组合输入'!$H4*$B64+SQRT(1-'组合输入'!$H4^2)*M64)</f>
        <v/>
      </c>
      <c r="O64" s="7">
        <f>IF(N64="","",NORM.S.DIST(N64,TRUE))</f>
        <v/>
      </c>
      <c r="P64" s="13">
        <f>IF(O64="","",IF(O64&lt;='组合输入'!$K4,"AAA",IF(O64&lt;='组合输入'!$L4,"AA",IF(O64&lt;='组合输入'!$M4,"A",IF(O64&lt;='组合输入'!$N4,"BBB",IF(O64&lt;='组合输入'!$O4,"BB",IF(O64&lt;='组合输入'!$P4,"B",IF(O64&lt;='组合输入'!$Q4,"CCC","D")))))))</f>
        <v/>
      </c>
      <c r="Q64" s="12">
        <f>IF(P64="","",INDEX('状态价值'!$D4:$K4,MATCH(P64,'状态价值'!$D$1:$K$1,0)))</f>
        <v/>
      </c>
      <c r="R64" s="15">
        <f>NORM.S.INV(RAND())</f>
        <v/>
      </c>
      <c r="S64" s="15">
        <f>IF('组合输入'!$C5="","",'组合输入'!$H5*$B64+SQRT(1-'组合输入'!$H5^2)*R64)</f>
        <v/>
      </c>
      <c r="T64" s="7">
        <f>IF(S64="","",NORM.S.DIST(S64,TRUE))</f>
        <v/>
      </c>
      <c r="U64" s="13">
        <f>IF(T64="","",IF(T64&lt;='组合输入'!$K5,"AAA",IF(T64&lt;='组合输入'!$L5,"AA",IF(T64&lt;='组合输入'!$M5,"A",IF(T64&lt;='组合输入'!$N5,"BBB",IF(T64&lt;='组合输入'!$O5,"BB",IF(T64&lt;='组合输入'!$P5,"B",IF(T64&lt;='组合输入'!$Q5,"CCC","D")))))))</f>
        <v/>
      </c>
      <c r="V64" s="12">
        <f>IF(U64="","",INDEX('状态价值'!$D5:$K5,MATCH(U64,'状态价值'!$D$1:$K$1,0)))</f>
        <v/>
      </c>
      <c r="W64" s="15">
        <f>NORM.S.INV(RAND())</f>
        <v/>
      </c>
      <c r="X64" s="15">
        <f>IF('组合输入'!$C6="","",'组合输入'!$H6*$B64+SQRT(1-'组合输入'!$H6^2)*W64)</f>
        <v/>
      </c>
      <c r="Y64" s="7">
        <f>IF(X64="","",NORM.S.DIST(X64,TRUE))</f>
        <v/>
      </c>
      <c r="Z64" s="13">
        <f>IF(Y64="","",IF(Y64&lt;='组合输入'!$K6,"AAA",IF(Y64&lt;='组合输入'!$L6,"AA",IF(Y64&lt;='组合输入'!$M6,"A",IF(Y64&lt;='组合输入'!$N6,"BBB",IF(Y64&lt;='组合输入'!$O6,"BB",IF(Y64&lt;='组合输入'!$P6,"B",IF(Y64&lt;='组合输入'!$Q6,"CCC","D")))))))</f>
        <v/>
      </c>
      <c r="AA64" s="12">
        <f>IF(Z64="","",INDEX('状态价值'!$D6:$K6,MATCH(Z64,'状态价值'!$D$1:$K$1,0)))</f>
        <v/>
      </c>
      <c r="AB64" s="15">
        <f>NORM.S.INV(RAND())</f>
        <v/>
      </c>
      <c r="AC64" s="15">
        <f>IF('组合输入'!$C7="","",'组合输入'!$H7*$B64+SQRT(1-'组合输入'!$H7^2)*AB64)</f>
        <v/>
      </c>
      <c r="AD64" s="7">
        <f>IF(AC64="","",NORM.S.DIST(AC64,TRUE))</f>
        <v/>
      </c>
      <c r="AE64" s="13">
        <f>IF(AD64="","",IF(AD64&lt;='组合输入'!$K7,"AAA",IF(AD64&lt;='组合输入'!$L7,"AA",IF(AD64&lt;='组合输入'!$M7,"A",IF(AD64&lt;='组合输入'!$N7,"BBB",IF(AD64&lt;='组合输入'!$O7,"BB",IF(AD64&lt;='组合输入'!$P7,"B",IF(AD64&lt;='组合输入'!$Q7,"CCC","D")))))))</f>
        <v/>
      </c>
      <c r="AF64" s="12">
        <f>IF(AE64="","",INDEX('状态价值'!$D7:$K7,MATCH(AE64,'状态价值'!$D$1:$K$1,0)))</f>
        <v/>
      </c>
      <c r="AG64" s="15">
        <f>NORM.S.INV(RAND())</f>
        <v/>
      </c>
      <c r="AH64" s="15">
        <f>IF('组合输入'!$C8="","",'组合输入'!$H8*$B64+SQRT(1-'组合输入'!$H8^2)*AG64)</f>
        <v/>
      </c>
      <c r="AI64" s="7">
        <f>IF(AH64="","",NORM.S.DIST(AH64,TRUE))</f>
        <v/>
      </c>
      <c r="AJ64" s="13">
        <f>IF(AI64="","",IF(AI64&lt;='组合输入'!$K8,"AAA",IF(AI64&lt;='组合输入'!$L8,"AA",IF(AI64&lt;='组合输入'!$M8,"A",IF(AI64&lt;='组合输入'!$N8,"BBB",IF(AI64&lt;='组合输入'!$O8,"BB",IF(AI64&lt;='组合输入'!$P8,"B",IF(AI64&lt;='组合输入'!$Q8,"CCC","D")))))))</f>
        <v/>
      </c>
      <c r="AK64" s="12">
        <f>IF(AJ64="","",INDEX('状态价值'!$D8:$K8,MATCH(AJ64,'状态价值'!$D$1:$K$1,0)))</f>
        <v/>
      </c>
      <c r="AL64" s="15">
        <f>NORM.S.INV(RAND())</f>
        <v/>
      </c>
      <c r="AM64" s="15">
        <f>IF('组合输入'!$C9="","",'组合输入'!$H9*$B64+SQRT(1-'组合输入'!$H9^2)*AL64)</f>
        <v/>
      </c>
      <c r="AN64" s="7">
        <f>IF(AM64="","",NORM.S.DIST(AM64,TRUE))</f>
        <v/>
      </c>
      <c r="AO64" s="13">
        <f>IF(AN64="","",IF(AN64&lt;='组合输入'!$K9,"AAA",IF(AN64&lt;='组合输入'!$L9,"AA",IF(AN64&lt;='组合输入'!$M9,"A",IF(AN64&lt;='组合输入'!$N9,"BBB",IF(AN64&lt;='组合输入'!$O9,"BB",IF(AN64&lt;='组合输入'!$P9,"B",IF(AN64&lt;='组合输入'!$Q9,"CCC","D")))))))</f>
        <v/>
      </c>
      <c r="AP64" s="12">
        <f>IF(AO64="","",INDEX('状态价值'!$D9:$K9,MATCH(AO64,'状态价值'!$D$1:$K$1,0)))</f>
        <v/>
      </c>
      <c r="AQ64" s="15">
        <f>NORM.S.INV(RAND())</f>
        <v/>
      </c>
      <c r="AR64" s="15">
        <f>IF('组合输入'!$C10="","",'组合输入'!$H10*$B64+SQRT(1-'组合输入'!$H10^2)*AQ64)</f>
        <v/>
      </c>
      <c r="AS64" s="7">
        <f>IF(AR64="","",NORM.S.DIST(AR64,TRUE))</f>
        <v/>
      </c>
      <c r="AT64" s="13">
        <f>IF(AS64="","",IF(AS64&lt;='组合输入'!$K10,"AAA",IF(AS64&lt;='组合输入'!$L10,"AA",IF(AS64&lt;='组合输入'!$M10,"A",IF(AS64&lt;='组合输入'!$N10,"BBB",IF(AS64&lt;='组合输入'!$O10,"BB",IF(AS64&lt;='组合输入'!$P10,"B",IF(AS64&lt;='组合输入'!$Q10,"CCC","D")))))))</f>
        <v/>
      </c>
      <c r="AU64" s="12">
        <f>IF(AT64="","",INDEX('状态价值'!$D10:$K10,MATCH(AT64,'状态价值'!$D$1:$K$1,0)))</f>
        <v/>
      </c>
      <c r="AV64" s="15">
        <f>NORM.S.INV(RAND())</f>
        <v/>
      </c>
      <c r="AW64" s="15">
        <f>IF('组合输入'!$C11="","",'组合输入'!$H11*$B64+SQRT(1-'组合输入'!$H11^2)*AV64)</f>
        <v/>
      </c>
      <c r="AX64" s="7">
        <f>IF(AW64="","",NORM.S.DIST(AW64,TRUE))</f>
        <v/>
      </c>
      <c r="AY64" s="13">
        <f>IF(AX64="","",IF(AX64&lt;='组合输入'!$K11,"AAA",IF(AX64&lt;='组合输入'!$L11,"AA",IF(AX64&lt;='组合输入'!$M11,"A",IF(AX64&lt;='组合输入'!$N11,"BBB",IF(AX64&lt;='组合输入'!$O11,"BB",IF(AX64&lt;='组合输入'!$P11,"B",IF(AX64&lt;='组合输入'!$Q11,"CCC","D")))))))</f>
        <v/>
      </c>
      <c r="AZ64" s="12">
        <f>IF(AY64="","",INDEX('状态价值'!$D11:$K11,MATCH(AY64,'状态价值'!$D$1:$K$1,0)))</f>
        <v/>
      </c>
      <c r="BA64" s="12">
        <f>G64+L64+Q64+V64+AA64+AF64+AK64+AP64+AU64+AZ64</f>
        <v/>
      </c>
      <c r="BB64" s="12">
        <f>SUM('组合输入'!$J$2:$J$11)-BA64</f>
        <v/>
      </c>
    </row>
    <row r="65">
      <c r="A65" s="11" t="n">
        <v>64</v>
      </c>
      <c r="B65" s="14">
        <f>NORM.S.INV(RAND())</f>
        <v/>
      </c>
      <c r="C65" s="14">
        <f>NORM.S.INV(RAND())</f>
        <v/>
      </c>
      <c r="D65" s="15">
        <f>IF('组合输入'!$C2="","",'组合输入'!$H2*$B65+SQRT(1-'组合输入'!$H2^2)*C65)</f>
        <v/>
      </c>
      <c r="E65" s="7">
        <f>IF(D65="","",NORM.S.DIST(D65,TRUE))</f>
        <v/>
      </c>
      <c r="F65" s="13">
        <f>IF(E65="","",IF(E65&lt;='组合输入'!$K2,"AAA",IF(E65&lt;='组合输入'!$L2,"AA",IF(E65&lt;='组合输入'!$M2,"A",IF(E65&lt;='组合输入'!$N2,"BBB",IF(E65&lt;='组合输入'!$O2,"BB",IF(E65&lt;='组合输入'!$P2,"B",IF(E65&lt;='组合输入'!$Q2,"CCC","D")))))))</f>
        <v/>
      </c>
      <c r="G65" s="12">
        <f>IF(F65="","",INDEX('状态价值'!$D2:$K2,MATCH(F65,'状态价值'!$D$1:$K$1,0)))</f>
        <v/>
      </c>
      <c r="H65" s="15">
        <f>NORM.S.INV(RAND())</f>
        <v/>
      </c>
      <c r="I65" s="15">
        <f>IF('组合输入'!$C3="","",'组合输入'!$H3*$B65+SQRT(1-'组合输入'!$H3^2)*H65)</f>
        <v/>
      </c>
      <c r="J65" s="7">
        <f>IF(I65="","",NORM.S.DIST(I65,TRUE))</f>
        <v/>
      </c>
      <c r="K65" s="13">
        <f>IF(J65="","",IF(J65&lt;='组合输入'!$K3,"AAA",IF(J65&lt;='组合输入'!$L3,"AA",IF(J65&lt;='组合输入'!$M3,"A",IF(J65&lt;='组合输入'!$N3,"BBB",IF(J65&lt;='组合输入'!$O3,"BB",IF(J65&lt;='组合输入'!$P3,"B",IF(J65&lt;='组合输入'!$Q3,"CCC","D")))))))</f>
        <v/>
      </c>
      <c r="L65" s="12">
        <f>IF(K65="","",INDEX('状态价值'!$D3:$K3,MATCH(K65,'状态价值'!$D$1:$K$1,0)))</f>
        <v/>
      </c>
      <c r="M65" s="15">
        <f>NORM.S.INV(RAND())</f>
        <v/>
      </c>
      <c r="N65" s="15">
        <f>IF('组合输入'!$C4="","",'组合输入'!$H4*$B65+SQRT(1-'组合输入'!$H4^2)*M65)</f>
        <v/>
      </c>
      <c r="O65" s="7">
        <f>IF(N65="","",NORM.S.DIST(N65,TRUE))</f>
        <v/>
      </c>
      <c r="P65" s="13">
        <f>IF(O65="","",IF(O65&lt;='组合输入'!$K4,"AAA",IF(O65&lt;='组合输入'!$L4,"AA",IF(O65&lt;='组合输入'!$M4,"A",IF(O65&lt;='组合输入'!$N4,"BBB",IF(O65&lt;='组合输入'!$O4,"BB",IF(O65&lt;='组合输入'!$P4,"B",IF(O65&lt;='组合输入'!$Q4,"CCC","D")))))))</f>
        <v/>
      </c>
      <c r="Q65" s="12">
        <f>IF(P65="","",INDEX('状态价值'!$D4:$K4,MATCH(P65,'状态价值'!$D$1:$K$1,0)))</f>
        <v/>
      </c>
      <c r="R65" s="15">
        <f>NORM.S.INV(RAND())</f>
        <v/>
      </c>
      <c r="S65" s="15">
        <f>IF('组合输入'!$C5="","",'组合输入'!$H5*$B65+SQRT(1-'组合输入'!$H5^2)*R65)</f>
        <v/>
      </c>
      <c r="T65" s="7">
        <f>IF(S65="","",NORM.S.DIST(S65,TRUE))</f>
        <v/>
      </c>
      <c r="U65" s="13">
        <f>IF(T65="","",IF(T65&lt;='组合输入'!$K5,"AAA",IF(T65&lt;='组合输入'!$L5,"AA",IF(T65&lt;='组合输入'!$M5,"A",IF(T65&lt;='组合输入'!$N5,"BBB",IF(T65&lt;='组合输入'!$O5,"BB",IF(T65&lt;='组合输入'!$P5,"B",IF(T65&lt;='组合输入'!$Q5,"CCC","D")))))))</f>
        <v/>
      </c>
      <c r="V65" s="12">
        <f>IF(U65="","",INDEX('状态价值'!$D5:$K5,MATCH(U65,'状态价值'!$D$1:$K$1,0)))</f>
        <v/>
      </c>
      <c r="W65" s="15">
        <f>NORM.S.INV(RAND())</f>
        <v/>
      </c>
      <c r="X65" s="15">
        <f>IF('组合输入'!$C6="","",'组合输入'!$H6*$B65+SQRT(1-'组合输入'!$H6^2)*W65)</f>
        <v/>
      </c>
      <c r="Y65" s="7">
        <f>IF(X65="","",NORM.S.DIST(X65,TRUE))</f>
        <v/>
      </c>
      <c r="Z65" s="13">
        <f>IF(Y65="","",IF(Y65&lt;='组合输入'!$K6,"AAA",IF(Y65&lt;='组合输入'!$L6,"AA",IF(Y65&lt;='组合输入'!$M6,"A",IF(Y65&lt;='组合输入'!$N6,"BBB",IF(Y65&lt;='组合输入'!$O6,"BB",IF(Y65&lt;='组合输入'!$P6,"B",IF(Y65&lt;='组合输入'!$Q6,"CCC","D")))))))</f>
        <v/>
      </c>
      <c r="AA65" s="12">
        <f>IF(Z65="","",INDEX('状态价值'!$D6:$K6,MATCH(Z65,'状态价值'!$D$1:$K$1,0)))</f>
        <v/>
      </c>
      <c r="AB65" s="15">
        <f>NORM.S.INV(RAND())</f>
        <v/>
      </c>
      <c r="AC65" s="15">
        <f>IF('组合输入'!$C7="","",'组合输入'!$H7*$B65+SQRT(1-'组合输入'!$H7^2)*AB65)</f>
        <v/>
      </c>
      <c r="AD65" s="7">
        <f>IF(AC65="","",NORM.S.DIST(AC65,TRUE))</f>
        <v/>
      </c>
      <c r="AE65" s="13">
        <f>IF(AD65="","",IF(AD65&lt;='组合输入'!$K7,"AAA",IF(AD65&lt;='组合输入'!$L7,"AA",IF(AD65&lt;='组合输入'!$M7,"A",IF(AD65&lt;='组合输入'!$N7,"BBB",IF(AD65&lt;='组合输入'!$O7,"BB",IF(AD65&lt;='组合输入'!$P7,"B",IF(AD65&lt;='组合输入'!$Q7,"CCC","D")))))))</f>
        <v/>
      </c>
      <c r="AF65" s="12">
        <f>IF(AE65="","",INDEX('状态价值'!$D7:$K7,MATCH(AE65,'状态价值'!$D$1:$K$1,0)))</f>
        <v/>
      </c>
      <c r="AG65" s="15">
        <f>NORM.S.INV(RAND())</f>
        <v/>
      </c>
      <c r="AH65" s="15">
        <f>IF('组合输入'!$C8="","",'组合输入'!$H8*$B65+SQRT(1-'组合输入'!$H8^2)*AG65)</f>
        <v/>
      </c>
      <c r="AI65" s="7">
        <f>IF(AH65="","",NORM.S.DIST(AH65,TRUE))</f>
        <v/>
      </c>
      <c r="AJ65" s="13">
        <f>IF(AI65="","",IF(AI65&lt;='组合输入'!$K8,"AAA",IF(AI65&lt;='组合输入'!$L8,"AA",IF(AI65&lt;='组合输入'!$M8,"A",IF(AI65&lt;='组合输入'!$N8,"BBB",IF(AI65&lt;='组合输入'!$O8,"BB",IF(AI65&lt;='组合输入'!$P8,"B",IF(AI65&lt;='组合输入'!$Q8,"CCC","D")))))))</f>
        <v/>
      </c>
      <c r="AK65" s="12">
        <f>IF(AJ65="","",INDEX('状态价值'!$D8:$K8,MATCH(AJ65,'状态价值'!$D$1:$K$1,0)))</f>
        <v/>
      </c>
      <c r="AL65" s="15">
        <f>NORM.S.INV(RAND())</f>
        <v/>
      </c>
      <c r="AM65" s="15">
        <f>IF('组合输入'!$C9="","",'组合输入'!$H9*$B65+SQRT(1-'组合输入'!$H9^2)*AL65)</f>
        <v/>
      </c>
      <c r="AN65" s="7">
        <f>IF(AM65="","",NORM.S.DIST(AM65,TRUE))</f>
        <v/>
      </c>
      <c r="AO65" s="13">
        <f>IF(AN65="","",IF(AN65&lt;='组合输入'!$K9,"AAA",IF(AN65&lt;='组合输入'!$L9,"AA",IF(AN65&lt;='组合输入'!$M9,"A",IF(AN65&lt;='组合输入'!$N9,"BBB",IF(AN65&lt;='组合输入'!$O9,"BB",IF(AN65&lt;='组合输入'!$P9,"B",IF(AN65&lt;='组合输入'!$Q9,"CCC","D")))))))</f>
        <v/>
      </c>
      <c r="AP65" s="12">
        <f>IF(AO65="","",INDEX('状态价值'!$D9:$K9,MATCH(AO65,'状态价值'!$D$1:$K$1,0)))</f>
        <v/>
      </c>
      <c r="AQ65" s="15">
        <f>NORM.S.INV(RAND())</f>
        <v/>
      </c>
      <c r="AR65" s="15">
        <f>IF('组合输入'!$C10="","",'组合输入'!$H10*$B65+SQRT(1-'组合输入'!$H10^2)*AQ65)</f>
        <v/>
      </c>
      <c r="AS65" s="7">
        <f>IF(AR65="","",NORM.S.DIST(AR65,TRUE))</f>
        <v/>
      </c>
      <c r="AT65" s="13">
        <f>IF(AS65="","",IF(AS65&lt;='组合输入'!$K10,"AAA",IF(AS65&lt;='组合输入'!$L10,"AA",IF(AS65&lt;='组合输入'!$M10,"A",IF(AS65&lt;='组合输入'!$N10,"BBB",IF(AS65&lt;='组合输入'!$O10,"BB",IF(AS65&lt;='组合输入'!$P10,"B",IF(AS65&lt;='组合输入'!$Q10,"CCC","D")))))))</f>
        <v/>
      </c>
      <c r="AU65" s="12">
        <f>IF(AT65="","",INDEX('状态价值'!$D10:$K10,MATCH(AT65,'状态价值'!$D$1:$K$1,0)))</f>
        <v/>
      </c>
      <c r="AV65" s="15">
        <f>NORM.S.INV(RAND())</f>
        <v/>
      </c>
      <c r="AW65" s="15">
        <f>IF('组合输入'!$C11="","",'组合输入'!$H11*$B65+SQRT(1-'组合输入'!$H11^2)*AV65)</f>
        <v/>
      </c>
      <c r="AX65" s="7">
        <f>IF(AW65="","",NORM.S.DIST(AW65,TRUE))</f>
        <v/>
      </c>
      <c r="AY65" s="13">
        <f>IF(AX65="","",IF(AX65&lt;='组合输入'!$K11,"AAA",IF(AX65&lt;='组合输入'!$L11,"AA",IF(AX65&lt;='组合输入'!$M11,"A",IF(AX65&lt;='组合输入'!$N11,"BBB",IF(AX65&lt;='组合输入'!$O11,"BB",IF(AX65&lt;='组合输入'!$P11,"B",IF(AX65&lt;='组合输入'!$Q11,"CCC","D")))))))</f>
        <v/>
      </c>
      <c r="AZ65" s="12">
        <f>IF(AY65="","",INDEX('状态价值'!$D11:$K11,MATCH(AY65,'状态价值'!$D$1:$K$1,0)))</f>
        <v/>
      </c>
      <c r="BA65" s="12">
        <f>G65+L65+Q65+V65+AA65+AF65+AK65+AP65+AU65+AZ65</f>
        <v/>
      </c>
      <c r="BB65" s="12">
        <f>SUM('组合输入'!$J$2:$J$11)-BA65</f>
        <v/>
      </c>
    </row>
    <row r="66">
      <c r="A66" s="11" t="n">
        <v>65</v>
      </c>
      <c r="B66" s="14">
        <f>NORM.S.INV(RAND())</f>
        <v/>
      </c>
      <c r="C66" s="14">
        <f>NORM.S.INV(RAND())</f>
        <v/>
      </c>
      <c r="D66" s="15">
        <f>IF('组合输入'!$C2="","",'组合输入'!$H2*$B66+SQRT(1-'组合输入'!$H2^2)*C66)</f>
        <v/>
      </c>
      <c r="E66" s="7">
        <f>IF(D66="","",NORM.S.DIST(D66,TRUE))</f>
        <v/>
      </c>
      <c r="F66" s="13">
        <f>IF(E66="","",IF(E66&lt;='组合输入'!$K2,"AAA",IF(E66&lt;='组合输入'!$L2,"AA",IF(E66&lt;='组合输入'!$M2,"A",IF(E66&lt;='组合输入'!$N2,"BBB",IF(E66&lt;='组合输入'!$O2,"BB",IF(E66&lt;='组合输入'!$P2,"B",IF(E66&lt;='组合输入'!$Q2,"CCC","D")))))))</f>
        <v/>
      </c>
      <c r="G66" s="12">
        <f>IF(F66="","",INDEX('状态价值'!$D2:$K2,MATCH(F66,'状态价值'!$D$1:$K$1,0)))</f>
        <v/>
      </c>
      <c r="H66" s="15">
        <f>NORM.S.INV(RAND())</f>
        <v/>
      </c>
      <c r="I66" s="15">
        <f>IF('组合输入'!$C3="","",'组合输入'!$H3*$B66+SQRT(1-'组合输入'!$H3^2)*H66)</f>
        <v/>
      </c>
      <c r="J66" s="7">
        <f>IF(I66="","",NORM.S.DIST(I66,TRUE))</f>
        <v/>
      </c>
      <c r="K66" s="13">
        <f>IF(J66="","",IF(J66&lt;='组合输入'!$K3,"AAA",IF(J66&lt;='组合输入'!$L3,"AA",IF(J66&lt;='组合输入'!$M3,"A",IF(J66&lt;='组合输入'!$N3,"BBB",IF(J66&lt;='组合输入'!$O3,"BB",IF(J66&lt;='组合输入'!$P3,"B",IF(J66&lt;='组合输入'!$Q3,"CCC","D")))))))</f>
        <v/>
      </c>
      <c r="L66" s="12">
        <f>IF(K66="","",INDEX('状态价值'!$D3:$K3,MATCH(K66,'状态价值'!$D$1:$K$1,0)))</f>
        <v/>
      </c>
      <c r="M66" s="15">
        <f>NORM.S.INV(RAND())</f>
        <v/>
      </c>
      <c r="N66" s="15">
        <f>IF('组合输入'!$C4="","",'组合输入'!$H4*$B66+SQRT(1-'组合输入'!$H4^2)*M66)</f>
        <v/>
      </c>
      <c r="O66" s="7">
        <f>IF(N66="","",NORM.S.DIST(N66,TRUE))</f>
        <v/>
      </c>
      <c r="P66" s="13">
        <f>IF(O66="","",IF(O66&lt;='组合输入'!$K4,"AAA",IF(O66&lt;='组合输入'!$L4,"AA",IF(O66&lt;='组合输入'!$M4,"A",IF(O66&lt;='组合输入'!$N4,"BBB",IF(O66&lt;='组合输入'!$O4,"BB",IF(O66&lt;='组合输入'!$P4,"B",IF(O66&lt;='组合输入'!$Q4,"CCC","D")))))))</f>
        <v/>
      </c>
      <c r="Q66" s="12">
        <f>IF(P66="","",INDEX('状态价值'!$D4:$K4,MATCH(P66,'状态价值'!$D$1:$K$1,0)))</f>
        <v/>
      </c>
      <c r="R66" s="15">
        <f>NORM.S.INV(RAND())</f>
        <v/>
      </c>
      <c r="S66" s="15">
        <f>IF('组合输入'!$C5="","",'组合输入'!$H5*$B66+SQRT(1-'组合输入'!$H5^2)*R66)</f>
        <v/>
      </c>
      <c r="T66" s="7">
        <f>IF(S66="","",NORM.S.DIST(S66,TRUE))</f>
        <v/>
      </c>
      <c r="U66" s="13">
        <f>IF(T66="","",IF(T66&lt;='组合输入'!$K5,"AAA",IF(T66&lt;='组合输入'!$L5,"AA",IF(T66&lt;='组合输入'!$M5,"A",IF(T66&lt;='组合输入'!$N5,"BBB",IF(T66&lt;='组合输入'!$O5,"BB",IF(T66&lt;='组合输入'!$P5,"B",IF(T66&lt;='组合输入'!$Q5,"CCC","D")))))))</f>
        <v/>
      </c>
      <c r="V66" s="12">
        <f>IF(U66="","",INDEX('状态价值'!$D5:$K5,MATCH(U66,'状态价值'!$D$1:$K$1,0)))</f>
        <v/>
      </c>
      <c r="W66" s="15">
        <f>NORM.S.INV(RAND())</f>
        <v/>
      </c>
      <c r="X66" s="15">
        <f>IF('组合输入'!$C6="","",'组合输入'!$H6*$B66+SQRT(1-'组合输入'!$H6^2)*W66)</f>
        <v/>
      </c>
      <c r="Y66" s="7">
        <f>IF(X66="","",NORM.S.DIST(X66,TRUE))</f>
        <v/>
      </c>
      <c r="Z66" s="13">
        <f>IF(Y66="","",IF(Y66&lt;='组合输入'!$K6,"AAA",IF(Y66&lt;='组合输入'!$L6,"AA",IF(Y66&lt;='组合输入'!$M6,"A",IF(Y66&lt;='组合输入'!$N6,"BBB",IF(Y66&lt;='组合输入'!$O6,"BB",IF(Y66&lt;='组合输入'!$P6,"B",IF(Y66&lt;='组合输入'!$Q6,"CCC","D")))))))</f>
        <v/>
      </c>
      <c r="AA66" s="12">
        <f>IF(Z66="","",INDEX('状态价值'!$D6:$K6,MATCH(Z66,'状态价值'!$D$1:$K$1,0)))</f>
        <v/>
      </c>
      <c r="AB66" s="15">
        <f>NORM.S.INV(RAND())</f>
        <v/>
      </c>
      <c r="AC66" s="15">
        <f>IF('组合输入'!$C7="","",'组合输入'!$H7*$B66+SQRT(1-'组合输入'!$H7^2)*AB66)</f>
        <v/>
      </c>
      <c r="AD66" s="7">
        <f>IF(AC66="","",NORM.S.DIST(AC66,TRUE))</f>
        <v/>
      </c>
      <c r="AE66" s="13">
        <f>IF(AD66="","",IF(AD66&lt;='组合输入'!$K7,"AAA",IF(AD66&lt;='组合输入'!$L7,"AA",IF(AD66&lt;='组合输入'!$M7,"A",IF(AD66&lt;='组合输入'!$N7,"BBB",IF(AD66&lt;='组合输入'!$O7,"BB",IF(AD66&lt;='组合输入'!$P7,"B",IF(AD66&lt;='组合输入'!$Q7,"CCC","D")))))))</f>
        <v/>
      </c>
      <c r="AF66" s="12">
        <f>IF(AE66="","",INDEX('状态价值'!$D7:$K7,MATCH(AE66,'状态价值'!$D$1:$K$1,0)))</f>
        <v/>
      </c>
      <c r="AG66" s="15">
        <f>NORM.S.INV(RAND())</f>
        <v/>
      </c>
      <c r="AH66" s="15">
        <f>IF('组合输入'!$C8="","",'组合输入'!$H8*$B66+SQRT(1-'组合输入'!$H8^2)*AG66)</f>
        <v/>
      </c>
      <c r="AI66" s="7">
        <f>IF(AH66="","",NORM.S.DIST(AH66,TRUE))</f>
        <v/>
      </c>
      <c r="AJ66" s="13">
        <f>IF(AI66="","",IF(AI66&lt;='组合输入'!$K8,"AAA",IF(AI66&lt;='组合输入'!$L8,"AA",IF(AI66&lt;='组合输入'!$M8,"A",IF(AI66&lt;='组合输入'!$N8,"BBB",IF(AI66&lt;='组合输入'!$O8,"BB",IF(AI66&lt;='组合输入'!$P8,"B",IF(AI66&lt;='组合输入'!$Q8,"CCC","D")))))))</f>
        <v/>
      </c>
      <c r="AK66" s="12">
        <f>IF(AJ66="","",INDEX('状态价值'!$D8:$K8,MATCH(AJ66,'状态价值'!$D$1:$K$1,0)))</f>
        <v/>
      </c>
      <c r="AL66" s="15">
        <f>NORM.S.INV(RAND())</f>
        <v/>
      </c>
      <c r="AM66" s="15">
        <f>IF('组合输入'!$C9="","",'组合输入'!$H9*$B66+SQRT(1-'组合输入'!$H9^2)*AL66)</f>
        <v/>
      </c>
      <c r="AN66" s="7">
        <f>IF(AM66="","",NORM.S.DIST(AM66,TRUE))</f>
        <v/>
      </c>
      <c r="AO66" s="13">
        <f>IF(AN66="","",IF(AN66&lt;='组合输入'!$K9,"AAA",IF(AN66&lt;='组合输入'!$L9,"AA",IF(AN66&lt;='组合输入'!$M9,"A",IF(AN66&lt;='组合输入'!$N9,"BBB",IF(AN66&lt;='组合输入'!$O9,"BB",IF(AN66&lt;='组合输入'!$P9,"B",IF(AN66&lt;='组合输入'!$Q9,"CCC","D")))))))</f>
        <v/>
      </c>
      <c r="AP66" s="12">
        <f>IF(AO66="","",INDEX('状态价值'!$D9:$K9,MATCH(AO66,'状态价值'!$D$1:$K$1,0)))</f>
        <v/>
      </c>
      <c r="AQ66" s="15">
        <f>NORM.S.INV(RAND())</f>
        <v/>
      </c>
      <c r="AR66" s="15">
        <f>IF('组合输入'!$C10="","",'组合输入'!$H10*$B66+SQRT(1-'组合输入'!$H10^2)*AQ66)</f>
        <v/>
      </c>
      <c r="AS66" s="7">
        <f>IF(AR66="","",NORM.S.DIST(AR66,TRUE))</f>
        <v/>
      </c>
      <c r="AT66" s="13">
        <f>IF(AS66="","",IF(AS66&lt;='组合输入'!$K10,"AAA",IF(AS66&lt;='组合输入'!$L10,"AA",IF(AS66&lt;='组合输入'!$M10,"A",IF(AS66&lt;='组合输入'!$N10,"BBB",IF(AS66&lt;='组合输入'!$O10,"BB",IF(AS66&lt;='组合输入'!$P10,"B",IF(AS66&lt;='组合输入'!$Q10,"CCC","D")))))))</f>
        <v/>
      </c>
      <c r="AU66" s="12">
        <f>IF(AT66="","",INDEX('状态价值'!$D10:$K10,MATCH(AT66,'状态价值'!$D$1:$K$1,0)))</f>
        <v/>
      </c>
      <c r="AV66" s="15">
        <f>NORM.S.INV(RAND())</f>
        <v/>
      </c>
      <c r="AW66" s="15">
        <f>IF('组合输入'!$C11="","",'组合输入'!$H11*$B66+SQRT(1-'组合输入'!$H11^2)*AV66)</f>
        <v/>
      </c>
      <c r="AX66" s="7">
        <f>IF(AW66="","",NORM.S.DIST(AW66,TRUE))</f>
        <v/>
      </c>
      <c r="AY66" s="13">
        <f>IF(AX66="","",IF(AX66&lt;='组合输入'!$K11,"AAA",IF(AX66&lt;='组合输入'!$L11,"AA",IF(AX66&lt;='组合输入'!$M11,"A",IF(AX66&lt;='组合输入'!$N11,"BBB",IF(AX66&lt;='组合输入'!$O11,"BB",IF(AX66&lt;='组合输入'!$P11,"B",IF(AX66&lt;='组合输入'!$Q11,"CCC","D")))))))</f>
        <v/>
      </c>
      <c r="AZ66" s="12">
        <f>IF(AY66="","",INDEX('状态价值'!$D11:$K11,MATCH(AY66,'状态价值'!$D$1:$K$1,0)))</f>
        <v/>
      </c>
      <c r="BA66" s="12">
        <f>G66+L66+Q66+V66+AA66+AF66+AK66+AP66+AU66+AZ66</f>
        <v/>
      </c>
      <c r="BB66" s="12">
        <f>SUM('组合输入'!$J$2:$J$11)-BA66</f>
        <v/>
      </c>
    </row>
    <row r="67">
      <c r="A67" s="11" t="n">
        <v>66</v>
      </c>
      <c r="B67" s="14">
        <f>NORM.S.INV(RAND())</f>
        <v/>
      </c>
      <c r="C67" s="14">
        <f>NORM.S.INV(RAND())</f>
        <v/>
      </c>
      <c r="D67" s="15">
        <f>IF('组合输入'!$C2="","",'组合输入'!$H2*$B67+SQRT(1-'组合输入'!$H2^2)*C67)</f>
        <v/>
      </c>
      <c r="E67" s="7">
        <f>IF(D67="","",NORM.S.DIST(D67,TRUE))</f>
        <v/>
      </c>
      <c r="F67" s="13">
        <f>IF(E67="","",IF(E67&lt;='组合输入'!$K2,"AAA",IF(E67&lt;='组合输入'!$L2,"AA",IF(E67&lt;='组合输入'!$M2,"A",IF(E67&lt;='组合输入'!$N2,"BBB",IF(E67&lt;='组合输入'!$O2,"BB",IF(E67&lt;='组合输入'!$P2,"B",IF(E67&lt;='组合输入'!$Q2,"CCC","D")))))))</f>
        <v/>
      </c>
      <c r="G67" s="12">
        <f>IF(F67="","",INDEX('状态价值'!$D2:$K2,MATCH(F67,'状态价值'!$D$1:$K$1,0)))</f>
        <v/>
      </c>
      <c r="H67" s="15">
        <f>NORM.S.INV(RAND())</f>
        <v/>
      </c>
      <c r="I67" s="15">
        <f>IF('组合输入'!$C3="","",'组合输入'!$H3*$B67+SQRT(1-'组合输入'!$H3^2)*H67)</f>
        <v/>
      </c>
      <c r="J67" s="7">
        <f>IF(I67="","",NORM.S.DIST(I67,TRUE))</f>
        <v/>
      </c>
      <c r="K67" s="13">
        <f>IF(J67="","",IF(J67&lt;='组合输入'!$K3,"AAA",IF(J67&lt;='组合输入'!$L3,"AA",IF(J67&lt;='组合输入'!$M3,"A",IF(J67&lt;='组合输入'!$N3,"BBB",IF(J67&lt;='组合输入'!$O3,"BB",IF(J67&lt;='组合输入'!$P3,"B",IF(J67&lt;='组合输入'!$Q3,"CCC","D")))))))</f>
        <v/>
      </c>
      <c r="L67" s="12">
        <f>IF(K67="","",INDEX('状态价值'!$D3:$K3,MATCH(K67,'状态价值'!$D$1:$K$1,0)))</f>
        <v/>
      </c>
      <c r="M67" s="15">
        <f>NORM.S.INV(RAND())</f>
        <v/>
      </c>
      <c r="N67" s="15">
        <f>IF('组合输入'!$C4="","",'组合输入'!$H4*$B67+SQRT(1-'组合输入'!$H4^2)*M67)</f>
        <v/>
      </c>
      <c r="O67" s="7">
        <f>IF(N67="","",NORM.S.DIST(N67,TRUE))</f>
        <v/>
      </c>
      <c r="P67" s="13">
        <f>IF(O67="","",IF(O67&lt;='组合输入'!$K4,"AAA",IF(O67&lt;='组合输入'!$L4,"AA",IF(O67&lt;='组合输入'!$M4,"A",IF(O67&lt;='组合输入'!$N4,"BBB",IF(O67&lt;='组合输入'!$O4,"BB",IF(O67&lt;='组合输入'!$P4,"B",IF(O67&lt;='组合输入'!$Q4,"CCC","D")))))))</f>
        <v/>
      </c>
      <c r="Q67" s="12">
        <f>IF(P67="","",INDEX('状态价值'!$D4:$K4,MATCH(P67,'状态价值'!$D$1:$K$1,0)))</f>
        <v/>
      </c>
      <c r="R67" s="15">
        <f>NORM.S.INV(RAND())</f>
        <v/>
      </c>
      <c r="S67" s="15">
        <f>IF('组合输入'!$C5="","",'组合输入'!$H5*$B67+SQRT(1-'组合输入'!$H5^2)*R67)</f>
        <v/>
      </c>
      <c r="T67" s="7">
        <f>IF(S67="","",NORM.S.DIST(S67,TRUE))</f>
        <v/>
      </c>
      <c r="U67" s="13">
        <f>IF(T67="","",IF(T67&lt;='组合输入'!$K5,"AAA",IF(T67&lt;='组合输入'!$L5,"AA",IF(T67&lt;='组合输入'!$M5,"A",IF(T67&lt;='组合输入'!$N5,"BBB",IF(T67&lt;='组合输入'!$O5,"BB",IF(T67&lt;='组合输入'!$P5,"B",IF(T67&lt;='组合输入'!$Q5,"CCC","D")))))))</f>
        <v/>
      </c>
      <c r="V67" s="12">
        <f>IF(U67="","",INDEX('状态价值'!$D5:$K5,MATCH(U67,'状态价值'!$D$1:$K$1,0)))</f>
        <v/>
      </c>
      <c r="W67" s="15">
        <f>NORM.S.INV(RAND())</f>
        <v/>
      </c>
      <c r="X67" s="15">
        <f>IF('组合输入'!$C6="","",'组合输入'!$H6*$B67+SQRT(1-'组合输入'!$H6^2)*W67)</f>
        <v/>
      </c>
      <c r="Y67" s="7">
        <f>IF(X67="","",NORM.S.DIST(X67,TRUE))</f>
        <v/>
      </c>
      <c r="Z67" s="13">
        <f>IF(Y67="","",IF(Y67&lt;='组合输入'!$K6,"AAA",IF(Y67&lt;='组合输入'!$L6,"AA",IF(Y67&lt;='组合输入'!$M6,"A",IF(Y67&lt;='组合输入'!$N6,"BBB",IF(Y67&lt;='组合输入'!$O6,"BB",IF(Y67&lt;='组合输入'!$P6,"B",IF(Y67&lt;='组合输入'!$Q6,"CCC","D")))))))</f>
        <v/>
      </c>
      <c r="AA67" s="12">
        <f>IF(Z67="","",INDEX('状态价值'!$D6:$K6,MATCH(Z67,'状态价值'!$D$1:$K$1,0)))</f>
        <v/>
      </c>
      <c r="AB67" s="15">
        <f>NORM.S.INV(RAND())</f>
        <v/>
      </c>
      <c r="AC67" s="15">
        <f>IF('组合输入'!$C7="","",'组合输入'!$H7*$B67+SQRT(1-'组合输入'!$H7^2)*AB67)</f>
        <v/>
      </c>
      <c r="AD67" s="7">
        <f>IF(AC67="","",NORM.S.DIST(AC67,TRUE))</f>
        <v/>
      </c>
      <c r="AE67" s="13">
        <f>IF(AD67="","",IF(AD67&lt;='组合输入'!$K7,"AAA",IF(AD67&lt;='组合输入'!$L7,"AA",IF(AD67&lt;='组合输入'!$M7,"A",IF(AD67&lt;='组合输入'!$N7,"BBB",IF(AD67&lt;='组合输入'!$O7,"BB",IF(AD67&lt;='组合输入'!$P7,"B",IF(AD67&lt;='组合输入'!$Q7,"CCC","D")))))))</f>
        <v/>
      </c>
      <c r="AF67" s="12">
        <f>IF(AE67="","",INDEX('状态价值'!$D7:$K7,MATCH(AE67,'状态价值'!$D$1:$K$1,0)))</f>
        <v/>
      </c>
      <c r="AG67" s="15">
        <f>NORM.S.INV(RAND())</f>
        <v/>
      </c>
      <c r="AH67" s="15">
        <f>IF('组合输入'!$C8="","",'组合输入'!$H8*$B67+SQRT(1-'组合输入'!$H8^2)*AG67)</f>
        <v/>
      </c>
      <c r="AI67" s="7">
        <f>IF(AH67="","",NORM.S.DIST(AH67,TRUE))</f>
        <v/>
      </c>
      <c r="AJ67" s="13">
        <f>IF(AI67="","",IF(AI67&lt;='组合输入'!$K8,"AAA",IF(AI67&lt;='组合输入'!$L8,"AA",IF(AI67&lt;='组合输入'!$M8,"A",IF(AI67&lt;='组合输入'!$N8,"BBB",IF(AI67&lt;='组合输入'!$O8,"BB",IF(AI67&lt;='组合输入'!$P8,"B",IF(AI67&lt;='组合输入'!$Q8,"CCC","D")))))))</f>
        <v/>
      </c>
      <c r="AK67" s="12">
        <f>IF(AJ67="","",INDEX('状态价值'!$D8:$K8,MATCH(AJ67,'状态价值'!$D$1:$K$1,0)))</f>
        <v/>
      </c>
      <c r="AL67" s="15">
        <f>NORM.S.INV(RAND())</f>
        <v/>
      </c>
      <c r="AM67" s="15">
        <f>IF('组合输入'!$C9="","",'组合输入'!$H9*$B67+SQRT(1-'组合输入'!$H9^2)*AL67)</f>
        <v/>
      </c>
      <c r="AN67" s="7">
        <f>IF(AM67="","",NORM.S.DIST(AM67,TRUE))</f>
        <v/>
      </c>
      <c r="AO67" s="13">
        <f>IF(AN67="","",IF(AN67&lt;='组合输入'!$K9,"AAA",IF(AN67&lt;='组合输入'!$L9,"AA",IF(AN67&lt;='组合输入'!$M9,"A",IF(AN67&lt;='组合输入'!$N9,"BBB",IF(AN67&lt;='组合输入'!$O9,"BB",IF(AN67&lt;='组合输入'!$P9,"B",IF(AN67&lt;='组合输入'!$Q9,"CCC","D")))))))</f>
        <v/>
      </c>
      <c r="AP67" s="12">
        <f>IF(AO67="","",INDEX('状态价值'!$D9:$K9,MATCH(AO67,'状态价值'!$D$1:$K$1,0)))</f>
        <v/>
      </c>
      <c r="AQ67" s="15">
        <f>NORM.S.INV(RAND())</f>
        <v/>
      </c>
      <c r="AR67" s="15">
        <f>IF('组合输入'!$C10="","",'组合输入'!$H10*$B67+SQRT(1-'组合输入'!$H10^2)*AQ67)</f>
        <v/>
      </c>
      <c r="AS67" s="7">
        <f>IF(AR67="","",NORM.S.DIST(AR67,TRUE))</f>
        <v/>
      </c>
      <c r="AT67" s="13">
        <f>IF(AS67="","",IF(AS67&lt;='组合输入'!$K10,"AAA",IF(AS67&lt;='组合输入'!$L10,"AA",IF(AS67&lt;='组合输入'!$M10,"A",IF(AS67&lt;='组合输入'!$N10,"BBB",IF(AS67&lt;='组合输入'!$O10,"BB",IF(AS67&lt;='组合输入'!$P10,"B",IF(AS67&lt;='组合输入'!$Q10,"CCC","D")))))))</f>
        <v/>
      </c>
      <c r="AU67" s="12">
        <f>IF(AT67="","",INDEX('状态价值'!$D10:$K10,MATCH(AT67,'状态价值'!$D$1:$K$1,0)))</f>
        <v/>
      </c>
      <c r="AV67" s="15">
        <f>NORM.S.INV(RAND())</f>
        <v/>
      </c>
      <c r="AW67" s="15">
        <f>IF('组合输入'!$C11="","",'组合输入'!$H11*$B67+SQRT(1-'组合输入'!$H11^2)*AV67)</f>
        <v/>
      </c>
      <c r="AX67" s="7">
        <f>IF(AW67="","",NORM.S.DIST(AW67,TRUE))</f>
        <v/>
      </c>
      <c r="AY67" s="13">
        <f>IF(AX67="","",IF(AX67&lt;='组合输入'!$K11,"AAA",IF(AX67&lt;='组合输入'!$L11,"AA",IF(AX67&lt;='组合输入'!$M11,"A",IF(AX67&lt;='组合输入'!$N11,"BBB",IF(AX67&lt;='组合输入'!$O11,"BB",IF(AX67&lt;='组合输入'!$P11,"B",IF(AX67&lt;='组合输入'!$Q11,"CCC","D")))))))</f>
        <v/>
      </c>
      <c r="AZ67" s="12">
        <f>IF(AY67="","",INDEX('状态价值'!$D11:$K11,MATCH(AY67,'状态价值'!$D$1:$K$1,0)))</f>
        <v/>
      </c>
      <c r="BA67" s="12">
        <f>G67+L67+Q67+V67+AA67+AF67+AK67+AP67+AU67+AZ67</f>
        <v/>
      </c>
      <c r="BB67" s="12">
        <f>SUM('组合输入'!$J$2:$J$11)-BA67</f>
        <v/>
      </c>
    </row>
    <row r="68">
      <c r="A68" s="11" t="n">
        <v>67</v>
      </c>
      <c r="B68" s="14">
        <f>NORM.S.INV(RAND())</f>
        <v/>
      </c>
      <c r="C68" s="14">
        <f>NORM.S.INV(RAND())</f>
        <v/>
      </c>
      <c r="D68" s="15">
        <f>IF('组合输入'!$C2="","",'组合输入'!$H2*$B68+SQRT(1-'组合输入'!$H2^2)*C68)</f>
        <v/>
      </c>
      <c r="E68" s="7">
        <f>IF(D68="","",NORM.S.DIST(D68,TRUE))</f>
        <v/>
      </c>
      <c r="F68" s="13">
        <f>IF(E68="","",IF(E68&lt;='组合输入'!$K2,"AAA",IF(E68&lt;='组合输入'!$L2,"AA",IF(E68&lt;='组合输入'!$M2,"A",IF(E68&lt;='组合输入'!$N2,"BBB",IF(E68&lt;='组合输入'!$O2,"BB",IF(E68&lt;='组合输入'!$P2,"B",IF(E68&lt;='组合输入'!$Q2,"CCC","D")))))))</f>
        <v/>
      </c>
      <c r="G68" s="12">
        <f>IF(F68="","",INDEX('状态价值'!$D2:$K2,MATCH(F68,'状态价值'!$D$1:$K$1,0)))</f>
        <v/>
      </c>
      <c r="H68" s="15">
        <f>NORM.S.INV(RAND())</f>
        <v/>
      </c>
      <c r="I68" s="15">
        <f>IF('组合输入'!$C3="","",'组合输入'!$H3*$B68+SQRT(1-'组合输入'!$H3^2)*H68)</f>
        <v/>
      </c>
      <c r="J68" s="7">
        <f>IF(I68="","",NORM.S.DIST(I68,TRUE))</f>
        <v/>
      </c>
      <c r="K68" s="13">
        <f>IF(J68="","",IF(J68&lt;='组合输入'!$K3,"AAA",IF(J68&lt;='组合输入'!$L3,"AA",IF(J68&lt;='组合输入'!$M3,"A",IF(J68&lt;='组合输入'!$N3,"BBB",IF(J68&lt;='组合输入'!$O3,"BB",IF(J68&lt;='组合输入'!$P3,"B",IF(J68&lt;='组合输入'!$Q3,"CCC","D")))))))</f>
        <v/>
      </c>
      <c r="L68" s="12">
        <f>IF(K68="","",INDEX('状态价值'!$D3:$K3,MATCH(K68,'状态价值'!$D$1:$K$1,0)))</f>
        <v/>
      </c>
      <c r="M68" s="15">
        <f>NORM.S.INV(RAND())</f>
        <v/>
      </c>
      <c r="N68" s="15">
        <f>IF('组合输入'!$C4="","",'组合输入'!$H4*$B68+SQRT(1-'组合输入'!$H4^2)*M68)</f>
        <v/>
      </c>
      <c r="O68" s="7">
        <f>IF(N68="","",NORM.S.DIST(N68,TRUE))</f>
        <v/>
      </c>
      <c r="P68" s="13">
        <f>IF(O68="","",IF(O68&lt;='组合输入'!$K4,"AAA",IF(O68&lt;='组合输入'!$L4,"AA",IF(O68&lt;='组合输入'!$M4,"A",IF(O68&lt;='组合输入'!$N4,"BBB",IF(O68&lt;='组合输入'!$O4,"BB",IF(O68&lt;='组合输入'!$P4,"B",IF(O68&lt;='组合输入'!$Q4,"CCC","D")))))))</f>
        <v/>
      </c>
      <c r="Q68" s="12">
        <f>IF(P68="","",INDEX('状态价值'!$D4:$K4,MATCH(P68,'状态价值'!$D$1:$K$1,0)))</f>
        <v/>
      </c>
      <c r="R68" s="15">
        <f>NORM.S.INV(RAND())</f>
        <v/>
      </c>
      <c r="S68" s="15">
        <f>IF('组合输入'!$C5="","",'组合输入'!$H5*$B68+SQRT(1-'组合输入'!$H5^2)*R68)</f>
        <v/>
      </c>
      <c r="T68" s="7">
        <f>IF(S68="","",NORM.S.DIST(S68,TRUE))</f>
        <v/>
      </c>
      <c r="U68" s="13">
        <f>IF(T68="","",IF(T68&lt;='组合输入'!$K5,"AAA",IF(T68&lt;='组合输入'!$L5,"AA",IF(T68&lt;='组合输入'!$M5,"A",IF(T68&lt;='组合输入'!$N5,"BBB",IF(T68&lt;='组合输入'!$O5,"BB",IF(T68&lt;='组合输入'!$P5,"B",IF(T68&lt;='组合输入'!$Q5,"CCC","D")))))))</f>
        <v/>
      </c>
      <c r="V68" s="12">
        <f>IF(U68="","",INDEX('状态价值'!$D5:$K5,MATCH(U68,'状态价值'!$D$1:$K$1,0)))</f>
        <v/>
      </c>
      <c r="W68" s="15">
        <f>NORM.S.INV(RAND())</f>
        <v/>
      </c>
      <c r="X68" s="15">
        <f>IF('组合输入'!$C6="","",'组合输入'!$H6*$B68+SQRT(1-'组合输入'!$H6^2)*W68)</f>
        <v/>
      </c>
      <c r="Y68" s="7">
        <f>IF(X68="","",NORM.S.DIST(X68,TRUE))</f>
        <v/>
      </c>
      <c r="Z68" s="13">
        <f>IF(Y68="","",IF(Y68&lt;='组合输入'!$K6,"AAA",IF(Y68&lt;='组合输入'!$L6,"AA",IF(Y68&lt;='组合输入'!$M6,"A",IF(Y68&lt;='组合输入'!$N6,"BBB",IF(Y68&lt;='组合输入'!$O6,"BB",IF(Y68&lt;='组合输入'!$P6,"B",IF(Y68&lt;='组合输入'!$Q6,"CCC","D")))))))</f>
        <v/>
      </c>
      <c r="AA68" s="12">
        <f>IF(Z68="","",INDEX('状态价值'!$D6:$K6,MATCH(Z68,'状态价值'!$D$1:$K$1,0)))</f>
        <v/>
      </c>
      <c r="AB68" s="15">
        <f>NORM.S.INV(RAND())</f>
        <v/>
      </c>
      <c r="AC68" s="15">
        <f>IF('组合输入'!$C7="","",'组合输入'!$H7*$B68+SQRT(1-'组合输入'!$H7^2)*AB68)</f>
        <v/>
      </c>
      <c r="AD68" s="7">
        <f>IF(AC68="","",NORM.S.DIST(AC68,TRUE))</f>
        <v/>
      </c>
      <c r="AE68" s="13">
        <f>IF(AD68="","",IF(AD68&lt;='组合输入'!$K7,"AAA",IF(AD68&lt;='组合输入'!$L7,"AA",IF(AD68&lt;='组合输入'!$M7,"A",IF(AD68&lt;='组合输入'!$N7,"BBB",IF(AD68&lt;='组合输入'!$O7,"BB",IF(AD68&lt;='组合输入'!$P7,"B",IF(AD68&lt;='组合输入'!$Q7,"CCC","D")))))))</f>
        <v/>
      </c>
      <c r="AF68" s="12">
        <f>IF(AE68="","",INDEX('状态价值'!$D7:$K7,MATCH(AE68,'状态价值'!$D$1:$K$1,0)))</f>
        <v/>
      </c>
      <c r="AG68" s="15">
        <f>NORM.S.INV(RAND())</f>
        <v/>
      </c>
      <c r="AH68" s="15">
        <f>IF('组合输入'!$C8="","",'组合输入'!$H8*$B68+SQRT(1-'组合输入'!$H8^2)*AG68)</f>
        <v/>
      </c>
      <c r="AI68" s="7">
        <f>IF(AH68="","",NORM.S.DIST(AH68,TRUE))</f>
        <v/>
      </c>
      <c r="AJ68" s="13">
        <f>IF(AI68="","",IF(AI68&lt;='组合输入'!$K8,"AAA",IF(AI68&lt;='组合输入'!$L8,"AA",IF(AI68&lt;='组合输入'!$M8,"A",IF(AI68&lt;='组合输入'!$N8,"BBB",IF(AI68&lt;='组合输入'!$O8,"BB",IF(AI68&lt;='组合输入'!$P8,"B",IF(AI68&lt;='组合输入'!$Q8,"CCC","D")))))))</f>
        <v/>
      </c>
      <c r="AK68" s="12">
        <f>IF(AJ68="","",INDEX('状态价值'!$D8:$K8,MATCH(AJ68,'状态价值'!$D$1:$K$1,0)))</f>
        <v/>
      </c>
      <c r="AL68" s="15">
        <f>NORM.S.INV(RAND())</f>
        <v/>
      </c>
      <c r="AM68" s="15">
        <f>IF('组合输入'!$C9="","",'组合输入'!$H9*$B68+SQRT(1-'组合输入'!$H9^2)*AL68)</f>
        <v/>
      </c>
      <c r="AN68" s="7">
        <f>IF(AM68="","",NORM.S.DIST(AM68,TRUE))</f>
        <v/>
      </c>
      <c r="AO68" s="13">
        <f>IF(AN68="","",IF(AN68&lt;='组合输入'!$K9,"AAA",IF(AN68&lt;='组合输入'!$L9,"AA",IF(AN68&lt;='组合输入'!$M9,"A",IF(AN68&lt;='组合输入'!$N9,"BBB",IF(AN68&lt;='组合输入'!$O9,"BB",IF(AN68&lt;='组合输入'!$P9,"B",IF(AN68&lt;='组合输入'!$Q9,"CCC","D")))))))</f>
        <v/>
      </c>
      <c r="AP68" s="12">
        <f>IF(AO68="","",INDEX('状态价值'!$D9:$K9,MATCH(AO68,'状态价值'!$D$1:$K$1,0)))</f>
        <v/>
      </c>
      <c r="AQ68" s="15">
        <f>NORM.S.INV(RAND())</f>
        <v/>
      </c>
      <c r="AR68" s="15">
        <f>IF('组合输入'!$C10="","",'组合输入'!$H10*$B68+SQRT(1-'组合输入'!$H10^2)*AQ68)</f>
        <v/>
      </c>
      <c r="AS68" s="7">
        <f>IF(AR68="","",NORM.S.DIST(AR68,TRUE))</f>
        <v/>
      </c>
      <c r="AT68" s="13">
        <f>IF(AS68="","",IF(AS68&lt;='组合输入'!$K10,"AAA",IF(AS68&lt;='组合输入'!$L10,"AA",IF(AS68&lt;='组合输入'!$M10,"A",IF(AS68&lt;='组合输入'!$N10,"BBB",IF(AS68&lt;='组合输入'!$O10,"BB",IF(AS68&lt;='组合输入'!$P10,"B",IF(AS68&lt;='组合输入'!$Q10,"CCC","D")))))))</f>
        <v/>
      </c>
      <c r="AU68" s="12">
        <f>IF(AT68="","",INDEX('状态价值'!$D10:$K10,MATCH(AT68,'状态价值'!$D$1:$K$1,0)))</f>
        <v/>
      </c>
      <c r="AV68" s="15">
        <f>NORM.S.INV(RAND())</f>
        <v/>
      </c>
      <c r="AW68" s="15">
        <f>IF('组合输入'!$C11="","",'组合输入'!$H11*$B68+SQRT(1-'组合输入'!$H11^2)*AV68)</f>
        <v/>
      </c>
      <c r="AX68" s="7">
        <f>IF(AW68="","",NORM.S.DIST(AW68,TRUE))</f>
        <v/>
      </c>
      <c r="AY68" s="13">
        <f>IF(AX68="","",IF(AX68&lt;='组合输入'!$K11,"AAA",IF(AX68&lt;='组合输入'!$L11,"AA",IF(AX68&lt;='组合输入'!$M11,"A",IF(AX68&lt;='组合输入'!$N11,"BBB",IF(AX68&lt;='组合输入'!$O11,"BB",IF(AX68&lt;='组合输入'!$P11,"B",IF(AX68&lt;='组合输入'!$Q11,"CCC","D")))))))</f>
        <v/>
      </c>
      <c r="AZ68" s="12">
        <f>IF(AY68="","",INDEX('状态价值'!$D11:$K11,MATCH(AY68,'状态价值'!$D$1:$K$1,0)))</f>
        <v/>
      </c>
      <c r="BA68" s="12">
        <f>G68+L68+Q68+V68+AA68+AF68+AK68+AP68+AU68+AZ68</f>
        <v/>
      </c>
      <c r="BB68" s="12">
        <f>SUM('组合输入'!$J$2:$J$11)-BA68</f>
        <v/>
      </c>
    </row>
    <row r="69">
      <c r="A69" s="11" t="n">
        <v>68</v>
      </c>
      <c r="B69" s="14">
        <f>NORM.S.INV(RAND())</f>
        <v/>
      </c>
      <c r="C69" s="14">
        <f>NORM.S.INV(RAND())</f>
        <v/>
      </c>
      <c r="D69" s="15">
        <f>IF('组合输入'!$C2="","",'组合输入'!$H2*$B69+SQRT(1-'组合输入'!$H2^2)*C69)</f>
        <v/>
      </c>
      <c r="E69" s="7">
        <f>IF(D69="","",NORM.S.DIST(D69,TRUE))</f>
        <v/>
      </c>
      <c r="F69" s="13">
        <f>IF(E69="","",IF(E69&lt;='组合输入'!$K2,"AAA",IF(E69&lt;='组合输入'!$L2,"AA",IF(E69&lt;='组合输入'!$M2,"A",IF(E69&lt;='组合输入'!$N2,"BBB",IF(E69&lt;='组合输入'!$O2,"BB",IF(E69&lt;='组合输入'!$P2,"B",IF(E69&lt;='组合输入'!$Q2,"CCC","D")))))))</f>
        <v/>
      </c>
      <c r="G69" s="12">
        <f>IF(F69="","",INDEX('状态价值'!$D2:$K2,MATCH(F69,'状态价值'!$D$1:$K$1,0)))</f>
        <v/>
      </c>
      <c r="H69" s="15">
        <f>NORM.S.INV(RAND())</f>
        <v/>
      </c>
      <c r="I69" s="15">
        <f>IF('组合输入'!$C3="","",'组合输入'!$H3*$B69+SQRT(1-'组合输入'!$H3^2)*H69)</f>
        <v/>
      </c>
      <c r="J69" s="7">
        <f>IF(I69="","",NORM.S.DIST(I69,TRUE))</f>
        <v/>
      </c>
      <c r="K69" s="13">
        <f>IF(J69="","",IF(J69&lt;='组合输入'!$K3,"AAA",IF(J69&lt;='组合输入'!$L3,"AA",IF(J69&lt;='组合输入'!$M3,"A",IF(J69&lt;='组合输入'!$N3,"BBB",IF(J69&lt;='组合输入'!$O3,"BB",IF(J69&lt;='组合输入'!$P3,"B",IF(J69&lt;='组合输入'!$Q3,"CCC","D")))))))</f>
        <v/>
      </c>
      <c r="L69" s="12">
        <f>IF(K69="","",INDEX('状态价值'!$D3:$K3,MATCH(K69,'状态价值'!$D$1:$K$1,0)))</f>
        <v/>
      </c>
      <c r="M69" s="15">
        <f>NORM.S.INV(RAND())</f>
        <v/>
      </c>
      <c r="N69" s="15">
        <f>IF('组合输入'!$C4="","",'组合输入'!$H4*$B69+SQRT(1-'组合输入'!$H4^2)*M69)</f>
        <v/>
      </c>
      <c r="O69" s="7">
        <f>IF(N69="","",NORM.S.DIST(N69,TRUE))</f>
        <v/>
      </c>
      <c r="P69" s="13">
        <f>IF(O69="","",IF(O69&lt;='组合输入'!$K4,"AAA",IF(O69&lt;='组合输入'!$L4,"AA",IF(O69&lt;='组合输入'!$M4,"A",IF(O69&lt;='组合输入'!$N4,"BBB",IF(O69&lt;='组合输入'!$O4,"BB",IF(O69&lt;='组合输入'!$P4,"B",IF(O69&lt;='组合输入'!$Q4,"CCC","D")))))))</f>
        <v/>
      </c>
      <c r="Q69" s="12">
        <f>IF(P69="","",INDEX('状态价值'!$D4:$K4,MATCH(P69,'状态价值'!$D$1:$K$1,0)))</f>
        <v/>
      </c>
      <c r="R69" s="15">
        <f>NORM.S.INV(RAND())</f>
        <v/>
      </c>
      <c r="S69" s="15">
        <f>IF('组合输入'!$C5="","",'组合输入'!$H5*$B69+SQRT(1-'组合输入'!$H5^2)*R69)</f>
        <v/>
      </c>
      <c r="T69" s="7">
        <f>IF(S69="","",NORM.S.DIST(S69,TRUE))</f>
        <v/>
      </c>
      <c r="U69" s="13">
        <f>IF(T69="","",IF(T69&lt;='组合输入'!$K5,"AAA",IF(T69&lt;='组合输入'!$L5,"AA",IF(T69&lt;='组合输入'!$M5,"A",IF(T69&lt;='组合输入'!$N5,"BBB",IF(T69&lt;='组合输入'!$O5,"BB",IF(T69&lt;='组合输入'!$P5,"B",IF(T69&lt;='组合输入'!$Q5,"CCC","D")))))))</f>
        <v/>
      </c>
      <c r="V69" s="12">
        <f>IF(U69="","",INDEX('状态价值'!$D5:$K5,MATCH(U69,'状态价值'!$D$1:$K$1,0)))</f>
        <v/>
      </c>
      <c r="W69" s="15">
        <f>NORM.S.INV(RAND())</f>
        <v/>
      </c>
      <c r="X69" s="15">
        <f>IF('组合输入'!$C6="","",'组合输入'!$H6*$B69+SQRT(1-'组合输入'!$H6^2)*W69)</f>
        <v/>
      </c>
      <c r="Y69" s="7">
        <f>IF(X69="","",NORM.S.DIST(X69,TRUE))</f>
        <v/>
      </c>
      <c r="Z69" s="13">
        <f>IF(Y69="","",IF(Y69&lt;='组合输入'!$K6,"AAA",IF(Y69&lt;='组合输入'!$L6,"AA",IF(Y69&lt;='组合输入'!$M6,"A",IF(Y69&lt;='组合输入'!$N6,"BBB",IF(Y69&lt;='组合输入'!$O6,"BB",IF(Y69&lt;='组合输入'!$P6,"B",IF(Y69&lt;='组合输入'!$Q6,"CCC","D")))))))</f>
        <v/>
      </c>
      <c r="AA69" s="12">
        <f>IF(Z69="","",INDEX('状态价值'!$D6:$K6,MATCH(Z69,'状态价值'!$D$1:$K$1,0)))</f>
        <v/>
      </c>
      <c r="AB69" s="15">
        <f>NORM.S.INV(RAND())</f>
        <v/>
      </c>
      <c r="AC69" s="15">
        <f>IF('组合输入'!$C7="","",'组合输入'!$H7*$B69+SQRT(1-'组合输入'!$H7^2)*AB69)</f>
        <v/>
      </c>
      <c r="AD69" s="7">
        <f>IF(AC69="","",NORM.S.DIST(AC69,TRUE))</f>
        <v/>
      </c>
      <c r="AE69" s="13">
        <f>IF(AD69="","",IF(AD69&lt;='组合输入'!$K7,"AAA",IF(AD69&lt;='组合输入'!$L7,"AA",IF(AD69&lt;='组合输入'!$M7,"A",IF(AD69&lt;='组合输入'!$N7,"BBB",IF(AD69&lt;='组合输入'!$O7,"BB",IF(AD69&lt;='组合输入'!$P7,"B",IF(AD69&lt;='组合输入'!$Q7,"CCC","D")))))))</f>
        <v/>
      </c>
      <c r="AF69" s="12">
        <f>IF(AE69="","",INDEX('状态价值'!$D7:$K7,MATCH(AE69,'状态价值'!$D$1:$K$1,0)))</f>
        <v/>
      </c>
      <c r="AG69" s="15">
        <f>NORM.S.INV(RAND())</f>
        <v/>
      </c>
      <c r="AH69" s="15">
        <f>IF('组合输入'!$C8="","",'组合输入'!$H8*$B69+SQRT(1-'组合输入'!$H8^2)*AG69)</f>
        <v/>
      </c>
      <c r="AI69" s="7">
        <f>IF(AH69="","",NORM.S.DIST(AH69,TRUE))</f>
        <v/>
      </c>
      <c r="AJ69" s="13">
        <f>IF(AI69="","",IF(AI69&lt;='组合输入'!$K8,"AAA",IF(AI69&lt;='组合输入'!$L8,"AA",IF(AI69&lt;='组合输入'!$M8,"A",IF(AI69&lt;='组合输入'!$N8,"BBB",IF(AI69&lt;='组合输入'!$O8,"BB",IF(AI69&lt;='组合输入'!$P8,"B",IF(AI69&lt;='组合输入'!$Q8,"CCC","D")))))))</f>
        <v/>
      </c>
      <c r="AK69" s="12">
        <f>IF(AJ69="","",INDEX('状态价值'!$D8:$K8,MATCH(AJ69,'状态价值'!$D$1:$K$1,0)))</f>
        <v/>
      </c>
      <c r="AL69" s="15">
        <f>NORM.S.INV(RAND())</f>
        <v/>
      </c>
      <c r="AM69" s="15">
        <f>IF('组合输入'!$C9="","",'组合输入'!$H9*$B69+SQRT(1-'组合输入'!$H9^2)*AL69)</f>
        <v/>
      </c>
      <c r="AN69" s="7">
        <f>IF(AM69="","",NORM.S.DIST(AM69,TRUE))</f>
        <v/>
      </c>
      <c r="AO69" s="13">
        <f>IF(AN69="","",IF(AN69&lt;='组合输入'!$K9,"AAA",IF(AN69&lt;='组合输入'!$L9,"AA",IF(AN69&lt;='组合输入'!$M9,"A",IF(AN69&lt;='组合输入'!$N9,"BBB",IF(AN69&lt;='组合输入'!$O9,"BB",IF(AN69&lt;='组合输入'!$P9,"B",IF(AN69&lt;='组合输入'!$Q9,"CCC","D")))))))</f>
        <v/>
      </c>
      <c r="AP69" s="12">
        <f>IF(AO69="","",INDEX('状态价值'!$D9:$K9,MATCH(AO69,'状态价值'!$D$1:$K$1,0)))</f>
        <v/>
      </c>
      <c r="AQ69" s="15">
        <f>NORM.S.INV(RAND())</f>
        <v/>
      </c>
      <c r="AR69" s="15">
        <f>IF('组合输入'!$C10="","",'组合输入'!$H10*$B69+SQRT(1-'组合输入'!$H10^2)*AQ69)</f>
        <v/>
      </c>
      <c r="AS69" s="7">
        <f>IF(AR69="","",NORM.S.DIST(AR69,TRUE))</f>
        <v/>
      </c>
      <c r="AT69" s="13">
        <f>IF(AS69="","",IF(AS69&lt;='组合输入'!$K10,"AAA",IF(AS69&lt;='组合输入'!$L10,"AA",IF(AS69&lt;='组合输入'!$M10,"A",IF(AS69&lt;='组合输入'!$N10,"BBB",IF(AS69&lt;='组合输入'!$O10,"BB",IF(AS69&lt;='组合输入'!$P10,"B",IF(AS69&lt;='组合输入'!$Q10,"CCC","D")))))))</f>
        <v/>
      </c>
      <c r="AU69" s="12">
        <f>IF(AT69="","",INDEX('状态价值'!$D10:$K10,MATCH(AT69,'状态价值'!$D$1:$K$1,0)))</f>
        <v/>
      </c>
      <c r="AV69" s="15">
        <f>NORM.S.INV(RAND())</f>
        <v/>
      </c>
      <c r="AW69" s="15">
        <f>IF('组合输入'!$C11="","",'组合输入'!$H11*$B69+SQRT(1-'组合输入'!$H11^2)*AV69)</f>
        <v/>
      </c>
      <c r="AX69" s="7">
        <f>IF(AW69="","",NORM.S.DIST(AW69,TRUE))</f>
        <v/>
      </c>
      <c r="AY69" s="13">
        <f>IF(AX69="","",IF(AX69&lt;='组合输入'!$K11,"AAA",IF(AX69&lt;='组合输入'!$L11,"AA",IF(AX69&lt;='组合输入'!$M11,"A",IF(AX69&lt;='组合输入'!$N11,"BBB",IF(AX69&lt;='组合输入'!$O11,"BB",IF(AX69&lt;='组合输入'!$P11,"B",IF(AX69&lt;='组合输入'!$Q11,"CCC","D")))))))</f>
        <v/>
      </c>
      <c r="AZ69" s="12">
        <f>IF(AY69="","",INDEX('状态价值'!$D11:$K11,MATCH(AY69,'状态价值'!$D$1:$K$1,0)))</f>
        <v/>
      </c>
      <c r="BA69" s="12">
        <f>G69+L69+Q69+V69+AA69+AF69+AK69+AP69+AU69+AZ69</f>
        <v/>
      </c>
      <c r="BB69" s="12">
        <f>SUM('组合输入'!$J$2:$J$11)-BA69</f>
        <v/>
      </c>
    </row>
    <row r="70">
      <c r="A70" s="11" t="n">
        <v>69</v>
      </c>
      <c r="B70" s="14">
        <f>NORM.S.INV(RAND())</f>
        <v/>
      </c>
      <c r="C70" s="14">
        <f>NORM.S.INV(RAND())</f>
        <v/>
      </c>
      <c r="D70" s="15">
        <f>IF('组合输入'!$C2="","",'组合输入'!$H2*$B70+SQRT(1-'组合输入'!$H2^2)*C70)</f>
        <v/>
      </c>
      <c r="E70" s="7">
        <f>IF(D70="","",NORM.S.DIST(D70,TRUE))</f>
        <v/>
      </c>
      <c r="F70" s="13">
        <f>IF(E70="","",IF(E70&lt;='组合输入'!$K2,"AAA",IF(E70&lt;='组合输入'!$L2,"AA",IF(E70&lt;='组合输入'!$M2,"A",IF(E70&lt;='组合输入'!$N2,"BBB",IF(E70&lt;='组合输入'!$O2,"BB",IF(E70&lt;='组合输入'!$P2,"B",IF(E70&lt;='组合输入'!$Q2,"CCC","D")))))))</f>
        <v/>
      </c>
      <c r="G70" s="12">
        <f>IF(F70="","",INDEX('状态价值'!$D2:$K2,MATCH(F70,'状态价值'!$D$1:$K$1,0)))</f>
        <v/>
      </c>
      <c r="H70" s="15">
        <f>NORM.S.INV(RAND())</f>
        <v/>
      </c>
      <c r="I70" s="15">
        <f>IF('组合输入'!$C3="","",'组合输入'!$H3*$B70+SQRT(1-'组合输入'!$H3^2)*H70)</f>
        <v/>
      </c>
      <c r="J70" s="7">
        <f>IF(I70="","",NORM.S.DIST(I70,TRUE))</f>
        <v/>
      </c>
      <c r="K70" s="13">
        <f>IF(J70="","",IF(J70&lt;='组合输入'!$K3,"AAA",IF(J70&lt;='组合输入'!$L3,"AA",IF(J70&lt;='组合输入'!$M3,"A",IF(J70&lt;='组合输入'!$N3,"BBB",IF(J70&lt;='组合输入'!$O3,"BB",IF(J70&lt;='组合输入'!$P3,"B",IF(J70&lt;='组合输入'!$Q3,"CCC","D")))))))</f>
        <v/>
      </c>
      <c r="L70" s="12">
        <f>IF(K70="","",INDEX('状态价值'!$D3:$K3,MATCH(K70,'状态价值'!$D$1:$K$1,0)))</f>
        <v/>
      </c>
      <c r="M70" s="15">
        <f>NORM.S.INV(RAND())</f>
        <v/>
      </c>
      <c r="N70" s="15">
        <f>IF('组合输入'!$C4="","",'组合输入'!$H4*$B70+SQRT(1-'组合输入'!$H4^2)*M70)</f>
        <v/>
      </c>
      <c r="O70" s="7">
        <f>IF(N70="","",NORM.S.DIST(N70,TRUE))</f>
        <v/>
      </c>
      <c r="P70" s="13">
        <f>IF(O70="","",IF(O70&lt;='组合输入'!$K4,"AAA",IF(O70&lt;='组合输入'!$L4,"AA",IF(O70&lt;='组合输入'!$M4,"A",IF(O70&lt;='组合输入'!$N4,"BBB",IF(O70&lt;='组合输入'!$O4,"BB",IF(O70&lt;='组合输入'!$P4,"B",IF(O70&lt;='组合输入'!$Q4,"CCC","D")))))))</f>
        <v/>
      </c>
      <c r="Q70" s="12">
        <f>IF(P70="","",INDEX('状态价值'!$D4:$K4,MATCH(P70,'状态价值'!$D$1:$K$1,0)))</f>
        <v/>
      </c>
      <c r="R70" s="15">
        <f>NORM.S.INV(RAND())</f>
        <v/>
      </c>
      <c r="S70" s="15">
        <f>IF('组合输入'!$C5="","",'组合输入'!$H5*$B70+SQRT(1-'组合输入'!$H5^2)*R70)</f>
        <v/>
      </c>
      <c r="T70" s="7">
        <f>IF(S70="","",NORM.S.DIST(S70,TRUE))</f>
        <v/>
      </c>
      <c r="U70" s="13">
        <f>IF(T70="","",IF(T70&lt;='组合输入'!$K5,"AAA",IF(T70&lt;='组合输入'!$L5,"AA",IF(T70&lt;='组合输入'!$M5,"A",IF(T70&lt;='组合输入'!$N5,"BBB",IF(T70&lt;='组合输入'!$O5,"BB",IF(T70&lt;='组合输入'!$P5,"B",IF(T70&lt;='组合输入'!$Q5,"CCC","D")))))))</f>
        <v/>
      </c>
      <c r="V70" s="12">
        <f>IF(U70="","",INDEX('状态价值'!$D5:$K5,MATCH(U70,'状态价值'!$D$1:$K$1,0)))</f>
        <v/>
      </c>
      <c r="W70" s="15">
        <f>NORM.S.INV(RAND())</f>
        <v/>
      </c>
      <c r="X70" s="15">
        <f>IF('组合输入'!$C6="","",'组合输入'!$H6*$B70+SQRT(1-'组合输入'!$H6^2)*W70)</f>
        <v/>
      </c>
      <c r="Y70" s="7">
        <f>IF(X70="","",NORM.S.DIST(X70,TRUE))</f>
        <v/>
      </c>
      <c r="Z70" s="13">
        <f>IF(Y70="","",IF(Y70&lt;='组合输入'!$K6,"AAA",IF(Y70&lt;='组合输入'!$L6,"AA",IF(Y70&lt;='组合输入'!$M6,"A",IF(Y70&lt;='组合输入'!$N6,"BBB",IF(Y70&lt;='组合输入'!$O6,"BB",IF(Y70&lt;='组合输入'!$P6,"B",IF(Y70&lt;='组合输入'!$Q6,"CCC","D")))))))</f>
        <v/>
      </c>
      <c r="AA70" s="12">
        <f>IF(Z70="","",INDEX('状态价值'!$D6:$K6,MATCH(Z70,'状态价值'!$D$1:$K$1,0)))</f>
        <v/>
      </c>
      <c r="AB70" s="15">
        <f>NORM.S.INV(RAND())</f>
        <v/>
      </c>
      <c r="AC70" s="15">
        <f>IF('组合输入'!$C7="","",'组合输入'!$H7*$B70+SQRT(1-'组合输入'!$H7^2)*AB70)</f>
        <v/>
      </c>
      <c r="AD70" s="7">
        <f>IF(AC70="","",NORM.S.DIST(AC70,TRUE))</f>
        <v/>
      </c>
      <c r="AE70" s="13">
        <f>IF(AD70="","",IF(AD70&lt;='组合输入'!$K7,"AAA",IF(AD70&lt;='组合输入'!$L7,"AA",IF(AD70&lt;='组合输入'!$M7,"A",IF(AD70&lt;='组合输入'!$N7,"BBB",IF(AD70&lt;='组合输入'!$O7,"BB",IF(AD70&lt;='组合输入'!$P7,"B",IF(AD70&lt;='组合输入'!$Q7,"CCC","D")))))))</f>
        <v/>
      </c>
      <c r="AF70" s="12">
        <f>IF(AE70="","",INDEX('状态价值'!$D7:$K7,MATCH(AE70,'状态价值'!$D$1:$K$1,0)))</f>
        <v/>
      </c>
      <c r="AG70" s="15">
        <f>NORM.S.INV(RAND())</f>
        <v/>
      </c>
      <c r="AH70" s="15">
        <f>IF('组合输入'!$C8="","",'组合输入'!$H8*$B70+SQRT(1-'组合输入'!$H8^2)*AG70)</f>
        <v/>
      </c>
      <c r="AI70" s="7">
        <f>IF(AH70="","",NORM.S.DIST(AH70,TRUE))</f>
        <v/>
      </c>
      <c r="AJ70" s="13">
        <f>IF(AI70="","",IF(AI70&lt;='组合输入'!$K8,"AAA",IF(AI70&lt;='组合输入'!$L8,"AA",IF(AI70&lt;='组合输入'!$M8,"A",IF(AI70&lt;='组合输入'!$N8,"BBB",IF(AI70&lt;='组合输入'!$O8,"BB",IF(AI70&lt;='组合输入'!$P8,"B",IF(AI70&lt;='组合输入'!$Q8,"CCC","D")))))))</f>
        <v/>
      </c>
      <c r="AK70" s="12">
        <f>IF(AJ70="","",INDEX('状态价值'!$D8:$K8,MATCH(AJ70,'状态价值'!$D$1:$K$1,0)))</f>
        <v/>
      </c>
      <c r="AL70" s="15">
        <f>NORM.S.INV(RAND())</f>
        <v/>
      </c>
      <c r="AM70" s="15">
        <f>IF('组合输入'!$C9="","",'组合输入'!$H9*$B70+SQRT(1-'组合输入'!$H9^2)*AL70)</f>
        <v/>
      </c>
      <c r="AN70" s="7">
        <f>IF(AM70="","",NORM.S.DIST(AM70,TRUE))</f>
        <v/>
      </c>
      <c r="AO70" s="13">
        <f>IF(AN70="","",IF(AN70&lt;='组合输入'!$K9,"AAA",IF(AN70&lt;='组合输入'!$L9,"AA",IF(AN70&lt;='组合输入'!$M9,"A",IF(AN70&lt;='组合输入'!$N9,"BBB",IF(AN70&lt;='组合输入'!$O9,"BB",IF(AN70&lt;='组合输入'!$P9,"B",IF(AN70&lt;='组合输入'!$Q9,"CCC","D")))))))</f>
        <v/>
      </c>
      <c r="AP70" s="12">
        <f>IF(AO70="","",INDEX('状态价值'!$D9:$K9,MATCH(AO70,'状态价值'!$D$1:$K$1,0)))</f>
        <v/>
      </c>
      <c r="AQ70" s="15">
        <f>NORM.S.INV(RAND())</f>
        <v/>
      </c>
      <c r="AR70" s="15">
        <f>IF('组合输入'!$C10="","",'组合输入'!$H10*$B70+SQRT(1-'组合输入'!$H10^2)*AQ70)</f>
        <v/>
      </c>
      <c r="AS70" s="7">
        <f>IF(AR70="","",NORM.S.DIST(AR70,TRUE))</f>
        <v/>
      </c>
      <c r="AT70" s="13">
        <f>IF(AS70="","",IF(AS70&lt;='组合输入'!$K10,"AAA",IF(AS70&lt;='组合输入'!$L10,"AA",IF(AS70&lt;='组合输入'!$M10,"A",IF(AS70&lt;='组合输入'!$N10,"BBB",IF(AS70&lt;='组合输入'!$O10,"BB",IF(AS70&lt;='组合输入'!$P10,"B",IF(AS70&lt;='组合输入'!$Q10,"CCC","D")))))))</f>
        <v/>
      </c>
      <c r="AU70" s="12">
        <f>IF(AT70="","",INDEX('状态价值'!$D10:$K10,MATCH(AT70,'状态价值'!$D$1:$K$1,0)))</f>
        <v/>
      </c>
      <c r="AV70" s="15">
        <f>NORM.S.INV(RAND())</f>
        <v/>
      </c>
      <c r="AW70" s="15">
        <f>IF('组合输入'!$C11="","",'组合输入'!$H11*$B70+SQRT(1-'组合输入'!$H11^2)*AV70)</f>
        <v/>
      </c>
      <c r="AX70" s="7">
        <f>IF(AW70="","",NORM.S.DIST(AW70,TRUE))</f>
        <v/>
      </c>
      <c r="AY70" s="13">
        <f>IF(AX70="","",IF(AX70&lt;='组合输入'!$K11,"AAA",IF(AX70&lt;='组合输入'!$L11,"AA",IF(AX70&lt;='组合输入'!$M11,"A",IF(AX70&lt;='组合输入'!$N11,"BBB",IF(AX70&lt;='组合输入'!$O11,"BB",IF(AX70&lt;='组合输入'!$P11,"B",IF(AX70&lt;='组合输入'!$Q11,"CCC","D")))))))</f>
        <v/>
      </c>
      <c r="AZ70" s="12">
        <f>IF(AY70="","",INDEX('状态价值'!$D11:$K11,MATCH(AY70,'状态价值'!$D$1:$K$1,0)))</f>
        <v/>
      </c>
      <c r="BA70" s="12">
        <f>G70+L70+Q70+V70+AA70+AF70+AK70+AP70+AU70+AZ70</f>
        <v/>
      </c>
      <c r="BB70" s="12">
        <f>SUM('组合输入'!$J$2:$J$11)-BA70</f>
        <v/>
      </c>
    </row>
    <row r="71">
      <c r="A71" s="11" t="n">
        <v>70</v>
      </c>
      <c r="B71" s="14">
        <f>NORM.S.INV(RAND())</f>
        <v/>
      </c>
      <c r="C71" s="14">
        <f>NORM.S.INV(RAND())</f>
        <v/>
      </c>
      <c r="D71" s="15">
        <f>IF('组合输入'!$C2="","",'组合输入'!$H2*$B71+SQRT(1-'组合输入'!$H2^2)*C71)</f>
        <v/>
      </c>
      <c r="E71" s="7">
        <f>IF(D71="","",NORM.S.DIST(D71,TRUE))</f>
        <v/>
      </c>
      <c r="F71" s="13">
        <f>IF(E71="","",IF(E71&lt;='组合输入'!$K2,"AAA",IF(E71&lt;='组合输入'!$L2,"AA",IF(E71&lt;='组合输入'!$M2,"A",IF(E71&lt;='组合输入'!$N2,"BBB",IF(E71&lt;='组合输入'!$O2,"BB",IF(E71&lt;='组合输入'!$P2,"B",IF(E71&lt;='组合输入'!$Q2,"CCC","D")))))))</f>
        <v/>
      </c>
      <c r="G71" s="12">
        <f>IF(F71="","",INDEX('状态价值'!$D2:$K2,MATCH(F71,'状态价值'!$D$1:$K$1,0)))</f>
        <v/>
      </c>
      <c r="H71" s="15">
        <f>NORM.S.INV(RAND())</f>
        <v/>
      </c>
      <c r="I71" s="15">
        <f>IF('组合输入'!$C3="","",'组合输入'!$H3*$B71+SQRT(1-'组合输入'!$H3^2)*H71)</f>
        <v/>
      </c>
      <c r="J71" s="7">
        <f>IF(I71="","",NORM.S.DIST(I71,TRUE))</f>
        <v/>
      </c>
      <c r="K71" s="13">
        <f>IF(J71="","",IF(J71&lt;='组合输入'!$K3,"AAA",IF(J71&lt;='组合输入'!$L3,"AA",IF(J71&lt;='组合输入'!$M3,"A",IF(J71&lt;='组合输入'!$N3,"BBB",IF(J71&lt;='组合输入'!$O3,"BB",IF(J71&lt;='组合输入'!$P3,"B",IF(J71&lt;='组合输入'!$Q3,"CCC","D")))))))</f>
        <v/>
      </c>
      <c r="L71" s="12">
        <f>IF(K71="","",INDEX('状态价值'!$D3:$K3,MATCH(K71,'状态价值'!$D$1:$K$1,0)))</f>
        <v/>
      </c>
      <c r="M71" s="15">
        <f>NORM.S.INV(RAND())</f>
        <v/>
      </c>
      <c r="N71" s="15">
        <f>IF('组合输入'!$C4="","",'组合输入'!$H4*$B71+SQRT(1-'组合输入'!$H4^2)*M71)</f>
        <v/>
      </c>
      <c r="O71" s="7">
        <f>IF(N71="","",NORM.S.DIST(N71,TRUE))</f>
        <v/>
      </c>
      <c r="P71" s="13">
        <f>IF(O71="","",IF(O71&lt;='组合输入'!$K4,"AAA",IF(O71&lt;='组合输入'!$L4,"AA",IF(O71&lt;='组合输入'!$M4,"A",IF(O71&lt;='组合输入'!$N4,"BBB",IF(O71&lt;='组合输入'!$O4,"BB",IF(O71&lt;='组合输入'!$P4,"B",IF(O71&lt;='组合输入'!$Q4,"CCC","D")))))))</f>
        <v/>
      </c>
      <c r="Q71" s="12">
        <f>IF(P71="","",INDEX('状态价值'!$D4:$K4,MATCH(P71,'状态价值'!$D$1:$K$1,0)))</f>
        <v/>
      </c>
      <c r="R71" s="15">
        <f>NORM.S.INV(RAND())</f>
        <v/>
      </c>
      <c r="S71" s="15">
        <f>IF('组合输入'!$C5="","",'组合输入'!$H5*$B71+SQRT(1-'组合输入'!$H5^2)*R71)</f>
        <v/>
      </c>
      <c r="T71" s="7">
        <f>IF(S71="","",NORM.S.DIST(S71,TRUE))</f>
        <v/>
      </c>
      <c r="U71" s="13">
        <f>IF(T71="","",IF(T71&lt;='组合输入'!$K5,"AAA",IF(T71&lt;='组合输入'!$L5,"AA",IF(T71&lt;='组合输入'!$M5,"A",IF(T71&lt;='组合输入'!$N5,"BBB",IF(T71&lt;='组合输入'!$O5,"BB",IF(T71&lt;='组合输入'!$P5,"B",IF(T71&lt;='组合输入'!$Q5,"CCC","D")))))))</f>
        <v/>
      </c>
      <c r="V71" s="12">
        <f>IF(U71="","",INDEX('状态价值'!$D5:$K5,MATCH(U71,'状态价值'!$D$1:$K$1,0)))</f>
        <v/>
      </c>
      <c r="W71" s="15">
        <f>NORM.S.INV(RAND())</f>
        <v/>
      </c>
      <c r="X71" s="15">
        <f>IF('组合输入'!$C6="","",'组合输入'!$H6*$B71+SQRT(1-'组合输入'!$H6^2)*W71)</f>
        <v/>
      </c>
      <c r="Y71" s="7">
        <f>IF(X71="","",NORM.S.DIST(X71,TRUE))</f>
        <v/>
      </c>
      <c r="Z71" s="13">
        <f>IF(Y71="","",IF(Y71&lt;='组合输入'!$K6,"AAA",IF(Y71&lt;='组合输入'!$L6,"AA",IF(Y71&lt;='组合输入'!$M6,"A",IF(Y71&lt;='组合输入'!$N6,"BBB",IF(Y71&lt;='组合输入'!$O6,"BB",IF(Y71&lt;='组合输入'!$P6,"B",IF(Y71&lt;='组合输入'!$Q6,"CCC","D")))))))</f>
        <v/>
      </c>
      <c r="AA71" s="12">
        <f>IF(Z71="","",INDEX('状态价值'!$D6:$K6,MATCH(Z71,'状态价值'!$D$1:$K$1,0)))</f>
        <v/>
      </c>
      <c r="AB71" s="15">
        <f>NORM.S.INV(RAND())</f>
        <v/>
      </c>
      <c r="AC71" s="15">
        <f>IF('组合输入'!$C7="","",'组合输入'!$H7*$B71+SQRT(1-'组合输入'!$H7^2)*AB71)</f>
        <v/>
      </c>
      <c r="AD71" s="7">
        <f>IF(AC71="","",NORM.S.DIST(AC71,TRUE))</f>
        <v/>
      </c>
      <c r="AE71" s="13">
        <f>IF(AD71="","",IF(AD71&lt;='组合输入'!$K7,"AAA",IF(AD71&lt;='组合输入'!$L7,"AA",IF(AD71&lt;='组合输入'!$M7,"A",IF(AD71&lt;='组合输入'!$N7,"BBB",IF(AD71&lt;='组合输入'!$O7,"BB",IF(AD71&lt;='组合输入'!$P7,"B",IF(AD71&lt;='组合输入'!$Q7,"CCC","D")))))))</f>
        <v/>
      </c>
      <c r="AF71" s="12">
        <f>IF(AE71="","",INDEX('状态价值'!$D7:$K7,MATCH(AE71,'状态价值'!$D$1:$K$1,0)))</f>
        <v/>
      </c>
      <c r="AG71" s="15">
        <f>NORM.S.INV(RAND())</f>
        <v/>
      </c>
      <c r="AH71" s="15">
        <f>IF('组合输入'!$C8="","",'组合输入'!$H8*$B71+SQRT(1-'组合输入'!$H8^2)*AG71)</f>
        <v/>
      </c>
      <c r="AI71" s="7">
        <f>IF(AH71="","",NORM.S.DIST(AH71,TRUE))</f>
        <v/>
      </c>
      <c r="AJ71" s="13">
        <f>IF(AI71="","",IF(AI71&lt;='组合输入'!$K8,"AAA",IF(AI71&lt;='组合输入'!$L8,"AA",IF(AI71&lt;='组合输入'!$M8,"A",IF(AI71&lt;='组合输入'!$N8,"BBB",IF(AI71&lt;='组合输入'!$O8,"BB",IF(AI71&lt;='组合输入'!$P8,"B",IF(AI71&lt;='组合输入'!$Q8,"CCC","D")))))))</f>
        <v/>
      </c>
      <c r="AK71" s="12">
        <f>IF(AJ71="","",INDEX('状态价值'!$D8:$K8,MATCH(AJ71,'状态价值'!$D$1:$K$1,0)))</f>
        <v/>
      </c>
      <c r="AL71" s="15">
        <f>NORM.S.INV(RAND())</f>
        <v/>
      </c>
      <c r="AM71" s="15">
        <f>IF('组合输入'!$C9="","",'组合输入'!$H9*$B71+SQRT(1-'组合输入'!$H9^2)*AL71)</f>
        <v/>
      </c>
      <c r="AN71" s="7">
        <f>IF(AM71="","",NORM.S.DIST(AM71,TRUE))</f>
        <v/>
      </c>
      <c r="AO71" s="13">
        <f>IF(AN71="","",IF(AN71&lt;='组合输入'!$K9,"AAA",IF(AN71&lt;='组合输入'!$L9,"AA",IF(AN71&lt;='组合输入'!$M9,"A",IF(AN71&lt;='组合输入'!$N9,"BBB",IF(AN71&lt;='组合输入'!$O9,"BB",IF(AN71&lt;='组合输入'!$P9,"B",IF(AN71&lt;='组合输入'!$Q9,"CCC","D")))))))</f>
        <v/>
      </c>
      <c r="AP71" s="12">
        <f>IF(AO71="","",INDEX('状态价值'!$D9:$K9,MATCH(AO71,'状态价值'!$D$1:$K$1,0)))</f>
        <v/>
      </c>
      <c r="AQ71" s="15">
        <f>NORM.S.INV(RAND())</f>
        <v/>
      </c>
      <c r="AR71" s="15">
        <f>IF('组合输入'!$C10="","",'组合输入'!$H10*$B71+SQRT(1-'组合输入'!$H10^2)*AQ71)</f>
        <v/>
      </c>
      <c r="AS71" s="7">
        <f>IF(AR71="","",NORM.S.DIST(AR71,TRUE))</f>
        <v/>
      </c>
      <c r="AT71" s="13">
        <f>IF(AS71="","",IF(AS71&lt;='组合输入'!$K10,"AAA",IF(AS71&lt;='组合输入'!$L10,"AA",IF(AS71&lt;='组合输入'!$M10,"A",IF(AS71&lt;='组合输入'!$N10,"BBB",IF(AS71&lt;='组合输入'!$O10,"BB",IF(AS71&lt;='组合输入'!$P10,"B",IF(AS71&lt;='组合输入'!$Q10,"CCC","D")))))))</f>
        <v/>
      </c>
      <c r="AU71" s="12">
        <f>IF(AT71="","",INDEX('状态价值'!$D10:$K10,MATCH(AT71,'状态价值'!$D$1:$K$1,0)))</f>
        <v/>
      </c>
      <c r="AV71" s="15">
        <f>NORM.S.INV(RAND())</f>
        <v/>
      </c>
      <c r="AW71" s="15">
        <f>IF('组合输入'!$C11="","",'组合输入'!$H11*$B71+SQRT(1-'组合输入'!$H11^2)*AV71)</f>
        <v/>
      </c>
      <c r="AX71" s="7">
        <f>IF(AW71="","",NORM.S.DIST(AW71,TRUE))</f>
        <v/>
      </c>
      <c r="AY71" s="13">
        <f>IF(AX71="","",IF(AX71&lt;='组合输入'!$K11,"AAA",IF(AX71&lt;='组合输入'!$L11,"AA",IF(AX71&lt;='组合输入'!$M11,"A",IF(AX71&lt;='组合输入'!$N11,"BBB",IF(AX71&lt;='组合输入'!$O11,"BB",IF(AX71&lt;='组合输入'!$P11,"B",IF(AX71&lt;='组合输入'!$Q11,"CCC","D")))))))</f>
        <v/>
      </c>
      <c r="AZ71" s="12">
        <f>IF(AY71="","",INDEX('状态价值'!$D11:$K11,MATCH(AY71,'状态价值'!$D$1:$K$1,0)))</f>
        <v/>
      </c>
      <c r="BA71" s="12">
        <f>G71+L71+Q71+V71+AA71+AF71+AK71+AP71+AU71+AZ71</f>
        <v/>
      </c>
      <c r="BB71" s="12">
        <f>SUM('组合输入'!$J$2:$J$11)-BA71</f>
        <v/>
      </c>
    </row>
    <row r="72">
      <c r="A72" s="11" t="n">
        <v>71</v>
      </c>
      <c r="B72" s="14">
        <f>NORM.S.INV(RAND())</f>
        <v/>
      </c>
      <c r="C72" s="14">
        <f>NORM.S.INV(RAND())</f>
        <v/>
      </c>
      <c r="D72" s="15">
        <f>IF('组合输入'!$C2="","",'组合输入'!$H2*$B72+SQRT(1-'组合输入'!$H2^2)*C72)</f>
        <v/>
      </c>
      <c r="E72" s="7">
        <f>IF(D72="","",NORM.S.DIST(D72,TRUE))</f>
        <v/>
      </c>
      <c r="F72" s="13">
        <f>IF(E72="","",IF(E72&lt;='组合输入'!$K2,"AAA",IF(E72&lt;='组合输入'!$L2,"AA",IF(E72&lt;='组合输入'!$M2,"A",IF(E72&lt;='组合输入'!$N2,"BBB",IF(E72&lt;='组合输入'!$O2,"BB",IF(E72&lt;='组合输入'!$P2,"B",IF(E72&lt;='组合输入'!$Q2,"CCC","D")))))))</f>
        <v/>
      </c>
      <c r="G72" s="12">
        <f>IF(F72="","",INDEX('状态价值'!$D2:$K2,MATCH(F72,'状态价值'!$D$1:$K$1,0)))</f>
        <v/>
      </c>
      <c r="H72" s="15">
        <f>NORM.S.INV(RAND())</f>
        <v/>
      </c>
      <c r="I72" s="15">
        <f>IF('组合输入'!$C3="","",'组合输入'!$H3*$B72+SQRT(1-'组合输入'!$H3^2)*H72)</f>
        <v/>
      </c>
      <c r="J72" s="7">
        <f>IF(I72="","",NORM.S.DIST(I72,TRUE))</f>
        <v/>
      </c>
      <c r="K72" s="13">
        <f>IF(J72="","",IF(J72&lt;='组合输入'!$K3,"AAA",IF(J72&lt;='组合输入'!$L3,"AA",IF(J72&lt;='组合输入'!$M3,"A",IF(J72&lt;='组合输入'!$N3,"BBB",IF(J72&lt;='组合输入'!$O3,"BB",IF(J72&lt;='组合输入'!$P3,"B",IF(J72&lt;='组合输入'!$Q3,"CCC","D")))))))</f>
        <v/>
      </c>
      <c r="L72" s="12">
        <f>IF(K72="","",INDEX('状态价值'!$D3:$K3,MATCH(K72,'状态价值'!$D$1:$K$1,0)))</f>
        <v/>
      </c>
      <c r="M72" s="15">
        <f>NORM.S.INV(RAND())</f>
        <v/>
      </c>
      <c r="N72" s="15">
        <f>IF('组合输入'!$C4="","",'组合输入'!$H4*$B72+SQRT(1-'组合输入'!$H4^2)*M72)</f>
        <v/>
      </c>
      <c r="O72" s="7">
        <f>IF(N72="","",NORM.S.DIST(N72,TRUE))</f>
        <v/>
      </c>
      <c r="P72" s="13">
        <f>IF(O72="","",IF(O72&lt;='组合输入'!$K4,"AAA",IF(O72&lt;='组合输入'!$L4,"AA",IF(O72&lt;='组合输入'!$M4,"A",IF(O72&lt;='组合输入'!$N4,"BBB",IF(O72&lt;='组合输入'!$O4,"BB",IF(O72&lt;='组合输入'!$P4,"B",IF(O72&lt;='组合输入'!$Q4,"CCC","D")))))))</f>
        <v/>
      </c>
      <c r="Q72" s="12">
        <f>IF(P72="","",INDEX('状态价值'!$D4:$K4,MATCH(P72,'状态价值'!$D$1:$K$1,0)))</f>
        <v/>
      </c>
      <c r="R72" s="15">
        <f>NORM.S.INV(RAND())</f>
        <v/>
      </c>
      <c r="S72" s="15">
        <f>IF('组合输入'!$C5="","",'组合输入'!$H5*$B72+SQRT(1-'组合输入'!$H5^2)*R72)</f>
        <v/>
      </c>
      <c r="T72" s="7">
        <f>IF(S72="","",NORM.S.DIST(S72,TRUE))</f>
        <v/>
      </c>
      <c r="U72" s="13">
        <f>IF(T72="","",IF(T72&lt;='组合输入'!$K5,"AAA",IF(T72&lt;='组合输入'!$L5,"AA",IF(T72&lt;='组合输入'!$M5,"A",IF(T72&lt;='组合输入'!$N5,"BBB",IF(T72&lt;='组合输入'!$O5,"BB",IF(T72&lt;='组合输入'!$P5,"B",IF(T72&lt;='组合输入'!$Q5,"CCC","D")))))))</f>
        <v/>
      </c>
      <c r="V72" s="12">
        <f>IF(U72="","",INDEX('状态价值'!$D5:$K5,MATCH(U72,'状态价值'!$D$1:$K$1,0)))</f>
        <v/>
      </c>
      <c r="W72" s="15">
        <f>NORM.S.INV(RAND())</f>
        <v/>
      </c>
      <c r="X72" s="15">
        <f>IF('组合输入'!$C6="","",'组合输入'!$H6*$B72+SQRT(1-'组合输入'!$H6^2)*W72)</f>
        <v/>
      </c>
      <c r="Y72" s="7">
        <f>IF(X72="","",NORM.S.DIST(X72,TRUE))</f>
        <v/>
      </c>
      <c r="Z72" s="13">
        <f>IF(Y72="","",IF(Y72&lt;='组合输入'!$K6,"AAA",IF(Y72&lt;='组合输入'!$L6,"AA",IF(Y72&lt;='组合输入'!$M6,"A",IF(Y72&lt;='组合输入'!$N6,"BBB",IF(Y72&lt;='组合输入'!$O6,"BB",IF(Y72&lt;='组合输入'!$P6,"B",IF(Y72&lt;='组合输入'!$Q6,"CCC","D")))))))</f>
        <v/>
      </c>
      <c r="AA72" s="12">
        <f>IF(Z72="","",INDEX('状态价值'!$D6:$K6,MATCH(Z72,'状态价值'!$D$1:$K$1,0)))</f>
        <v/>
      </c>
      <c r="AB72" s="15">
        <f>NORM.S.INV(RAND())</f>
        <v/>
      </c>
      <c r="AC72" s="15">
        <f>IF('组合输入'!$C7="","",'组合输入'!$H7*$B72+SQRT(1-'组合输入'!$H7^2)*AB72)</f>
        <v/>
      </c>
      <c r="AD72" s="7">
        <f>IF(AC72="","",NORM.S.DIST(AC72,TRUE))</f>
        <v/>
      </c>
      <c r="AE72" s="13">
        <f>IF(AD72="","",IF(AD72&lt;='组合输入'!$K7,"AAA",IF(AD72&lt;='组合输入'!$L7,"AA",IF(AD72&lt;='组合输入'!$M7,"A",IF(AD72&lt;='组合输入'!$N7,"BBB",IF(AD72&lt;='组合输入'!$O7,"BB",IF(AD72&lt;='组合输入'!$P7,"B",IF(AD72&lt;='组合输入'!$Q7,"CCC","D")))))))</f>
        <v/>
      </c>
      <c r="AF72" s="12">
        <f>IF(AE72="","",INDEX('状态价值'!$D7:$K7,MATCH(AE72,'状态价值'!$D$1:$K$1,0)))</f>
        <v/>
      </c>
      <c r="AG72" s="15">
        <f>NORM.S.INV(RAND())</f>
        <v/>
      </c>
      <c r="AH72" s="15">
        <f>IF('组合输入'!$C8="","",'组合输入'!$H8*$B72+SQRT(1-'组合输入'!$H8^2)*AG72)</f>
        <v/>
      </c>
      <c r="AI72" s="7">
        <f>IF(AH72="","",NORM.S.DIST(AH72,TRUE))</f>
        <v/>
      </c>
      <c r="AJ72" s="13">
        <f>IF(AI72="","",IF(AI72&lt;='组合输入'!$K8,"AAA",IF(AI72&lt;='组合输入'!$L8,"AA",IF(AI72&lt;='组合输入'!$M8,"A",IF(AI72&lt;='组合输入'!$N8,"BBB",IF(AI72&lt;='组合输入'!$O8,"BB",IF(AI72&lt;='组合输入'!$P8,"B",IF(AI72&lt;='组合输入'!$Q8,"CCC","D")))))))</f>
        <v/>
      </c>
      <c r="AK72" s="12">
        <f>IF(AJ72="","",INDEX('状态价值'!$D8:$K8,MATCH(AJ72,'状态价值'!$D$1:$K$1,0)))</f>
        <v/>
      </c>
      <c r="AL72" s="15">
        <f>NORM.S.INV(RAND())</f>
        <v/>
      </c>
      <c r="AM72" s="15">
        <f>IF('组合输入'!$C9="","",'组合输入'!$H9*$B72+SQRT(1-'组合输入'!$H9^2)*AL72)</f>
        <v/>
      </c>
      <c r="AN72" s="7">
        <f>IF(AM72="","",NORM.S.DIST(AM72,TRUE))</f>
        <v/>
      </c>
      <c r="AO72" s="13">
        <f>IF(AN72="","",IF(AN72&lt;='组合输入'!$K9,"AAA",IF(AN72&lt;='组合输入'!$L9,"AA",IF(AN72&lt;='组合输入'!$M9,"A",IF(AN72&lt;='组合输入'!$N9,"BBB",IF(AN72&lt;='组合输入'!$O9,"BB",IF(AN72&lt;='组合输入'!$P9,"B",IF(AN72&lt;='组合输入'!$Q9,"CCC","D")))))))</f>
        <v/>
      </c>
      <c r="AP72" s="12">
        <f>IF(AO72="","",INDEX('状态价值'!$D9:$K9,MATCH(AO72,'状态价值'!$D$1:$K$1,0)))</f>
        <v/>
      </c>
      <c r="AQ72" s="15">
        <f>NORM.S.INV(RAND())</f>
        <v/>
      </c>
      <c r="AR72" s="15">
        <f>IF('组合输入'!$C10="","",'组合输入'!$H10*$B72+SQRT(1-'组合输入'!$H10^2)*AQ72)</f>
        <v/>
      </c>
      <c r="AS72" s="7">
        <f>IF(AR72="","",NORM.S.DIST(AR72,TRUE))</f>
        <v/>
      </c>
      <c r="AT72" s="13">
        <f>IF(AS72="","",IF(AS72&lt;='组合输入'!$K10,"AAA",IF(AS72&lt;='组合输入'!$L10,"AA",IF(AS72&lt;='组合输入'!$M10,"A",IF(AS72&lt;='组合输入'!$N10,"BBB",IF(AS72&lt;='组合输入'!$O10,"BB",IF(AS72&lt;='组合输入'!$P10,"B",IF(AS72&lt;='组合输入'!$Q10,"CCC","D")))))))</f>
        <v/>
      </c>
      <c r="AU72" s="12">
        <f>IF(AT72="","",INDEX('状态价值'!$D10:$K10,MATCH(AT72,'状态价值'!$D$1:$K$1,0)))</f>
        <v/>
      </c>
      <c r="AV72" s="15">
        <f>NORM.S.INV(RAND())</f>
        <v/>
      </c>
      <c r="AW72" s="15">
        <f>IF('组合输入'!$C11="","",'组合输入'!$H11*$B72+SQRT(1-'组合输入'!$H11^2)*AV72)</f>
        <v/>
      </c>
      <c r="AX72" s="7">
        <f>IF(AW72="","",NORM.S.DIST(AW72,TRUE))</f>
        <v/>
      </c>
      <c r="AY72" s="13">
        <f>IF(AX72="","",IF(AX72&lt;='组合输入'!$K11,"AAA",IF(AX72&lt;='组合输入'!$L11,"AA",IF(AX72&lt;='组合输入'!$M11,"A",IF(AX72&lt;='组合输入'!$N11,"BBB",IF(AX72&lt;='组合输入'!$O11,"BB",IF(AX72&lt;='组合输入'!$P11,"B",IF(AX72&lt;='组合输入'!$Q11,"CCC","D")))))))</f>
        <v/>
      </c>
      <c r="AZ72" s="12">
        <f>IF(AY72="","",INDEX('状态价值'!$D11:$K11,MATCH(AY72,'状态价值'!$D$1:$K$1,0)))</f>
        <v/>
      </c>
      <c r="BA72" s="12">
        <f>G72+L72+Q72+V72+AA72+AF72+AK72+AP72+AU72+AZ72</f>
        <v/>
      </c>
      <c r="BB72" s="12">
        <f>SUM('组合输入'!$J$2:$J$11)-BA72</f>
        <v/>
      </c>
    </row>
    <row r="73">
      <c r="A73" s="11" t="n">
        <v>72</v>
      </c>
      <c r="B73" s="14">
        <f>NORM.S.INV(RAND())</f>
        <v/>
      </c>
      <c r="C73" s="14">
        <f>NORM.S.INV(RAND())</f>
        <v/>
      </c>
      <c r="D73" s="15">
        <f>IF('组合输入'!$C2="","",'组合输入'!$H2*$B73+SQRT(1-'组合输入'!$H2^2)*C73)</f>
        <v/>
      </c>
      <c r="E73" s="7">
        <f>IF(D73="","",NORM.S.DIST(D73,TRUE))</f>
        <v/>
      </c>
      <c r="F73" s="13">
        <f>IF(E73="","",IF(E73&lt;='组合输入'!$K2,"AAA",IF(E73&lt;='组合输入'!$L2,"AA",IF(E73&lt;='组合输入'!$M2,"A",IF(E73&lt;='组合输入'!$N2,"BBB",IF(E73&lt;='组合输入'!$O2,"BB",IF(E73&lt;='组合输入'!$P2,"B",IF(E73&lt;='组合输入'!$Q2,"CCC","D")))))))</f>
        <v/>
      </c>
      <c r="G73" s="12">
        <f>IF(F73="","",INDEX('状态价值'!$D2:$K2,MATCH(F73,'状态价值'!$D$1:$K$1,0)))</f>
        <v/>
      </c>
      <c r="H73" s="15">
        <f>NORM.S.INV(RAND())</f>
        <v/>
      </c>
      <c r="I73" s="15">
        <f>IF('组合输入'!$C3="","",'组合输入'!$H3*$B73+SQRT(1-'组合输入'!$H3^2)*H73)</f>
        <v/>
      </c>
      <c r="J73" s="7">
        <f>IF(I73="","",NORM.S.DIST(I73,TRUE))</f>
        <v/>
      </c>
      <c r="K73" s="13">
        <f>IF(J73="","",IF(J73&lt;='组合输入'!$K3,"AAA",IF(J73&lt;='组合输入'!$L3,"AA",IF(J73&lt;='组合输入'!$M3,"A",IF(J73&lt;='组合输入'!$N3,"BBB",IF(J73&lt;='组合输入'!$O3,"BB",IF(J73&lt;='组合输入'!$P3,"B",IF(J73&lt;='组合输入'!$Q3,"CCC","D")))))))</f>
        <v/>
      </c>
      <c r="L73" s="12">
        <f>IF(K73="","",INDEX('状态价值'!$D3:$K3,MATCH(K73,'状态价值'!$D$1:$K$1,0)))</f>
        <v/>
      </c>
      <c r="M73" s="15">
        <f>NORM.S.INV(RAND())</f>
        <v/>
      </c>
      <c r="N73" s="15">
        <f>IF('组合输入'!$C4="","",'组合输入'!$H4*$B73+SQRT(1-'组合输入'!$H4^2)*M73)</f>
        <v/>
      </c>
      <c r="O73" s="7">
        <f>IF(N73="","",NORM.S.DIST(N73,TRUE))</f>
        <v/>
      </c>
      <c r="P73" s="13">
        <f>IF(O73="","",IF(O73&lt;='组合输入'!$K4,"AAA",IF(O73&lt;='组合输入'!$L4,"AA",IF(O73&lt;='组合输入'!$M4,"A",IF(O73&lt;='组合输入'!$N4,"BBB",IF(O73&lt;='组合输入'!$O4,"BB",IF(O73&lt;='组合输入'!$P4,"B",IF(O73&lt;='组合输入'!$Q4,"CCC","D")))))))</f>
        <v/>
      </c>
      <c r="Q73" s="12">
        <f>IF(P73="","",INDEX('状态价值'!$D4:$K4,MATCH(P73,'状态价值'!$D$1:$K$1,0)))</f>
        <v/>
      </c>
      <c r="R73" s="15">
        <f>NORM.S.INV(RAND())</f>
        <v/>
      </c>
      <c r="S73" s="15">
        <f>IF('组合输入'!$C5="","",'组合输入'!$H5*$B73+SQRT(1-'组合输入'!$H5^2)*R73)</f>
        <v/>
      </c>
      <c r="T73" s="7">
        <f>IF(S73="","",NORM.S.DIST(S73,TRUE))</f>
        <v/>
      </c>
      <c r="U73" s="13">
        <f>IF(T73="","",IF(T73&lt;='组合输入'!$K5,"AAA",IF(T73&lt;='组合输入'!$L5,"AA",IF(T73&lt;='组合输入'!$M5,"A",IF(T73&lt;='组合输入'!$N5,"BBB",IF(T73&lt;='组合输入'!$O5,"BB",IF(T73&lt;='组合输入'!$P5,"B",IF(T73&lt;='组合输入'!$Q5,"CCC","D")))))))</f>
        <v/>
      </c>
      <c r="V73" s="12">
        <f>IF(U73="","",INDEX('状态价值'!$D5:$K5,MATCH(U73,'状态价值'!$D$1:$K$1,0)))</f>
        <v/>
      </c>
      <c r="W73" s="15">
        <f>NORM.S.INV(RAND())</f>
        <v/>
      </c>
      <c r="X73" s="15">
        <f>IF('组合输入'!$C6="","",'组合输入'!$H6*$B73+SQRT(1-'组合输入'!$H6^2)*W73)</f>
        <v/>
      </c>
      <c r="Y73" s="7">
        <f>IF(X73="","",NORM.S.DIST(X73,TRUE))</f>
        <v/>
      </c>
      <c r="Z73" s="13">
        <f>IF(Y73="","",IF(Y73&lt;='组合输入'!$K6,"AAA",IF(Y73&lt;='组合输入'!$L6,"AA",IF(Y73&lt;='组合输入'!$M6,"A",IF(Y73&lt;='组合输入'!$N6,"BBB",IF(Y73&lt;='组合输入'!$O6,"BB",IF(Y73&lt;='组合输入'!$P6,"B",IF(Y73&lt;='组合输入'!$Q6,"CCC","D")))))))</f>
        <v/>
      </c>
      <c r="AA73" s="12">
        <f>IF(Z73="","",INDEX('状态价值'!$D6:$K6,MATCH(Z73,'状态价值'!$D$1:$K$1,0)))</f>
        <v/>
      </c>
      <c r="AB73" s="15">
        <f>NORM.S.INV(RAND())</f>
        <v/>
      </c>
      <c r="AC73" s="15">
        <f>IF('组合输入'!$C7="","",'组合输入'!$H7*$B73+SQRT(1-'组合输入'!$H7^2)*AB73)</f>
        <v/>
      </c>
      <c r="AD73" s="7">
        <f>IF(AC73="","",NORM.S.DIST(AC73,TRUE))</f>
        <v/>
      </c>
      <c r="AE73" s="13">
        <f>IF(AD73="","",IF(AD73&lt;='组合输入'!$K7,"AAA",IF(AD73&lt;='组合输入'!$L7,"AA",IF(AD73&lt;='组合输入'!$M7,"A",IF(AD73&lt;='组合输入'!$N7,"BBB",IF(AD73&lt;='组合输入'!$O7,"BB",IF(AD73&lt;='组合输入'!$P7,"B",IF(AD73&lt;='组合输入'!$Q7,"CCC","D")))))))</f>
        <v/>
      </c>
      <c r="AF73" s="12">
        <f>IF(AE73="","",INDEX('状态价值'!$D7:$K7,MATCH(AE73,'状态价值'!$D$1:$K$1,0)))</f>
        <v/>
      </c>
      <c r="AG73" s="15">
        <f>NORM.S.INV(RAND())</f>
        <v/>
      </c>
      <c r="AH73" s="15">
        <f>IF('组合输入'!$C8="","",'组合输入'!$H8*$B73+SQRT(1-'组合输入'!$H8^2)*AG73)</f>
        <v/>
      </c>
      <c r="AI73" s="7">
        <f>IF(AH73="","",NORM.S.DIST(AH73,TRUE))</f>
        <v/>
      </c>
      <c r="AJ73" s="13">
        <f>IF(AI73="","",IF(AI73&lt;='组合输入'!$K8,"AAA",IF(AI73&lt;='组合输入'!$L8,"AA",IF(AI73&lt;='组合输入'!$M8,"A",IF(AI73&lt;='组合输入'!$N8,"BBB",IF(AI73&lt;='组合输入'!$O8,"BB",IF(AI73&lt;='组合输入'!$P8,"B",IF(AI73&lt;='组合输入'!$Q8,"CCC","D")))))))</f>
        <v/>
      </c>
      <c r="AK73" s="12">
        <f>IF(AJ73="","",INDEX('状态价值'!$D8:$K8,MATCH(AJ73,'状态价值'!$D$1:$K$1,0)))</f>
        <v/>
      </c>
      <c r="AL73" s="15">
        <f>NORM.S.INV(RAND())</f>
        <v/>
      </c>
      <c r="AM73" s="15">
        <f>IF('组合输入'!$C9="","",'组合输入'!$H9*$B73+SQRT(1-'组合输入'!$H9^2)*AL73)</f>
        <v/>
      </c>
      <c r="AN73" s="7">
        <f>IF(AM73="","",NORM.S.DIST(AM73,TRUE))</f>
        <v/>
      </c>
      <c r="AO73" s="13">
        <f>IF(AN73="","",IF(AN73&lt;='组合输入'!$K9,"AAA",IF(AN73&lt;='组合输入'!$L9,"AA",IF(AN73&lt;='组合输入'!$M9,"A",IF(AN73&lt;='组合输入'!$N9,"BBB",IF(AN73&lt;='组合输入'!$O9,"BB",IF(AN73&lt;='组合输入'!$P9,"B",IF(AN73&lt;='组合输入'!$Q9,"CCC","D")))))))</f>
        <v/>
      </c>
      <c r="AP73" s="12">
        <f>IF(AO73="","",INDEX('状态价值'!$D9:$K9,MATCH(AO73,'状态价值'!$D$1:$K$1,0)))</f>
        <v/>
      </c>
      <c r="AQ73" s="15">
        <f>NORM.S.INV(RAND())</f>
        <v/>
      </c>
      <c r="AR73" s="15">
        <f>IF('组合输入'!$C10="","",'组合输入'!$H10*$B73+SQRT(1-'组合输入'!$H10^2)*AQ73)</f>
        <v/>
      </c>
      <c r="AS73" s="7">
        <f>IF(AR73="","",NORM.S.DIST(AR73,TRUE))</f>
        <v/>
      </c>
      <c r="AT73" s="13">
        <f>IF(AS73="","",IF(AS73&lt;='组合输入'!$K10,"AAA",IF(AS73&lt;='组合输入'!$L10,"AA",IF(AS73&lt;='组合输入'!$M10,"A",IF(AS73&lt;='组合输入'!$N10,"BBB",IF(AS73&lt;='组合输入'!$O10,"BB",IF(AS73&lt;='组合输入'!$P10,"B",IF(AS73&lt;='组合输入'!$Q10,"CCC","D")))))))</f>
        <v/>
      </c>
      <c r="AU73" s="12">
        <f>IF(AT73="","",INDEX('状态价值'!$D10:$K10,MATCH(AT73,'状态价值'!$D$1:$K$1,0)))</f>
        <v/>
      </c>
      <c r="AV73" s="15">
        <f>NORM.S.INV(RAND())</f>
        <v/>
      </c>
      <c r="AW73" s="15">
        <f>IF('组合输入'!$C11="","",'组合输入'!$H11*$B73+SQRT(1-'组合输入'!$H11^2)*AV73)</f>
        <v/>
      </c>
      <c r="AX73" s="7">
        <f>IF(AW73="","",NORM.S.DIST(AW73,TRUE))</f>
        <v/>
      </c>
      <c r="AY73" s="13">
        <f>IF(AX73="","",IF(AX73&lt;='组合输入'!$K11,"AAA",IF(AX73&lt;='组合输入'!$L11,"AA",IF(AX73&lt;='组合输入'!$M11,"A",IF(AX73&lt;='组合输入'!$N11,"BBB",IF(AX73&lt;='组合输入'!$O11,"BB",IF(AX73&lt;='组合输入'!$P11,"B",IF(AX73&lt;='组合输入'!$Q11,"CCC","D")))))))</f>
        <v/>
      </c>
      <c r="AZ73" s="12">
        <f>IF(AY73="","",INDEX('状态价值'!$D11:$K11,MATCH(AY73,'状态价值'!$D$1:$K$1,0)))</f>
        <v/>
      </c>
      <c r="BA73" s="12">
        <f>G73+L73+Q73+V73+AA73+AF73+AK73+AP73+AU73+AZ73</f>
        <v/>
      </c>
      <c r="BB73" s="12">
        <f>SUM('组合输入'!$J$2:$J$11)-BA73</f>
        <v/>
      </c>
    </row>
    <row r="74">
      <c r="A74" s="11" t="n">
        <v>73</v>
      </c>
      <c r="B74" s="14">
        <f>NORM.S.INV(RAND())</f>
        <v/>
      </c>
      <c r="C74" s="14">
        <f>NORM.S.INV(RAND())</f>
        <v/>
      </c>
      <c r="D74" s="15">
        <f>IF('组合输入'!$C2="","",'组合输入'!$H2*$B74+SQRT(1-'组合输入'!$H2^2)*C74)</f>
        <v/>
      </c>
      <c r="E74" s="7">
        <f>IF(D74="","",NORM.S.DIST(D74,TRUE))</f>
        <v/>
      </c>
      <c r="F74" s="13">
        <f>IF(E74="","",IF(E74&lt;='组合输入'!$K2,"AAA",IF(E74&lt;='组合输入'!$L2,"AA",IF(E74&lt;='组合输入'!$M2,"A",IF(E74&lt;='组合输入'!$N2,"BBB",IF(E74&lt;='组合输入'!$O2,"BB",IF(E74&lt;='组合输入'!$P2,"B",IF(E74&lt;='组合输入'!$Q2,"CCC","D")))))))</f>
        <v/>
      </c>
      <c r="G74" s="12">
        <f>IF(F74="","",INDEX('状态价值'!$D2:$K2,MATCH(F74,'状态价值'!$D$1:$K$1,0)))</f>
        <v/>
      </c>
      <c r="H74" s="15">
        <f>NORM.S.INV(RAND())</f>
        <v/>
      </c>
      <c r="I74" s="15">
        <f>IF('组合输入'!$C3="","",'组合输入'!$H3*$B74+SQRT(1-'组合输入'!$H3^2)*H74)</f>
        <v/>
      </c>
      <c r="J74" s="7">
        <f>IF(I74="","",NORM.S.DIST(I74,TRUE))</f>
        <v/>
      </c>
      <c r="K74" s="13">
        <f>IF(J74="","",IF(J74&lt;='组合输入'!$K3,"AAA",IF(J74&lt;='组合输入'!$L3,"AA",IF(J74&lt;='组合输入'!$M3,"A",IF(J74&lt;='组合输入'!$N3,"BBB",IF(J74&lt;='组合输入'!$O3,"BB",IF(J74&lt;='组合输入'!$P3,"B",IF(J74&lt;='组合输入'!$Q3,"CCC","D")))))))</f>
        <v/>
      </c>
      <c r="L74" s="12">
        <f>IF(K74="","",INDEX('状态价值'!$D3:$K3,MATCH(K74,'状态价值'!$D$1:$K$1,0)))</f>
        <v/>
      </c>
      <c r="M74" s="15">
        <f>NORM.S.INV(RAND())</f>
        <v/>
      </c>
      <c r="N74" s="15">
        <f>IF('组合输入'!$C4="","",'组合输入'!$H4*$B74+SQRT(1-'组合输入'!$H4^2)*M74)</f>
        <v/>
      </c>
      <c r="O74" s="7">
        <f>IF(N74="","",NORM.S.DIST(N74,TRUE))</f>
        <v/>
      </c>
      <c r="P74" s="13">
        <f>IF(O74="","",IF(O74&lt;='组合输入'!$K4,"AAA",IF(O74&lt;='组合输入'!$L4,"AA",IF(O74&lt;='组合输入'!$M4,"A",IF(O74&lt;='组合输入'!$N4,"BBB",IF(O74&lt;='组合输入'!$O4,"BB",IF(O74&lt;='组合输入'!$P4,"B",IF(O74&lt;='组合输入'!$Q4,"CCC","D")))))))</f>
        <v/>
      </c>
      <c r="Q74" s="12">
        <f>IF(P74="","",INDEX('状态价值'!$D4:$K4,MATCH(P74,'状态价值'!$D$1:$K$1,0)))</f>
        <v/>
      </c>
      <c r="R74" s="15">
        <f>NORM.S.INV(RAND())</f>
        <v/>
      </c>
      <c r="S74" s="15">
        <f>IF('组合输入'!$C5="","",'组合输入'!$H5*$B74+SQRT(1-'组合输入'!$H5^2)*R74)</f>
        <v/>
      </c>
      <c r="T74" s="7">
        <f>IF(S74="","",NORM.S.DIST(S74,TRUE))</f>
        <v/>
      </c>
      <c r="U74" s="13">
        <f>IF(T74="","",IF(T74&lt;='组合输入'!$K5,"AAA",IF(T74&lt;='组合输入'!$L5,"AA",IF(T74&lt;='组合输入'!$M5,"A",IF(T74&lt;='组合输入'!$N5,"BBB",IF(T74&lt;='组合输入'!$O5,"BB",IF(T74&lt;='组合输入'!$P5,"B",IF(T74&lt;='组合输入'!$Q5,"CCC","D")))))))</f>
        <v/>
      </c>
      <c r="V74" s="12">
        <f>IF(U74="","",INDEX('状态价值'!$D5:$K5,MATCH(U74,'状态价值'!$D$1:$K$1,0)))</f>
        <v/>
      </c>
      <c r="W74" s="15">
        <f>NORM.S.INV(RAND())</f>
        <v/>
      </c>
      <c r="X74" s="15">
        <f>IF('组合输入'!$C6="","",'组合输入'!$H6*$B74+SQRT(1-'组合输入'!$H6^2)*W74)</f>
        <v/>
      </c>
      <c r="Y74" s="7">
        <f>IF(X74="","",NORM.S.DIST(X74,TRUE))</f>
        <v/>
      </c>
      <c r="Z74" s="13">
        <f>IF(Y74="","",IF(Y74&lt;='组合输入'!$K6,"AAA",IF(Y74&lt;='组合输入'!$L6,"AA",IF(Y74&lt;='组合输入'!$M6,"A",IF(Y74&lt;='组合输入'!$N6,"BBB",IF(Y74&lt;='组合输入'!$O6,"BB",IF(Y74&lt;='组合输入'!$P6,"B",IF(Y74&lt;='组合输入'!$Q6,"CCC","D")))))))</f>
        <v/>
      </c>
      <c r="AA74" s="12">
        <f>IF(Z74="","",INDEX('状态价值'!$D6:$K6,MATCH(Z74,'状态价值'!$D$1:$K$1,0)))</f>
        <v/>
      </c>
      <c r="AB74" s="15">
        <f>NORM.S.INV(RAND())</f>
        <v/>
      </c>
      <c r="AC74" s="15">
        <f>IF('组合输入'!$C7="","",'组合输入'!$H7*$B74+SQRT(1-'组合输入'!$H7^2)*AB74)</f>
        <v/>
      </c>
      <c r="AD74" s="7">
        <f>IF(AC74="","",NORM.S.DIST(AC74,TRUE))</f>
        <v/>
      </c>
      <c r="AE74" s="13">
        <f>IF(AD74="","",IF(AD74&lt;='组合输入'!$K7,"AAA",IF(AD74&lt;='组合输入'!$L7,"AA",IF(AD74&lt;='组合输入'!$M7,"A",IF(AD74&lt;='组合输入'!$N7,"BBB",IF(AD74&lt;='组合输入'!$O7,"BB",IF(AD74&lt;='组合输入'!$P7,"B",IF(AD74&lt;='组合输入'!$Q7,"CCC","D")))))))</f>
        <v/>
      </c>
      <c r="AF74" s="12">
        <f>IF(AE74="","",INDEX('状态价值'!$D7:$K7,MATCH(AE74,'状态价值'!$D$1:$K$1,0)))</f>
        <v/>
      </c>
      <c r="AG74" s="15">
        <f>NORM.S.INV(RAND())</f>
        <v/>
      </c>
      <c r="AH74" s="15">
        <f>IF('组合输入'!$C8="","",'组合输入'!$H8*$B74+SQRT(1-'组合输入'!$H8^2)*AG74)</f>
        <v/>
      </c>
      <c r="AI74" s="7">
        <f>IF(AH74="","",NORM.S.DIST(AH74,TRUE))</f>
        <v/>
      </c>
      <c r="AJ74" s="13">
        <f>IF(AI74="","",IF(AI74&lt;='组合输入'!$K8,"AAA",IF(AI74&lt;='组合输入'!$L8,"AA",IF(AI74&lt;='组合输入'!$M8,"A",IF(AI74&lt;='组合输入'!$N8,"BBB",IF(AI74&lt;='组合输入'!$O8,"BB",IF(AI74&lt;='组合输入'!$P8,"B",IF(AI74&lt;='组合输入'!$Q8,"CCC","D")))))))</f>
        <v/>
      </c>
      <c r="AK74" s="12">
        <f>IF(AJ74="","",INDEX('状态价值'!$D8:$K8,MATCH(AJ74,'状态价值'!$D$1:$K$1,0)))</f>
        <v/>
      </c>
      <c r="AL74" s="15">
        <f>NORM.S.INV(RAND())</f>
        <v/>
      </c>
      <c r="AM74" s="15">
        <f>IF('组合输入'!$C9="","",'组合输入'!$H9*$B74+SQRT(1-'组合输入'!$H9^2)*AL74)</f>
        <v/>
      </c>
      <c r="AN74" s="7">
        <f>IF(AM74="","",NORM.S.DIST(AM74,TRUE))</f>
        <v/>
      </c>
      <c r="AO74" s="13">
        <f>IF(AN74="","",IF(AN74&lt;='组合输入'!$K9,"AAA",IF(AN74&lt;='组合输入'!$L9,"AA",IF(AN74&lt;='组合输入'!$M9,"A",IF(AN74&lt;='组合输入'!$N9,"BBB",IF(AN74&lt;='组合输入'!$O9,"BB",IF(AN74&lt;='组合输入'!$P9,"B",IF(AN74&lt;='组合输入'!$Q9,"CCC","D")))))))</f>
        <v/>
      </c>
      <c r="AP74" s="12">
        <f>IF(AO74="","",INDEX('状态价值'!$D9:$K9,MATCH(AO74,'状态价值'!$D$1:$K$1,0)))</f>
        <v/>
      </c>
      <c r="AQ74" s="15">
        <f>NORM.S.INV(RAND())</f>
        <v/>
      </c>
      <c r="AR74" s="15">
        <f>IF('组合输入'!$C10="","",'组合输入'!$H10*$B74+SQRT(1-'组合输入'!$H10^2)*AQ74)</f>
        <v/>
      </c>
      <c r="AS74" s="7">
        <f>IF(AR74="","",NORM.S.DIST(AR74,TRUE))</f>
        <v/>
      </c>
      <c r="AT74" s="13">
        <f>IF(AS74="","",IF(AS74&lt;='组合输入'!$K10,"AAA",IF(AS74&lt;='组合输入'!$L10,"AA",IF(AS74&lt;='组合输入'!$M10,"A",IF(AS74&lt;='组合输入'!$N10,"BBB",IF(AS74&lt;='组合输入'!$O10,"BB",IF(AS74&lt;='组合输入'!$P10,"B",IF(AS74&lt;='组合输入'!$Q10,"CCC","D")))))))</f>
        <v/>
      </c>
      <c r="AU74" s="12">
        <f>IF(AT74="","",INDEX('状态价值'!$D10:$K10,MATCH(AT74,'状态价值'!$D$1:$K$1,0)))</f>
        <v/>
      </c>
      <c r="AV74" s="15">
        <f>NORM.S.INV(RAND())</f>
        <v/>
      </c>
      <c r="AW74" s="15">
        <f>IF('组合输入'!$C11="","",'组合输入'!$H11*$B74+SQRT(1-'组合输入'!$H11^2)*AV74)</f>
        <v/>
      </c>
      <c r="AX74" s="7">
        <f>IF(AW74="","",NORM.S.DIST(AW74,TRUE))</f>
        <v/>
      </c>
      <c r="AY74" s="13">
        <f>IF(AX74="","",IF(AX74&lt;='组合输入'!$K11,"AAA",IF(AX74&lt;='组合输入'!$L11,"AA",IF(AX74&lt;='组合输入'!$M11,"A",IF(AX74&lt;='组合输入'!$N11,"BBB",IF(AX74&lt;='组合输入'!$O11,"BB",IF(AX74&lt;='组合输入'!$P11,"B",IF(AX74&lt;='组合输入'!$Q11,"CCC","D")))))))</f>
        <v/>
      </c>
      <c r="AZ74" s="12">
        <f>IF(AY74="","",INDEX('状态价值'!$D11:$K11,MATCH(AY74,'状态价值'!$D$1:$K$1,0)))</f>
        <v/>
      </c>
      <c r="BA74" s="12">
        <f>G74+L74+Q74+V74+AA74+AF74+AK74+AP74+AU74+AZ74</f>
        <v/>
      </c>
      <c r="BB74" s="12">
        <f>SUM('组合输入'!$J$2:$J$11)-BA74</f>
        <v/>
      </c>
    </row>
    <row r="75">
      <c r="A75" s="11" t="n">
        <v>74</v>
      </c>
      <c r="B75" s="14">
        <f>NORM.S.INV(RAND())</f>
        <v/>
      </c>
      <c r="C75" s="14">
        <f>NORM.S.INV(RAND())</f>
        <v/>
      </c>
      <c r="D75" s="15">
        <f>IF('组合输入'!$C2="","",'组合输入'!$H2*$B75+SQRT(1-'组合输入'!$H2^2)*C75)</f>
        <v/>
      </c>
      <c r="E75" s="7">
        <f>IF(D75="","",NORM.S.DIST(D75,TRUE))</f>
        <v/>
      </c>
      <c r="F75" s="13">
        <f>IF(E75="","",IF(E75&lt;='组合输入'!$K2,"AAA",IF(E75&lt;='组合输入'!$L2,"AA",IF(E75&lt;='组合输入'!$M2,"A",IF(E75&lt;='组合输入'!$N2,"BBB",IF(E75&lt;='组合输入'!$O2,"BB",IF(E75&lt;='组合输入'!$P2,"B",IF(E75&lt;='组合输入'!$Q2,"CCC","D")))))))</f>
        <v/>
      </c>
      <c r="G75" s="12">
        <f>IF(F75="","",INDEX('状态价值'!$D2:$K2,MATCH(F75,'状态价值'!$D$1:$K$1,0)))</f>
        <v/>
      </c>
      <c r="H75" s="15">
        <f>NORM.S.INV(RAND())</f>
        <v/>
      </c>
      <c r="I75" s="15">
        <f>IF('组合输入'!$C3="","",'组合输入'!$H3*$B75+SQRT(1-'组合输入'!$H3^2)*H75)</f>
        <v/>
      </c>
      <c r="J75" s="7">
        <f>IF(I75="","",NORM.S.DIST(I75,TRUE))</f>
        <v/>
      </c>
      <c r="K75" s="13">
        <f>IF(J75="","",IF(J75&lt;='组合输入'!$K3,"AAA",IF(J75&lt;='组合输入'!$L3,"AA",IF(J75&lt;='组合输入'!$M3,"A",IF(J75&lt;='组合输入'!$N3,"BBB",IF(J75&lt;='组合输入'!$O3,"BB",IF(J75&lt;='组合输入'!$P3,"B",IF(J75&lt;='组合输入'!$Q3,"CCC","D")))))))</f>
        <v/>
      </c>
      <c r="L75" s="12">
        <f>IF(K75="","",INDEX('状态价值'!$D3:$K3,MATCH(K75,'状态价值'!$D$1:$K$1,0)))</f>
        <v/>
      </c>
      <c r="M75" s="15">
        <f>NORM.S.INV(RAND())</f>
        <v/>
      </c>
      <c r="N75" s="15">
        <f>IF('组合输入'!$C4="","",'组合输入'!$H4*$B75+SQRT(1-'组合输入'!$H4^2)*M75)</f>
        <v/>
      </c>
      <c r="O75" s="7">
        <f>IF(N75="","",NORM.S.DIST(N75,TRUE))</f>
        <v/>
      </c>
      <c r="P75" s="13">
        <f>IF(O75="","",IF(O75&lt;='组合输入'!$K4,"AAA",IF(O75&lt;='组合输入'!$L4,"AA",IF(O75&lt;='组合输入'!$M4,"A",IF(O75&lt;='组合输入'!$N4,"BBB",IF(O75&lt;='组合输入'!$O4,"BB",IF(O75&lt;='组合输入'!$P4,"B",IF(O75&lt;='组合输入'!$Q4,"CCC","D")))))))</f>
        <v/>
      </c>
      <c r="Q75" s="12">
        <f>IF(P75="","",INDEX('状态价值'!$D4:$K4,MATCH(P75,'状态价值'!$D$1:$K$1,0)))</f>
        <v/>
      </c>
      <c r="R75" s="15">
        <f>NORM.S.INV(RAND())</f>
        <v/>
      </c>
      <c r="S75" s="15">
        <f>IF('组合输入'!$C5="","",'组合输入'!$H5*$B75+SQRT(1-'组合输入'!$H5^2)*R75)</f>
        <v/>
      </c>
      <c r="T75" s="7">
        <f>IF(S75="","",NORM.S.DIST(S75,TRUE))</f>
        <v/>
      </c>
      <c r="U75" s="13">
        <f>IF(T75="","",IF(T75&lt;='组合输入'!$K5,"AAA",IF(T75&lt;='组合输入'!$L5,"AA",IF(T75&lt;='组合输入'!$M5,"A",IF(T75&lt;='组合输入'!$N5,"BBB",IF(T75&lt;='组合输入'!$O5,"BB",IF(T75&lt;='组合输入'!$P5,"B",IF(T75&lt;='组合输入'!$Q5,"CCC","D")))))))</f>
        <v/>
      </c>
      <c r="V75" s="12">
        <f>IF(U75="","",INDEX('状态价值'!$D5:$K5,MATCH(U75,'状态价值'!$D$1:$K$1,0)))</f>
        <v/>
      </c>
      <c r="W75" s="15">
        <f>NORM.S.INV(RAND())</f>
        <v/>
      </c>
      <c r="X75" s="15">
        <f>IF('组合输入'!$C6="","",'组合输入'!$H6*$B75+SQRT(1-'组合输入'!$H6^2)*W75)</f>
        <v/>
      </c>
      <c r="Y75" s="7">
        <f>IF(X75="","",NORM.S.DIST(X75,TRUE))</f>
        <v/>
      </c>
      <c r="Z75" s="13">
        <f>IF(Y75="","",IF(Y75&lt;='组合输入'!$K6,"AAA",IF(Y75&lt;='组合输入'!$L6,"AA",IF(Y75&lt;='组合输入'!$M6,"A",IF(Y75&lt;='组合输入'!$N6,"BBB",IF(Y75&lt;='组合输入'!$O6,"BB",IF(Y75&lt;='组合输入'!$P6,"B",IF(Y75&lt;='组合输入'!$Q6,"CCC","D")))))))</f>
        <v/>
      </c>
      <c r="AA75" s="12">
        <f>IF(Z75="","",INDEX('状态价值'!$D6:$K6,MATCH(Z75,'状态价值'!$D$1:$K$1,0)))</f>
        <v/>
      </c>
      <c r="AB75" s="15">
        <f>NORM.S.INV(RAND())</f>
        <v/>
      </c>
      <c r="AC75" s="15">
        <f>IF('组合输入'!$C7="","",'组合输入'!$H7*$B75+SQRT(1-'组合输入'!$H7^2)*AB75)</f>
        <v/>
      </c>
      <c r="AD75" s="7">
        <f>IF(AC75="","",NORM.S.DIST(AC75,TRUE))</f>
        <v/>
      </c>
      <c r="AE75" s="13">
        <f>IF(AD75="","",IF(AD75&lt;='组合输入'!$K7,"AAA",IF(AD75&lt;='组合输入'!$L7,"AA",IF(AD75&lt;='组合输入'!$M7,"A",IF(AD75&lt;='组合输入'!$N7,"BBB",IF(AD75&lt;='组合输入'!$O7,"BB",IF(AD75&lt;='组合输入'!$P7,"B",IF(AD75&lt;='组合输入'!$Q7,"CCC","D")))))))</f>
        <v/>
      </c>
      <c r="AF75" s="12">
        <f>IF(AE75="","",INDEX('状态价值'!$D7:$K7,MATCH(AE75,'状态价值'!$D$1:$K$1,0)))</f>
        <v/>
      </c>
      <c r="AG75" s="15">
        <f>NORM.S.INV(RAND())</f>
        <v/>
      </c>
      <c r="AH75" s="15">
        <f>IF('组合输入'!$C8="","",'组合输入'!$H8*$B75+SQRT(1-'组合输入'!$H8^2)*AG75)</f>
        <v/>
      </c>
      <c r="AI75" s="7">
        <f>IF(AH75="","",NORM.S.DIST(AH75,TRUE))</f>
        <v/>
      </c>
      <c r="AJ75" s="13">
        <f>IF(AI75="","",IF(AI75&lt;='组合输入'!$K8,"AAA",IF(AI75&lt;='组合输入'!$L8,"AA",IF(AI75&lt;='组合输入'!$M8,"A",IF(AI75&lt;='组合输入'!$N8,"BBB",IF(AI75&lt;='组合输入'!$O8,"BB",IF(AI75&lt;='组合输入'!$P8,"B",IF(AI75&lt;='组合输入'!$Q8,"CCC","D")))))))</f>
        <v/>
      </c>
      <c r="AK75" s="12">
        <f>IF(AJ75="","",INDEX('状态价值'!$D8:$K8,MATCH(AJ75,'状态价值'!$D$1:$K$1,0)))</f>
        <v/>
      </c>
      <c r="AL75" s="15">
        <f>NORM.S.INV(RAND())</f>
        <v/>
      </c>
      <c r="AM75" s="15">
        <f>IF('组合输入'!$C9="","",'组合输入'!$H9*$B75+SQRT(1-'组合输入'!$H9^2)*AL75)</f>
        <v/>
      </c>
      <c r="AN75" s="7">
        <f>IF(AM75="","",NORM.S.DIST(AM75,TRUE))</f>
        <v/>
      </c>
      <c r="AO75" s="13">
        <f>IF(AN75="","",IF(AN75&lt;='组合输入'!$K9,"AAA",IF(AN75&lt;='组合输入'!$L9,"AA",IF(AN75&lt;='组合输入'!$M9,"A",IF(AN75&lt;='组合输入'!$N9,"BBB",IF(AN75&lt;='组合输入'!$O9,"BB",IF(AN75&lt;='组合输入'!$P9,"B",IF(AN75&lt;='组合输入'!$Q9,"CCC","D")))))))</f>
        <v/>
      </c>
      <c r="AP75" s="12">
        <f>IF(AO75="","",INDEX('状态价值'!$D9:$K9,MATCH(AO75,'状态价值'!$D$1:$K$1,0)))</f>
        <v/>
      </c>
      <c r="AQ75" s="15">
        <f>NORM.S.INV(RAND())</f>
        <v/>
      </c>
      <c r="AR75" s="15">
        <f>IF('组合输入'!$C10="","",'组合输入'!$H10*$B75+SQRT(1-'组合输入'!$H10^2)*AQ75)</f>
        <v/>
      </c>
      <c r="AS75" s="7">
        <f>IF(AR75="","",NORM.S.DIST(AR75,TRUE))</f>
        <v/>
      </c>
      <c r="AT75" s="13">
        <f>IF(AS75="","",IF(AS75&lt;='组合输入'!$K10,"AAA",IF(AS75&lt;='组合输入'!$L10,"AA",IF(AS75&lt;='组合输入'!$M10,"A",IF(AS75&lt;='组合输入'!$N10,"BBB",IF(AS75&lt;='组合输入'!$O10,"BB",IF(AS75&lt;='组合输入'!$P10,"B",IF(AS75&lt;='组合输入'!$Q10,"CCC","D")))))))</f>
        <v/>
      </c>
      <c r="AU75" s="12">
        <f>IF(AT75="","",INDEX('状态价值'!$D10:$K10,MATCH(AT75,'状态价值'!$D$1:$K$1,0)))</f>
        <v/>
      </c>
      <c r="AV75" s="15">
        <f>NORM.S.INV(RAND())</f>
        <v/>
      </c>
      <c r="AW75" s="15">
        <f>IF('组合输入'!$C11="","",'组合输入'!$H11*$B75+SQRT(1-'组合输入'!$H11^2)*AV75)</f>
        <v/>
      </c>
      <c r="AX75" s="7">
        <f>IF(AW75="","",NORM.S.DIST(AW75,TRUE))</f>
        <v/>
      </c>
      <c r="AY75" s="13">
        <f>IF(AX75="","",IF(AX75&lt;='组合输入'!$K11,"AAA",IF(AX75&lt;='组合输入'!$L11,"AA",IF(AX75&lt;='组合输入'!$M11,"A",IF(AX75&lt;='组合输入'!$N11,"BBB",IF(AX75&lt;='组合输入'!$O11,"BB",IF(AX75&lt;='组合输入'!$P11,"B",IF(AX75&lt;='组合输入'!$Q11,"CCC","D")))))))</f>
        <v/>
      </c>
      <c r="AZ75" s="12">
        <f>IF(AY75="","",INDEX('状态价值'!$D11:$K11,MATCH(AY75,'状态价值'!$D$1:$K$1,0)))</f>
        <v/>
      </c>
      <c r="BA75" s="12">
        <f>G75+L75+Q75+V75+AA75+AF75+AK75+AP75+AU75+AZ75</f>
        <v/>
      </c>
      <c r="BB75" s="12">
        <f>SUM('组合输入'!$J$2:$J$11)-BA75</f>
        <v/>
      </c>
    </row>
    <row r="76">
      <c r="A76" s="11" t="n">
        <v>75</v>
      </c>
      <c r="B76" s="14">
        <f>NORM.S.INV(RAND())</f>
        <v/>
      </c>
      <c r="C76" s="14">
        <f>NORM.S.INV(RAND())</f>
        <v/>
      </c>
      <c r="D76" s="15">
        <f>IF('组合输入'!$C2="","",'组合输入'!$H2*$B76+SQRT(1-'组合输入'!$H2^2)*C76)</f>
        <v/>
      </c>
      <c r="E76" s="7">
        <f>IF(D76="","",NORM.S.DIST(D76,TRUE))</f>
        <v/>
      </c>
      <c r="F76" s="13">
        <f>IF(E76="","",IF(E76&lt;='组合输入'!$K2,"AAA",IF(E76&lt;='组合输入'!$L2,"AA",IF(E76&lt;='组合输入'!$M2,"A",IF(E76&lt;='组合输入'!$N2,"BBB",IF(E76&lt;='组合输入'!$O2,"BB",IF(E76&lt;='组合输入'!$P2,"B",IF(E76&lt;='组合输入'!$Q2,"CCC","D")))))))</f>
        <v/>
      </c>
      <c r="G76" s="12">
        <f>IF(F76="","",INDEX('状态价值'!$D2:$K2,MATCH(F76,'状态价值'!$D$1:$K$1,0)))</f>
        <v/>
      </c>
      <c r="H76" s="15">
        <f>NORM.S.INV(RAND())</f>
        <v/>
      </c>
      <c r="I76" s="15">
        <f>IF('组合输入'!$C3="","",'组合输入'!$H3*$B76+SQRT(1-'组合输入'!$H3^2)*H76)</f>
        <v/>
      </c>
      <c r="J76" s="7">
        <f>IF(I76="","",NORM.S.DIST(I76,TRUE))</f>
        <v/>
      </c>
      <c r="K76" s="13">
        <f>IF(J76="","",IF(J76&lt;='组合输入'!$K3,"AAA",IF(J76&lt;='组合输入'!$L3,"AA",IF(J76&lt;='组合输入'!$M3,"A",IF(J76&lt;='组合输入'!$N3,"BBB",IF(J76&lt;='组合输入'!$O3,"BB",IF(J76&lt;='组合输入'!$P3,"B",IF(J76&lt;='组合输入'!$Q3,"CCC","D")))))))</f>
        <v/>
      </c>
      <c r="L76" s="12">
        <f>IF(K76="","",INDEX('状态价值'!$D3:$K3,MATCH(K76,'状态价值'!$D$1:$K$1,0)))</f>
        <v/>
      </c>
      <c r="M76" s="15">
        <f>NORM.S.INV(RAND())</f>
        <v/>
      </c>
      <c r="N76" s="15">
        <f>IF('组合输入'!$C4="","",'组合输入'!$H4*$B76+SQRT(1-'组合输入'!$H4^2)*M76)</f>
        <v/>
      </c>
      <c r="O76" s="7">
        <f>IF(N76="","",NORM.S.DIST(N76,TRUE))</f>
        <v/>
      </c>
      <c r="P76" s="13">
        <f>IF(O76="","",IF(O76&lt;='组合输入'!$K4,"AAA",IF(O76&lt;='组合输入'!$L4,"AA",IF(O76&lt;='组合输入'!$M4,"A",IF(O76&lt;='组合输入'!$N4,"BBB",IF(O76&lt;='组合输入'!$O4,"BB",IF(O76&lt;='组合输入'!$P4,"B",IF(O76&lt;='组合输入'!$Q4,"CCC","D")))))))</f>
        <v/>
      </c>
      <c r="Q76" s="12">
        <f>IF(P76="","",INDEX('状态价值'!$D4:$K4,MATCH(P76,'状态价值'!$D$1:$K$1,0)))</f>
        <v/>
      </c>
      <c r="R76" s="15">
        <f>NORM.S.INV(RAND())</f>
        <v/>
      </c>
      <c r="S76" s="15">
        <f>IF('组合输入'!$C5="","",'组合输入'!$H5*$B76+SQRT(1-'组合输入'!$H5^2)*R76)</f>
        <v/>
      </c>
      <c r="T76" s="7">
        <f>IF(S76="","",NORM.S.DIST(S76,TRUE))</f>
        <v/>
      </c>
      <c r="U76" s="13">
        <f>IF(T76="","",IF(T76&lt;='组合输入'!$K5,"AAA",IF(T76&lt;='组合输入'!$L5,"AA",IF(T76&lt;='组合输入'!$M5,"A",IF(T76&lt;='组合输入'!$N5,"BBB",IF(T76&lt;='组合输入'!$O5,"BB",IF(T76&lt;='组合输入'!$P5,"B",IF(T76&lt;='组合输入'!$Q5,"CCC","D")))))))</f>
        <v/>
      </c>
      <c r="V76" s="12">
        <f>IF(U76="","",INDEX('状态价值'!$D5:$K5,MATCH(U76,'状态价值'!$D$1:$K$1,0)))</f>
        <v/>
      </c>
      <c r="W76" s="15">
        <f>NORM.S.INV(RAND())</f>
        <v/>
      </c>
      <c r="X76" s="15">
        <f>IF('组合输入'!$C6="","",'组合输入'!$H6*$B76+SQRT(1-'组合输入'!$H6^2)*W76)</f>
        <v/>
      </c>
      <c r="Y76" s="7">
        <f>IF(X76="","",NORM.S.DIST(X76,TRUE))</f>
        <v/>
      </c>
      <c r="Z76" s="13">
        <f>IF(Y76="","",IF(Y76&lt;='组合输入'!$K6,"AAA",IF(Y76&lt;='组合输入'!$L6,"AA",IF(Y76&lt;='组合输入'!$M6,"A",IF(Y76&lt;='组合输入'!$N6,"BBB",IF(Y76&lt;='组合输入'!$O6,"BB",IF(Y76&lt;='组合输入'!$P6,"B",IF(Y76&lt;='组合输入'!$Q6,"CCC","D")))))))</f>
        <v/>
      </c>
      <c r="AA76" s="12">
        <f>IF(Z76="","",INDEX('状态价值'!$D6:$K6,MATCH(Z76,'状态价值'!$D$1:$K$1,0)))</f>
        <v/>
      </c>
      <c r="AB76" s="15">
        <f>NORM.S.INV(RAND())</f>
        <v/>
      </c>
      <c r="AC76" s="15">
        <f>IF('组合输入'!$C7="","",'组合输入'!$H7*$B76+SQRT(1-'组合输入'!$H7^2)*AB76)</f>
        <v/>
      </c>
      <c r="AD76" s="7">
        <f>IF(AC76="","",NORM.S.DIST(AC76,TRUE))</f>
        <v/>
      </c>
      <c r="AE76" s="13">
        <f>IF(AD76="","",IF(AD76&lt;='组合输入'!$K7,"AAA",IF(AD76&lt;='组合输入'!$L7,"AA",IF(AD76&lt;='组合输入'!$M7,"A",IF(AD76&lt;='组合输入'!$N7,"BBB",IF(AD76&lt;='组合输入'!$O7,"BB",IF(AD76&lt;='组合输入'!$P7,"B",IF(AD76&lt;='组合输入'!$Q7,"CCC","D")))))))</f>
        <v/>
      </c>
      <c r="AF76" s="12">
        <f>IF(AE76="","",INDEX('状态价值'!$D7:$K7,MATCH(AE76,'状态价值'!$D$1:$K$1,0)))</f>
        <v/>
      </c>
      <c r="AG76" s="15">
        <f>NORM.S.INV(RAND())</f>
        <v/>
      </c>
      <c r="AH76" s="15">
        <f>IF('组合输入'!$C8="","",'组合输入'!$H8*$B76+SQRT(1-'组合输入'!$H8^2)*AG76)</f>
        <v/>
      </c>
      <c r="AI76" s="7">
        <f>IF(AH76="","",NORM.S.DIST(AH76,TRUE))</f>
        <v/>
      </c>
      <c r="AJ76" s="13">
        <f>IF(AI76="","",IF(AI76&lt;='组合输入'!$K8,"AAA",IF(AI76&lt;='组合输入'!$L8,"AA",IF(AI76&lt;='组合输入'!$M8,"A",IF(AI76&lt;='组合输入'!$N8,"BBB",IF(AI76&lt;='组合输入'!$O8,"BB",IF(AI76&lt;='组合输入'!$P8,"B",IF(AI76&lt;='组合输入'!$Q8,"CCC","D")))))))</f>
        <v/>
      </c>
      <c r="AK76" s="12">
        <f>IF(AJ76="","",INDEX('状态价值'!$D8:$K8,MATCH(AJ76,'状态价值'!$D$1:$K$1,0)))</f>
        <v/>
      </c>
      <c r="AL76" s="15">
        <f>NORM.S.INV(RAND())</f>
        <v/>
      </c>
      <c r="AM76" s="15">
        <f>IF('组合输入'!$C9="","",'组合输入'!$H9*$B76+SQRT(1-'组合输入'!$H9^2)*AL76)</f>
        <v/>
      </c>
      <c r="AN76" s="7">
        <f>IF(AM76="","",NORM.S.DIST(AM76,TRUE))</f>
        <v/>
      </c>
      <c r="AO76" s="13">
        <f>IF(AN76="","",IF(AN76&lt;='组合输入'!$K9,"AAA",IF(AN76&lt;='组合输入'!$L9,"AA",IF(AN76&lt;='组合输入'!$M9,"A",IF(AN76&lt;='组合输入'!$N9,"BBB",IF(AN76&lt;='组合输入'!$O9,"BB",IF(AN76&lt;='组合输入'!$P9,"B",IF(AN76&lt;='组合输入'!$Q9,"CCC","D")))))))</f>
        <v/>
      </c>
      <c r="AP76" s="12">
        <f>IF(AO76="","",INDEX('状态价值'!$D9:$K9,MATCH(AO76,'状态价值'!$D$1:$K$1,0)))</f>
        <v/>
      </c>
      <c r="AQ76" s="15">
        <f>NORM.S.INV(RAND())</f>
        <v/>
      </c>
      <c r="AR76" s="15">
        <f>IF('组合输入'!$C10="","",'组合输入'!$H10*$B76+SQRT(1-'组合输入'!$H10^2)*AQ76)</f>
        <v/>
      </c>
      <c r="AS76" s="7">
        <f>IF(AR76="","",NORM.S.DIST(AR76,TRUE))</f>
        <v/>
      </c>
      <c r="AT76" s="13">
        <f>IF(AS76="","",IF(AS76&lt;='组合输入'!$K10,"AAA",IF(AS76&lt;='组合输入'!$L10,"AA",IF(AS76&lt;='组合输入'!$M10,"A",IF(AS76&lt;='组合输入'!$N10,"BBB",IF(AS76&lt;='组合输入'!$O10,"BB",IF(AS76&lt;='组合输入'!$P10,"B",IF(AS76&lt;='组合输入'!$Q10,"CCC","D")))))))</f>
        <v/>
      </c>
      <c r="AU76" s="12">
        <f>IF(AT76="","",INDEX('状态价值'!$D10:$K10,MATCH(AT76,'状态价值'!$D$1:$K$1,0)))</f>
        <v/>
      </c>
      <c r="AV76" s="15">
        <f>NORM.S.INV(RAND())</f>
        <v/>
      </c>
      <c r="AW76" s="15">
        <f>IF('组合输入'!$C11="","",'组合输入'!$H11*$B76+SQRT(1-'组合输入'!$H11^2)*AV76)</f>
        <v/>
      </c>
      <c r="AX76" s="7">
        <f>IF(AW76="","",NORM.S.DIST(AW76,TRUE))</f>
        <v/>
      </c>
      <c r="AY76" s="13">
        <f>IF(AX76="","",IF(AX76&lt;='组合输入'!$K11,"AAA",IF(AX76&lt;='组合输入'!$L11,"AA",IF(AX76&lt;='组合输入'!$M11,"A",IF(AX76&lt;='组合输入'!$N11,"BBB",IF(AX76&lt;='组合输入'!$O11,"BB",IF(AX76&lt;='组合输入'!$P11,"B",IF(AX76&lt;='组合输入'!$Q11,"CCC","D")))))))</f>
        <v/>
      </c>
      <c r="AZ76" s="12">
        <f>IF(AY76="","",INDEX('状态价值'!$D11:$K11,MATCH(AY76,'状态价值'!$D$1:$K$1,0)))</f>
        <v/>
      </c>
      <c r="BA76" s="12">
        <f>G76+L76+Q76+V76+AA76+AF76+AK76+AP76+AU76+AZ76</f>
        <v/>
      </c>
      <c r="BB76" s="12">
        <f>SUM('组合输入'!$J$2:$J$11)-BA76</f>
        <v/>
      </c>
    </row>
    <row r="77">
      <c r="A77" s="11" t="n">
        <v>76</v>
      </c>
      <c r="B77" s="14">
        <f>NORM.S.INV(RAND())</f>
        <v/>
      </c>
      <c r="C77" s="14">
        <f>NORM.S.INV(RAND())</f>
        <v/>
      </c>
      <c r="D77" s="15">
        <f>IF('组合输入'!$C2="","",'组合输入'!$H2*$B77+SQRT(1-'组合输入'!$H2^2)*C77)</f>
        <v/>
      </c>
      <c r="E77" s="7">
        <f>IF(D77="","",NORM.S.DIST(D77,TRUE))</f>
        <v/>
      </c>
      <c r="F77" s="13">
        <f>IF(E77="","",IF(E77&lt;='组合输入'!$K2,"AAA",IF(E77&lt;='组合输入'!$L2,"AA",IF(E77&lt;='组合输入'!$M2,"A",IF(E77&lt;='组合输入'!$N2,"BBB",IF(E77&lt;='组合输入'!$O2,"BB",IF(E77&lt;='组合输入'!$P2,"B",IF(E77&lt;='组合输入'!$Q2,"CCC","D")))))))</f>
        <v/>
      </c>
      <c r="G77" s="12">
        <f>IF(F77="","",INDEX('状态价值'!$D2:$K2,MATCH(F77,'状态价值'!$D$1:$K$1,0)))</f>
        <v/>
      </c>
      <c r="H77" s="15">
        <f>NORM.S.INV(RAND())</f>
        <v/>
      </c>
      <c r="I77" s="15">
        <f>IF('组合输入'!$C3="","",'组合输入'!$H3*$B77+SQRT(1-'组合输入'!$H3^2)*H77)</f>
        <v/>
      </c>
      <c r="J77" s="7">
        <f>IF(I77="","",NORM.S.DIST(I77,TRUE))</f>
        <v/>
      </c>
      <c r="K77" s="13">
        <f>IF(J77="","",IF(J77&lt;='组合输入'!$K3,"AAA",IF(J77&lt;='组合输入'!$L3,"AA",IF(J77&lt;='组合输入'!$M3,"A",IF(J77&lt;='组合输入'!$N3,"BBB",IF(J77&lt;='组合输入'!$O3,"BB",IF(J77&lt;='组合输入'!$P3,"B",IF(J77&lt;='组合输入'!$Q3,"CCC","D")))))))</f>
        <v/>
      </c>
      <c r="L77" s="12">
        <f>IF(K77="","",INDEX('状态价值'!$D3:$K3,MATCH(K77,'状态价值'!$D$1:$K$1,0)))</f>
        <v/>
      </c>
      <c r="M77" s="15">
        <f>NORM.S.INV(RAND())</f>
        <v/>
      </c>
      <c r="N77" s="15">
        <f>IF('组合输入'!$C4="","",'组合输入'!$H4*$B77+SQRT(1-'组合输入'!$H4^2)*M77)</f>
        <v/>
      </c>
      <c r="O77" s="7">
        <f>IF(N77="","",NORM.S.DIST(N77,TRUE))</f>
        <v/>
      </c>
      <c r="P77" s="13">
        <f>IF(O77="","",IF(O77&lt;='组合输入'!$K4,"AAA",IF(O77&lt;='组合输入'!$L4,"AA",IF(O77&lt;='组合输入'!$M4,"A",IF(O77&lt;='组合输入'!$N4,"BBB",IF(O77&lt;='组合输入'!$O4,"BB",IF(O77&lt;='组合输入'!$P4,"B",IF(O77&lt;='组合输入'!$Q4,"CCC","D")))))))</f>
        <v/>
      </c>
      <c r="Q77" s="12">
        <f>IF(P77="","",INDEX('状态价值'!$D4:$K4,MATCH(P77,'状态价值'!$D$1:$K$1,0)))</f>
        <v/>
      </c>
      <c r="R77" s="15">
        <f>NORM.S.INV(RAND())</f>
        <v/>
      </c>
      <c r="S77" s="15">
        <f>IF('组合输入'!$C5="","",'组合输入'!$H5*$B77+SQRT(1-'组合输入'!$H5^2)*R77)</f>
        <v/>
      </c>
      <c r="T77" s="7">
        <f>IF(S77="","",NORM.S.DIST(S77,TRUE))</f>
        <v/>
      </c>
      <c r="U77" s="13">
        <f>IF(T77="","",IF(T77&lt;='组合输入'!$K5,"AAA",IF(T77&lt;='组合输入'!$L5,"AA",IF(T77&lt;='组合输入'!$M5,"A",IF(T77&lt;='组合输入'!$N5,"BBB",IF(T77&lt;='组合输入'!$O5,"BB",IF(T77&lt;='组合输入'!$P5,"B",IF(T77&lt;='组合输入'!$Q5,"CCC","D")))))))</f>
        <v/>
      </c>
      <c r="V77" s="12">
        <f>IF(U77="","",INDEX('状态价值'!$D5:$K5,MATCH(U77,'状态价值'!$D$1:$K$1,0)))</f>
        <v/>
      </c>
      <c r="W77" s="15">
        <f>NORM.S.INV(RAND())</f>
        <v/>
      </c>
      <c r="X77" s="15">
        <f>IF('组合输入'!$C6="","",'组合输入'!$H6*$B77+SQRT(1-'组合输入'!$H6^2)*W77)</f>
        <v/>
      </c>
      <c r="Y77" s="7">
        <f>IF(X77="","",NORM.S.DIST(X77,TRUE))</f>
        <v/>
      </c>
      <c r="Z77" s="13">
        <f>IF(Y77="","",IF(Y77&lt;='组合输入'!$K6,"AAA",IF(Y77&lt;='组合输入'!$L6,"AA",IF(Y77&lt;='组合输入'!$M6,"A",IF(Y77&lt;='组合输入'!$N6,"BBB",IF(Y77&lt;='组合输入'!$O6,"BB",IF(Y77&lt;='组合输入'!$P6,"B",IF(Y77&lt;='组合输入'!$Q6,"CCC","D")))))))</f>
        <v/>
      </c>
      <c r="AA77" s="12">
        <f>IF(Z77="","",INDEX('状态价值'!$D6:$K6,MATCH(Z77,'状态价值'!$D$1:$K$1,0)))</f>
        <v/>
      </c>
      <c r="AB77" s="15">
        <f>NORM.S.INV(RAND())</f>
        <v/>
      </c>
      <c r="AC77" s="15">
        <f>IF('组合输入'!$C7="","",'组合输入'!$H7*$B77+SQRT(1-'组合输入'!$H7^2)*AB77)</f>
        <v/>
      </c>
      <c r="AD77" s="7">
        <f>IF(AC77="","",NORM.S.DIST(AC77,TRUE))</f>
        <v/>
      </c>
      <c r="AE77" s="13">
        <f>IF(AD77="","",IF(AD77&lt;='组合输入'!$K7,"AAA",IF(AD77&lt;='组合输入'!$L7,"AA",IF(AD77&lt;='组合输入'!$M7,"A",IF(AD77&lt;='组合输入'!$N7,"BBB",IF(AD77&lt;='组合输入'!$O7,"BB",IF(AD77&lt;='组合输入'!$P7,"B",IF(AD77&lt;='组合输入'!$Q7,"CCC","D")))))))</f>
        <v/>
      </c>
      <c r="AF77" s="12">
        <f>IF(AE77="","",INDEX('状态价值'!$D7:$K7,MATCH(AE77,'状态价值'!$D$1:$K$1,0)))</f>
        <v/>
      </c>
      <c r="AG77" s="15">
        <f>NORM.S.INV(RAND())</f>
        <v/>
      </c>
      <c r="AH77" s="15">
        <f>IF('组合输入'!$C8="","",'组合输入'!$H8*$B77+SQRT(1-'组合输入'!$H8^2)*AG77)</f>
        <v/>
      </c>
      <c r="AI77" s="7">
        <f>IF(AH77="","",NORM.S.DIST(AH77,TRUE))</f>
        <v/>
      </c>
      <c r="AJ77" s="13">
        <f>IF(AI77="","",IF(AI77&lt;='组合输入'!$K8,"AAA",IF(AI77&lt;='组合输入'!$L8,"AA",IF(AI77&lt;='组合输入'!$M8,"A",IF(AI77&lt;='组合输入'!$N8,"BBB",IF(AI77&lt;='组合输入'!$O8,"BB",IF(AI77&lt;='组合输入'!$P8,"B",IF(AI77&lt;='组合输入'!$Q8,"CCC","D")))))))</f>
        <v/>
      </c>
      <c r="AK77" s="12">
        <f>IF(AJ77="","",INDEX('状态价值'!$D8:$K8,MATCH(AJ77,'状态价值'!$D$1:$K$1,0)))</f>
        <v/>
      </c>
      <c r="AL77" s="15">
        <f>NORM.S.INV(RAND())</f>
        <v/>
      </c>
      <c r="AM77" s="15">
        <f>IF('组合输入'!$C9="","",'组合输入'!$H9*$B77+SQRT(1-'组合输入'!$H9^2)*AL77)</f>
        <v/>
      </c>
      <c r="AN77" s="7">
        <f>IF(AM77="","",NORM.S.DIST(AM77,TRUE))</f>
        <v/>
      </c>
      <c r="AO77" s="13">
        <f>IF(AN77="","",IF(AN77&lt;='组合输入'!$K9,"AAA",IF(AN77&lt;='组合输入'!$L9,"AA",IF(AN77&lt;='组合输入'!$M9,"A",IF(AN77&lt;='组合输入'!$N9,"BBB",IF(AN77&lt;='组合输入'!$O9,"BB",IF(AN77&lt;='组合输入'!$P9,"B",IF(AN77&lt;='组合输入'!$Q9,"CCC","D")))))))</f>
        <v/>
      </c>
      <c r="AP77" s="12">
        <f>IF(AO77="","",INDEX('状态价值'!$D9:$K9,MATCH(AO77,'状态价值'!$D$1:$K$1,0)))</f>
        <v/>
      </c>
      <c r="AQ77" s="15">
        <f>NORM.S.INV(RAND())</f>
        <v/>
      </c>
      <c r="AR77" s="15">
        <f>IF('组合输入'!$C10="","",'组合输入'!$H10*$B77+SQRT(1-'组合输入'!$H10^2)*AQ77)</f>
        <v/>
      </c>
      <c r="AS77" s="7">
        <f>IF(AR77="","",NORM.S.DIST(AR77,TRUE))</f>
        <v/>
      </c>
      <c r="AT77" s="13">
        <f>IF(AS77="","",IF(AS77&lt;='组合输入'!$K10,"AAA",IF(AS77&lt;='组合输入'!$L10,"AA",IF(AS77&lt;='组合输入'!$M10,"A",IF(AS77&lt;='组合输入'!$N10,"BBB",IF(AS77&lt;='组合输入'!$O10,"BB",IF(AS77&lt;='组合输入'!$P10,"B",IF(AS77&lt;='组合输入'!$Q10,"CCC","D")))))))</f>
        <v/>
      </c>
      <c r="AU77" s="12">
        <f>IF(AT77="","",INDEX('状态价值'!$D10:$K10,MATCH(AT77,'状态价值'!$D$1:$K$1,0)))</f>
        <v/>
      </c>
      <c r="AV77" s="15">
        <f>NORM.S.INV(RAND())</f>
        <v/>
      </c>
      <c r="AW77" s="15">
        <f>IF('组合输入'!$C11="","",'组合输入'!$H11*$B77+SQRT(1-'组合输入'!$H11^2)*AV77)</f>
        <v/>
      </c>
      <c r="AX77" s="7">
        <f>IF(AW77="","",NORM.S.DIST(AW77,TRUE))</f>
        <v/>
      </c>
      <c r="AY77" s="13">
        <f>IF(AX77="","",IF(AX77&lt;='组合输入'!$K11,"AAA",IF(AX77&lt;='组合输入'!$L11,"AA",IF(AX77&lt;='组合输入'!$M11,"A",IF(AX77&lt;='组合输入'!$N11,"BBB",IF(AX77&lt;='组合输入'!$O11,"BB",IF(AX77&lt;='组合输入'!$P11,"B",IF(AX77&lt;='组合输入'!$Q11,"CCC","D")))))))</f>
        <v/>
      </c>
      <c r="AZ77" s="12">
        <f>IF(AY77="","",INDEX('状态价值'!$D11:$K11,MATCH(AY77,'状态价值'!$D$1:$K$1,0)))</f>
        <v/>
      </c>
      <c r="BA77" s="12">
        <f>G77+L77+Q77+V77+AA77+AF77+AK77+AP77+AU77+AZ77</f>
        <v/>
      </c>
      <c r="BB77" s="12">
        <f>SUM('组合输入'!$J$2:$J$11)-BA77</f>
        <v/>
      </c>
    </row>
    <row r="78">
      <c r="A78" s="11" t="n">
        <v>77</v>
      </c>
      <c r="B78" s="14">
        <f>NORM.S.INV(RAND())</f>
        <v/>
      </c>
      <c r="C78" s="14">
        <f>NORM.S.INV(RAND())</f>
        <v/>
      </c>
      <c r="D78" s="15">
        <f>IF('组合输入'!$C2="","",'组合输入'!$H2*$B78+SQRT(1-'组合输入'!$H2^2)*C78)</f>
        <v/>
      </c>
      <c r="E78" s="7">
        <f>IF(D78="","",NORM.S.DIST(D78,TRUE))</f>
        <v/>
      </c>
      <c r="F78" s="13">
        <f>IF(E78="","",IF(E78&lt;='组合输入'!$K2,"AAA",IF(E78&lt;='组合输入'!$L2,"AA",IF(E78&lt;='组合输入'!$M2,"A",IF(E78&lt;='组合输入'!$N2,"BBB",IF(E78&lt;='组合输入'!$O2,"BB",IF(E78&lt;='组合输入'!$P2,"B",IF(E78&lt;='组合输入'!$Q2,"CCC","D")))))))</f>
        <v/>
      </c>
      <c r="G78" s="12">
        <f>IF(F78="","",INDEX('状态价值'!$D2:$K2,MATCH(F78,'状态价值'!$D$1:$K$1,0)))</f>
        <v/>
      </c>
      <c r="H78" s="15">
        <f>NORM.S.INV(RAND())</f>
        <v/>
      </c>
      <c r="I78" s="15">
        <f>IF('组合输入'!$C3="","",'组合输入'!$H3*$B78+SQRT(1-'组合输入'!$H3^2)*H78)</f>
        <v/>
      </c>
      <c r="J78" s="7">
        <f>IF(I78="","",NORM.S.DIST(I78,TRUE))</f>
        <v/>
      </c>
      <c r="K78" s="13">
        <f>IF(J78="","",IF(J78&lt;='组合输入'!$K3,"AAA",IF(J78&lt;='组合输入'!$L3,"AA",IF(J78&lt;='组合输入'!$M3,"A",IF(J78&lt;='组合输入'!$N3,"BBB",IF(J78&lt;='组合输入'!$O3,"BB",IF(J78&lt;='组合输入'!$P3,"B",IF(J78&lt;='组合输入'!$Q3,"CCC","D")))))))</f>
        <v/>
      </c>
      <c r="L78" s="12">
        <f>IF(K78="","",INDEX('状态价值'!$D3:$K3,MATCH(K78,'状态价值'!$D$1:$K$1,0)))</f>
        <v/>
      </c>
      <c r="M78" s="15">
        <f>NORM.S.INV(RAND())</f>
        <v/>
      </c>
      <c r="N78" s="15">
        <f>IF('组合输入'!$C4="","",'组合输入'!$H4*$B78+SQRT(1-'组合输入'!$H4^2)*M78)</f>
        <v/>
      </c>
      <c r="O78" s="7">
        <f>IF(N78="","",NORM.S.DIST(N78,TRUE))</f>
        <v/>
      </c>
      <c r="P78" s="13">
        <f>IF(O78="","",IF(O78&lt;='组合输入'!$K4,"AAA",IF(O78&lt;='组合输入'!$L4,"AA",IF(O78&lt;='组合输入'!$M4,"A",IF(O78&lt;='组合输入'!$N4,"BBB",IF(O78&lt;='组合输入'!$O4,"BB",IF(O78&lt;='组合输入'!$P4,"B",IF(O78&lt;='组合输入'!$Q4,"CCC","D")))))))</f>
        <v/>
      </c>
      <c r="Q78" s="12">
        <f>IF(P78="","",INDEX('状态价值'!$D4:$K4,MATCH(P78,'状态价值'!$D$1:$K$1,0)))</f>
        <v/>
      </c>
      <c r="R78" s="15">
        <f>NORM.S.INV(RAND())</f>
        <v/>
      </c>
      <c r="S78" s="15">
        <f>IF('组合输入'!$C5="","",'组合输入'!$H5*$B78+SQRT(1-'组合输入'!$H5^2)*R78)</f>
        <v/>
      </c>
      <c r="T78" s="7">
        <f>IF(S78="","",NORM.S.DIST(S78,TRUE))</f>
        <v/>
      </c>
      <c r="U78" s="13">
        <f>IF(T78="","",IF(T78&lt;='组合输入'!$K5,"AAA",IF(T78&lt;='组合输入'!$L5,"AA",IF(T78&lt;='组合输入'!$M5,"A",IF(T78&lt;='组合输入'!$N5,"BBB",IF(T78&lt;='组合输入'!$O5,"BB",IF(T78&lt;='组合输入'!$P5,"B",IF(T78&lt;='组合输入'!$Q5,"CCC","D")))))))</f>
        <v/>
      </c>
      <c r="V78" s="12">
        <f>IF(U78="","",INDEX('状态价值'!$D5:$K5,MATCH(U78,'状态价值'!$D$1:$K$1,0)))</f>
        <v/>
      </c>
      <c r="W78" s="15">
        <f>NORM.S.INV(RAND())</f>
        <v/>
      </c>
      <c r="X78" s="15">
        <f>IF('组合输入'!$C6="","",'组合输入'!$H6*$B78+SQRT(1-'组合输入'!$H6^2)*W78)</f>
        <v/>
      </c>
      <c r="Y78" s="7">
        <f>IF(X78="","",NORM.S.DIST(X78,TRUE))</f>
        <v/>
      </c>
      <c r="Z78" s="13">
        <f>IF(Y78="","",IF(Y78&lt;='组合输入'!$K6,"AAA",IF(Y78&lt;='组合输入'!$L6,"AA",IF(Y78&lt;='组合输入'!$M6,"A",IF(Y78&lt;='组合输入'!$N6,"BBB",IF(Y78&lt;='组合输入'!$O6,"BB",IF(Y78&lt;='组合输入'!$P6,"B",IF(Y78&lt;='组合输入'!$Q6,"CCC","D")))))))</f>
        <v/>
      </c>
      <c r="AA78" s="12">
        <f>IF(Z78="","",INDEX('状态价值'!$D6:$K6,MATCH(Z78,'状态价值'!$D$1:$K$1,0)))</f>
        <v/>
      </c>
      <c r="AB78" s="15">
        <f>NORM.S.INV(RAND())</f>
        <v/>
      </c>
      <c r="AC78" s="15">
        <f>IF('组合输入'!$C7="","",'组合输入'!$H7*$B78+SQRT(1-'组合输入'!$H7^2)*AB78)</f>
        <v/>
      </c>
      <c r="AD78" s="7">
        <f>IF(AC78="","",NORM.S.DIST(AC78,TRUE))</f>
        <v/>
      </c>
      <c r="AE78" s="13">
        <f>IF(AD78="","",IF(AD78&lt;='组合输入'!$K7,"AAA",IF(AD78&lt;='组合输入'!$L7,"AA",IF(AD78&lt;='组合输入'!$M7,"A",IF(AD78&lt;='组合输入'!$N7,"BBB",IF(AD78&lt;='组合输入'!$O7,"BB",IF(AD78&lt;='组合输入'!$P7,"B",IF(AD78&lt;='组合输入'!$Q7,"CCC","D")))))))</f>
        <v/>
      </c>
      <c r="AF78" s="12">
        <f>IF(AE78="","",INDEX('状态价值'!$D7:$K7,MATCH(AE78,'状态价值'!$D$1:$K$1,0)))</f>
        <v/>
      </c>
      <c r="AG78" s="15">
        <f>NORM.S.INV(RAND())</f>
        <v/>
      </c>
      <c r="AH78" s="15">
        <f>IF('组合输入'!$C8="","",'组合输入'!$H8*$B78+SQRT(1-'组合输入'!$H8^2)*AG78)</f>
        <v/>
      </c>
      <c r="AI78" s="7">
        <f>IF(AH78="","",NORM.S.DIST(AH78,TRUE))</f>
        <v/>
      </c>
      <c r="AJ78" s="13">
        <f>IF(AI78="","",IF(AI78&lt;='组合输入'!$K8,"AAA",IF(AI78&lt;='组合输入'!$L8,"AA",IF(AI78&lt;='组合输入'!$M8,"A",IF(AI78&lt;='组合输入'!$N8,"BBB",IF(AI78&lt;='组合输入'!$O8,"BB",IF(AI78&lt;='组合输入'!$P8,"B",IF(AI78&lt;='组合输入'!$Q8,"CCC","D")))))))</f>
        <v/>
      </c>
      <c r="AK78" s="12">
        <f>IF(AJ78="","",INDEX('状态价值'!$D8:$K8,MATCH(AJ78,'状态价值'!$D$1:$K$1,0)))</f>
        <v/>
      </c>
      <c r="AL78" s="15">
        <f>NORM.S.INV(RAND())</f>
        <v/>
      </c>
      <c r="AM78" s="15">
        <f>IF('组合输入'!$C9="","",'组合输入'!$H9*$B78+SQRT(1-'组合输入'!$H9^2)*AL78)</f>
        <v/>
      </c>
      <c r="AN78" s="7">
        <f>IF(AM78="","",NORM.S.DIST(AM78,TRUE))</f>
        <v/>
      </c>
      <c r="AO78" s="13">
        <f>IF(AN78="","",IF(AN78&lt;='组合输入'!$K9,"AAA",IF(AN78&lt;='组合输入'!$L9,"AA",IF(AN78&lt;='组合输入'!$M9,"A",IF(AN78&lt;='组合输入'!$N9,"BBB",IF(AN78&lt;='组合输入'!$O9,"BB",IF(AN78&lt;='组合输入'!$P9,"B",IF(AN78&lt;='组合输入'!$Q9,"CCC","D")))))))</f>
        <v/>
      </c>
      <c r="AP78" s="12">
        <f>IF(AO78="","",INDEX('状态价值'!$D9:$K9,MATCH(AO78,'状态价值'!$D$1:$K$1,0)))</f>
        <v/>
      </c>
      <c r="AQ78" s="15">
        <f>NORM.S.INV(RAND())</f>
        <v/>
      </c>
      <c r="AR78" s="15">
        <f>IF('组合输入'!$C10="","",'组合输入'!$H10*$B78+SQRT(1-'组合输入'!$H10^2)*AQ78)</f>
        <v/>
      </c>
      <c r="AS78" s="7">
        <f>IF(AR78="","",NORM.S.DIST(AR78,TRUE))</f>
        <v/>
      </c>
      <c r="AT78" s="13">
        <f>IF(AS78="","",IF(AS78&lt;='组合输入'!$K10,"AAA",IF(AS78&lt;='组合输入'!$L10,"AA",IF(AS78&lt;='组合输入'!$M10,"A",IF(AS78&lt;='组合输入'!$N10,"BBB",IF(AS78&lt;='组合输入'!$O10,"BB",IF(AS78&lt;='组合输入'!$P10,"B",IF(AS78&lt;='组合输入'!$Q10,"CCC","D")))))))</f>
        <v/>
      </c>
      <c r="AU78" s="12">
        <f>IF(AT78="","",INDEX('状态价值'!$D10:$K10,MATCH(AT78,'状态价值'!$D$1:$K$1,0)))</f>
        <v/>
      </c>
      <c r="AV78" s="15">
        <f>NORM.S.INV(RAND())</f>
        <v/>
      </c>
      <c r="AW78" s="15">
        <f>IF('组合输入'!$C11="","",'组合输入'!$H11*$B78+SQRT(1-'组合输入'!$H11^2)*AV78)</f>
        <v/>
      </c>
      <c r="AX78" s="7">
        <f>IF(AW78="","",NORM.S.DIST(AW78,TRUE))</f>
        <v/>
      </c>
      <c r="AY78" s="13">
        <f>IF(AX78="","",IF(AX78&lt;='组合输入'!$K11,"AAA",IF(AX78&lt;='组合输入'!$L11,"AA",IF(AX78&lt;='组合输入'!$M11,"A",IF(AX78&lt;='组合输入'!$N11,"BBB",IF(AX78&lt;='组合输入'!$O11,"BB",IF(AX78&lt;='组合输入'!$P11,"B",IF(AX78&lt;='组合输入'!$Q11,"CCC","D")))))))</f>
        <v/>
      </c>
      <c r="AZ78" s="12">
        <f>IF(AY78="","",INDEX('状态价值'!$D11:$K11,MATCH(AY78,'状态价值'!$D$1:$K$1,0)))</f>
        <v/>
      </c>
      <c r="BA78" s="12">
        <f>G78+L78+Q78+V78+AA78+AF78+AK78+AP78+AU78+AZ78</f>
        <v/>
      </c>
      <c r="BB78" s="12">
        <f>SUM('组合输入'!$J$2:$J$11)-BA78</f>
        <v/>
      </c>
    </row>
    <row r="79">
      <c r="A79" s="11" t="n">
        <v>78</v>
      </c>
      <c r="B79" s="14">
        <f>NORM.S.INV(RAND())</f>
        <v/>
      </c>
      <c r="C79" s="14">
        <f>NORM.S.INV(RAND())</f>
        <v/>
      </c>
      <c r="D79" s="15">
        <f>IF('组合输入'!$C2="","",'组合输入'!$H2*$B79+SQRT(1-'组合输入'!$H2^2)*C79)</f>
        <v/>
      </c>
      <c r="E79" s="7">
        <f>IF(D79="","",NORM.S.DIST(D79,TRUE))</f>
        <v/>
      </c>
      <c r="F79" s="13">
        <f>IF(E79="","",IF(E79&lt;='组合输入'!$K2,"AAA",IF(E79&lt;='组合输入'!$L2,"AA",IF(E79&lt;='组合输入'!$M2,"A",IF(E79&lt;='组合输入'!$N2,"BBB",IF(E79&lt;='组合输入'!$O2,"BB",IF(E79&lt;='组合输入'!$P2,"B",IF(E79&lt;='组合输入'!$Q2,"CCC","D")))))))</f>
        <v/>
      </c>
      <c r="G79" s="12">
        <f>IF(F79="","",INDEX('状态价值'!$D2:$K2,MATCH(F79,'状态价值'!$D$1:$K$1,0)))</f>
        <v/>
      </c>
      <c r="H79" s="15">
        <f>NORM.S.INV(RAND())</f>
        <v/>
      </c>
      <c r="I79" s="15">
        <f>IF('组合输入'!$C3="","",'组合输入'!$H3*$B79+SQRT(1-'组合输入'!$H3^2)*H79)</f>
        <v/>
      </c>
      <c r="J79" s="7">
        <f>IF(I79="","",NORM.S.DIST(I79,TRUE))</f>
        <v/>
      </c>
      <c r="K79" s="13">
        <f>IF(J79="","",IF(J79&lt;='组合输入'!$K3,"AAA",IF(J79&lt;='组合输入'!$L3,"AA",IF(J79&lt;='组合输入'!$M3,"A",IF(J79&lt;='组合输入'!$N3,"BBB",IF(J79&lt;='组合输入'!$O3,"BB",IF(J79&lt;='组合输入'!$P3,"B",IF(J79&lt;='组合输入'!$Q3,"CCC","D")))))))</f>
        <v/>
      </c>
      <c r="L79" s="12">
        <f>IF(K79="","",INDEX('状态价值'!$D3:$K3,MATCH(K79,'状态价值'!$D$1:$K$1,0)))</f>
        <v/>
      </c>
      <c r="M79" s="15">
        <f>NORM.S.INV(RAND())</f>
        <v/>
      </c>
      <c r="N79" s="15">
        <f>IF('组合输入'!$C4="","",'组合输入'!$H4*$B79+SQRT(1-'组合输入'!$H4^2)*M79)</f>
        <v/>
      </c>
      <c r="O79" s="7">
        <f>IF(N79="","",NORM.S.DIST(N79,TRUE))</f>
        <v/>
      </c>
      <c r="P79" s="13">
        <f>IF(O79="","",IF(O79&lt;='组合输入'!$K4,"AAA",IF(O79&lt;='组合输入'!$L4,"AA",IF(O79&lt;='组合输入'!$M4,"A",IF(O79&lt;='组合输入'!$N4,"BBB",IF(O79&lt;='组合输入'!$O4,"BB",IF(O79&lt;='组合输入'!$P4,"B",IF(O79&lt;='组合输入'!$Q4,"CCC","D")))))))</f>
        <v/>
      </c>
      <c r="Q79" s="12">
        <f>IF(P79="","",INDEX('状态价值'!$D4:$K4,MATCH(P79,'状态价值'!$D$1:$K$1,0)))</f>
        <v/>
      </c>
      <c r="R79" s="15">
        <f>NORM.S.INV(RAND())</f>
        <v/>
      </c>
      <c r="S79" s="15">
        <f>IF('组合输入'!$C5="","",'组合输入'!$H5*$B79+SQRT(1-'组合输入'!$H5^2)*R79)</f>
        <v/>
      </c>
      <c r="T79" s="7">
        <f>IF(S79="","",NORM.S.DIST(S79,TRUE))</f>
        <v/>
      </c>
      <c r="U79" s="13">
        <f>IF(T79="","",IF(T79&lt;='组合输入'!$K5,"AAA",IF(T79&lt;='组合输入'!$L5,"AA",IF(T79&lt;='组合输入'!$M5,"A",IF(T79&lt;='组合输入'!$N5,"BBB",IF(T79&lt;='组合输入'!$O5,"BB",IF(T79&lt;='组合输入'!$P5,"B",IF(T79&lt;='组合输入'!$Q5,"CCC","D")))))))</f>
        <v/>
      </c>
      <c r="V79" s="12">
        <f>IF(U79="","",INDEX('状态价值'!$D5:$K5,MATCH(U79,'状态价值'!$D$1:$K$1,0)))</f>
        <v/>
      </c>
      <c r="W79" s="15">
        <f>NORM.S.INV(RAND())</f>
        <v/>
      </c>
      <c r="X79" s="15">
        <f>IF('组合输入'!$C6="","",'组合输入'!$H6*$B79+SQRT(1-'组合输入'!$H6^2)*W79)</f>
        <v/>
      </c>
      <c r="Y79" s="7">
        <f>IF(X79="","",NORM.S.DIST(X79,TRUE))</f>
        <v/>
      </c>
      <c r="Z79" s="13">
        <f>IF(Y79="","",IF(Y79&lt;='组合输入'!$K6,"AAA",IF(Y79&lt;='组合输入'!$L6,"AA",IF(Y79&lt;='组合输入'!$M6,"A",IF(Y79&lt;='组合输入'!$N6,"BBB",IF(Y79&lt;='组合输入'!$O6,"BB",IF(Y79&lt;='组合输入'!$P6,"B",IF(Y79&lt;='组合输入'!$Q6,"CCC","D")))))))</f>
        <v/>
      </c>
      <c r="AA79" s="12">
        <f>IF(Z79="","",INDEX('状态价值'!$D6:$K6,MATCH(Z79,'状态价值'!$D$1:$K$1,0)))</f>
        <v/>
      </c>
      <c r="AB79" s="15">
        <f>NORM.S.INV(RAND())</f>
        <v/>
      </c>
      <c r="AC79" s="15">
        <f>IF('组合输入'!$C7="","",'组合输入'!$H7*$B79+SQRT(1-'组合输入'!$H7^2)*AB79)</f>
        <v/>
      </c>
      <c r="AD79" s="7">
        <f>IF(AC79="","",NORM.S.DIST(AC79,TRUE))</f>
        <v/>
      </c>
      <c r="AE79" s="13">
        <f>IF(AD79="","",IF(AD79&lt;='组合输入'!$K7,"AAA",IF(AD79&lt;='组合输入'!$L7,"AA",IF(AD79&lt;='组合输入'!$M7,"A",IF(AD79&lt;='组合输入'!$N7,"BBB",IF(AD79&lt;='组合输入'!$O7,"BB",IF(AD79&lt;='组合输入'!$P7,"B",IF(AD79&lt;='组合输入'!$Q7,"CCC","D")))))))</f>
        <v/>
      </c>
      <c r="AF79" s="12">
        <f>IF(AE79="","",INDEX('状态价值'!$D7:$K7,MATCH(AE79,'状态价值'!$D$1:$K$1,0)))</f>
        <v/>
      </c>
      <c r="AG79" s="15">
        <f>NORM.S.INV(RAND())</f>
        <v/>
      </c>
      <c r="AH79" s="15">
        <f>IF('组合输入'!$C8="","",'组合输入'!$H8*$B79+SQRT(1-'组合输入'!$H8^2)*AG79)</f>
        <v/>
      </c>
      <c r="AI79" s="7">
        <f>IF(AH79="","",NORM.S.DIST(AH79,TRUE))</f>
        <v/>
      </c>
      <c r="AJ79" s="13">
        <f>IF(AI79="","",IF(AI79&lt;='组合输入'!$K8,"AAA",IF(AI79&lt;='组合输入'!$L8,"AA",IF(AI79&lt;='组合输入'!$M8,"A",IF(AI79&lt;='组合输入'!$N8,"BBB",IF(AI79&lt;='组合输入'!$O8,"BB",IF(AI79&lt;='组合输入'!$P8,"B",IF(AI79&lt;='组合输入'!$Q8,"CCC","D")))))))</f>
        <v/>
      </c>
      <c r="AK79" s="12">
        <f>IF(AJ79="","",INDEX('状态价值'!$D8:$K8,MATCH(AJ79,'状态价值'!$D$1:$K$1,0)))</f>
        <v/>
      </c>
      <c r="AL79" s="15">
        <f>NORM.S.INV(RAND())</f>
        <v/>
      </c>
      <c r="AM79" s="15">
        <f>IF('组合输入'!$C9="","",'组合输入'!$H9*$B79+SQRT(1-'组合输入'!$H9^2)*AL79)</f>
        <v/>
      </c>
      <c r="AN79" s="7">
        <f>IF(AM79="","",NORM.S.DIST(AM79,TRUE))</f>
        <v/>
      </c>
      <c r="AO79" s="13">
        <f>IF(AN79="","",IF(AN79&lt;='组合输入'!$K9,"AAA",IF(AN79&lt;='组合输入'!$L9,"AA",IF(AN79&lt;='组合输入'!$M9,"A",IF(AN79&lt;='组合输入'!$N9,"BBB",IF(AN79&lt;='组合输入'!$O9,"BB",IF(AN79&lt;='组合输入'!$P9,"B",IF(AN79&lt;='组合输入'!$Q9,"CCC","D")))))))</f>
        <v/>
      </c>
      <c r="AP79" s="12">
        <f>IF(AO79="","",INDEX('状态价值'!$D9:$K9,MATCH(AO79,'状态价值'!$D$1:$K$1,0)))</f>
        <v/>
      </c>
      <c r="AQ79" s="15">
        <f>NORM.S.INV(RAND())</f>
        <v/>
      </c>
      <c r="AR79" s="15">
        <f>IF('组合输入'!$C10="","",'组合输入'!$H10*$B79+SQRT(1-'组合输入'!$H10^2)*AQ79)</f>
        <v/>
      </c>
      <c r="AS79" s="7">
        <f>IF(AR79="","",NORM.S.DIST(AR79,TRUE))</f>
        <v/>
      </c>
      <c r="AT79" s="13">
        <f>IF(AS79="","",IF(AS79&lt;='组合输入'!$K10,"AAA",IF(AS79&lt;='组合输入'!$L10,"AA",IF(AS79&lt;='组合输入'!$M10,"A",IF(AS79&lt;='组合输入'!$N10,"BBB",IF(AS79&lt;='组合输入'!$O10,"BB",IF(AS79&lt;='组合输入'!$P10,"B",IF(AS79&lt;='组合输入'!$Q10,"CCC","D")))))))</f>
        <v/>
      </c>
      <c r="AU79" s="12">
        <f>IF(AT79="","",INDEX('状态价值'!$D10:$K10,MATCH(AT79,'状态价值'!$D$1:$K$1,0)))</f>
        <v/>
      </c>
      <c r="AV79" s="15">
        <f>NORM.S.INV(RAND())</f>
        <v/>
      </c>
      <c r="AW79" s="15">
        <f>IF('组合输入'!$C11="","",'组合输入'!$H11*$B79+SQRT(1-'组合输入'!$H11^2)*AV79)</f>
        <v/>
      </c>
      <c r="AX79" s="7">
        <f>IF(AW79="","",NORM.S.DIST(AW79,TRUE))</f>
        <v/>
      </c>
      <c r="AY79" s="13">
        <f>IF(AX79="","",IF(AX79&lt;='组合输入'!$K11,"AAA",IF(AX79&lt;='组合输入'!$L11,"AA",IF(AX79&lt;='组合输入'!$M11,"A",IF(AX79&lt;='组合输入'!$N11,"BBB",IF(AX79&lt;='组合输入'!$O11,"BB",IF(AX79&lt;='组合输入'!$P11,"B",IF(AX79&lt;='组合输入'!$Q11,"CCC","D")))))))</f>
        <v/>
      </c>
      <c r="AZ79" s="12">
        <f>IF(AY79="","",INDEX('状态价值'!$D11:$K11,MATCH(AY79,'状态价值'!$D$1:$K$1,0)))</f>
        <v/>
      </c>
      <c r="BA79" s="12">
        <f>G79+L79+Q79+V79+AA79+AF79+AK79+AP79+AU79+AZ79</f>
        <v/>
      </c>
      <c r="BB79" s="12">
        <f>SUM('组合输入'!$J$2:$J$11)-BA79</f>
        <v/>
      </c>
    </row>
    <row r="80">
      <c r="A80" s="11" t="n">
        <v>79</v>
      </c>
      <c r="B80" s="14">
        <f>NORM.S.INV(RAND())</f>
        <v/>
      </c>
      <c r="C80" s="14">
        <f>NORM.S.INV(RAND())</f>
        <v/>
      </c>
      <c r="D80" s="15">
        <f>IF('组合输入'!$C2="","",'组合输入'!$H2*$B80+SQRT(1-'组合输入'!$H2^2)*C80)</f>
        <v/>
      </c>
      <c r="E80" s="7">
        <f>IF(D80="","",NORM.S.DIST(D80,TRUE))</f>
        <v/>
      </c>
      <c r="F80" s="13">
        <f>IF(E80="","",IF(E80&lt;='组合输入'!$K2,"AAA",IF(E80&lt;='组合输入'!$L2,"AA",IF(E80&lt;='组合输入'!$M2,"A",IF(E80&lt;='组合输入'!$N2,"BBB",IF(E80&lt;='组合输入'!$O2,"BB",IF(E80&lt;='组合输入'!$P2,"B",IF(E80&lt;='组合输入'!$Q2,"CCC","D")))))))</f>
        <v/>
      </c>
      <c r="G80" s="12">
        <f>IF(F80="","",INDEX('状态价值'!$D2:$K2,MATCH(F80,'状态价值'!$D$1:$K$1,0)))</f>
        <v/>
      </c>
      <c r="H80" s="15">
        <f>NORM.S.INV(RAND())</f>
        <v/>
      </c>
      <c r="I80" s="15">
        <f>IF('组合输入'!$C3="","",'组合输入'!$H3*$B80+SQRT(1-'组合输入'!$H3^2)*H80)</f>
        <v/>
      </c>
      <c r="J80" s="7">
        <f>IF(I80="","",NORM.S.DIST(I80,TRUE))</f>
        <v/>
      </c>
      <c r="K80" s="13">
        <f>IF(J80="","",IF(J80&lt;='组合输入'!$K3,"AAA",IF(J80&lt;='组合输入'!$L3,"AA",IF(J80&lt;='组合输入'!$M3,"A",IF(J80&lt;='组合输入'!$N3,"BBB",IF(J80&lt;='组合输入'!$O3,"BB",IF(J80&lt;='组合输入'!$P3,"B",IF(J80&lt;='组合输入'!$Q3,"CCC","D")))))))</f>
        <v/>
      </c>
      <c r="L80" s="12">
        <f>IF(K80="","",INDEX('状态价值'!$D3:$K3,MATCH(K80,'状态价值'!$D$1:$K$1,0)))</f>
        <v/>
      </c>
      <c r="M80" s="15">
        <f>NORM.S.INV(RAND())</f>
        <v/>
      </c>
      <c r="N80" s="15">
        <f>IF('组合输入'!$C4="","",'组合输入'!$H4*$B80+SQRT(1-'组合输入'!$H4^2)*M80)</f>
        <v/>
      </c>
      <c r="O80" s="7">
        <f>IF(N80="","",NORM.S.DIST(N80,TRUE))</f>
        <v/>
      </c>
      <c r="P80" s="13">
        <f>IF(O80="","",IF(O80&lt;='组合输入'!$K4,"AAA",IF(O80&lt;='组合输入'!$L4,"AA",IF(O80&lt;='组合输入'!$M4,"A",IF(O80&lt;='组合输入'!$N4,"BBB",IF(O80&lt;='组合输入'!$O4,"BB",IF(O80&lt;='组合输入'!$P4,"B",IF(O80&lt;='组合输入'!$Q4,"CCC","D")))))))</f>
        <v/>
      </c>
      <c r="Q80" s="12">
        <f>IF(P80="","",INDEX('状态价值'!$D4:$K4,MATCH(P80,'状态价值'!$D$1:$K$1,0)))</f>
        <v/>
      </c>
      <c r="R80" s="15">
        <f>NORM.S.INV(RAND())</f>
        <v/>
      </c>
      <c r="S80" s="15">
        <f>IF('组合输入'!$C5="","",'组合输入'!$H5*$B80+SQRT(1-'组合输入'!$H5^2)*R80)</f>
        <v/>
      </c>
      <c r="T80" s="7">
        <f>IF(S80="","",NORM.S.DIST(S80,TRUE))</f>
        <v/>
      </c>
      <c r="U80" s="13">
        <f>IF(T80="","",IF(T80&lt;='组合输入'!$K5,"AAA",IF(T80&lt;='组合输入'!$L5,"AA",IF(T80&lt;='组合输入'!$M5,"A",IF(T80&lt;='组合输入'!$N5,"BBB",IF(T80&lt;='组合输入'!$O5,"BB",IF(T80&lt;='组合输入'!$P5,"B",IF(T80&lt;='组合输入'!$Q5,"CCC","D")))))))</f>
        <v/>
      </c>
      <c r="V80" s="12">
        <f>IF(U80="","",INDEX('状态价值'!$D5:$K5,MATCH(U80,'状态价值'!$D$1:$K$1,0)))</f>
        <v/>
      </c>
      <c r="W80" s="15">
        <f>NORM.S.INV(RAND())</f>
        <v/>
      </c>
      <c r="X80" s="15">
        <f>IF('组合输入'!$C6="","",'组合输入'!$H6*$B80+SQRT(1-'组合输入'!$H6^2)*W80)</f>
        <v/>
      </c>
      <c r="Y80" s="7">
        <f>IF(X80="","",NORM.S.DIST(X80,TRUE))</f>
        <v/>
      </c>
      <c r="Z80" s="13">
        <f>IF(Y80="","",IF(Y80&lt;='组合输入'!$K6,"AAA",IF(Y80&lt;='组合输入'!$L6,"AA",IF(Y80&lt;='组合输入'!$M6,"A",IF(Y80&lt;='组合输入'!$N6,"BBB",IF(Y80&lt;='组合输入'!$O6,"BB",IF(Y80&lt;='组合输入'!$P6,"B",IF(Y80&lt;='组合输入'!$Q6,"CCC","D")))))))</f>
        <v/>
      </c>
      <c r="AA80" s="12">
        <f>IF(Z80="","",INDEX('状态价值'!$D6:$K6,MATCH(Z80,'状态价值'!$D$1:$K$1,0)))</f>
        <v/>
      </c>
      <c r="AB80" s="15">
        <f>NORM.S.INV(RAND())</f>
        <v/>
      </c>
      <c r="AC80" s="15">
        <f>IF('组合输入'!$C7="","",'组合输入'!$H7*$B80+SQRT(1-'组合输入'!$H7^2)*AB80)</f>
        <v/>
      </c>
      <c r="AD80" s="7">
        <f>IF(AC80="","",NORM.S.DIST(AC80,TRUE))</f>
        <v/>
      </c>
      <c r="AE80" s="13">
        <f>IF(AD80="","",IF(AD80&lt;='组合输入'!$K7,"AAA",IF(AD80&lt;='组合输入'!$L7,"AA",IF(AD80&lt;='组合输入'!$M7,"A",IF(AD80&lt;='组合输入'!$N7,"BBB",IF(AD80&lt;='组合输入'!$O7,"BB",IF(AD80&lt;='组合输入'!$P7,"B",IF(AD80&lt;='组合输入'!$Q7,"CCC","D")))))))</f>
        <v/>
      </c>
      <c r="AF80" s="12">
        <f>IF(AE80="","",INDEX('状态价值'!$D7:$K7,MATCH(AE80,'状态价值'!$D$1:$K$1,0)))</f>
        <v/>
      </c>
      <c r="AG80" s="15">
        <f>NORM.S.INV(RAND())</f>
        <v/>
      </c>
      <c r="AH80" s="15">
        <f>IF('组合输入'!$C8="","",'组合输入'!$H8*$B80+SQRT(1-'组合输入'!$H8^2)*AG80)</f>
        <v/>
      </c>
      <c r="AI80" s="7">
        <f>IF(AH80="","",NORM.S.DIST(AH80,TRUE))</f>
        <v/>
      </c>
      <c r="AJ80" s="13">
        <f>IF(AI80="","",IF(AI80&lt;='组合输入'!$K8,"AAA",IF(AI80&lt;='组合输入'!$L8,"AA",IF(AI80&lt;='组合输入'!$M8,"A",IF(AI80&lt;='组合输入'!$N8,"BBB",IF(AI80&lt;='组合输入'!$O8,"BB",IF(AI80&lt;='组合输入'!$P8,"B",IF(AI80&lt;='组合输入'!$Q8,"CCC","D")))))))</f>
        <v/>
      </c>
      <c r="AK80" s="12">
        <f>IF(AJ80="","",INDEX('状态价值'!$D8:$K8,MATCH(AJ80,'状态价值'!$D$1:$K$1,0)))</f>
        <v/>
      </c>
      <c r="AL80" s="15">
        <f>NORM.S.INV(RAND())</f>
        <v/>
      </c>
      <c r="AM80" s="15">
        <f>IF('组合输入'!$C9="","",'组合输入'!$H9*$B80+SQRT(1-'组合输入'!$H9^2)*AL80)</f>
        <v/>
      </c>
      <c r="AN80" s="7">
        <f>IF(AM80="","",NORM.S.DIST(AM80,TRUE))</f>
        <v/>
      </c>
      <c r="AO80" s="13">
        <f>IF(AN80="","",IF(AN80&lt;='组合输入'!$K9,"AAA",IF(AN80&lt;='组合输入'!$L9,"AA",IF(AN80&lt;='组合输入'!$M9,"A",IF(AN80&lt;='组合输入'!$N9,"BBB",IF(AN80&lt;='组合输入'!$O9,"BB",IF(AN80&lt;='组合输入'!$P9,"B",IF(AN80&lt;='组合输入'!$Q9,"CCC","D")))))))</f>
        <v/>
      </c>
      <c r="AP80" s="12">
        <f>IF(AO80="","",INDEX('状态价值'!$D9:$K9,MATCH(AO80,'状态价值'!$D$1:$K$1,0)))</f>
        <v/>
      </c>
      <c r="AQ80" s="15">
        <f>NORM.S.INV(RAND())</f>
        <v/>
      </c>
      <c r="AR80" s="15">
        <f>IF('组合输入'!$C10="","",'组合输入'!$H10*$B80+SQRT(1-'组合输入'!$H10^2)*AQ80)</f>
        <v/>
      </c>
      <c r="AS80" s="7">
        <f>IF(AR80="","",NORM.S.DIST(AR80,TRUE))</f>
        <v/>
      </c>
      <c r="AT80" s="13">
        <f>IF(AS80="","",IF(AS80&lt;='组合输入'!$K10,"AAA",IF(AS80&lt;='组合输入'!$L10,"AA",IF(AS80&lt;='组合输入'!$M10,"A",IF(AS80&lt;='组合输入'!$N10,"BBB",IF(AS80&lt;='组合输入'!$O10,"BB",IF(AS80&lt;='组合输入'!$P10,"B",IF(AS80&lt;='组合输入'!$Q10,"CCC","D")))))))</f>
        <v/>
      </c>
      <c r="AU80" s="12">
        <f>IF(AT80="","",INDEX('状态价值'!$D10:$K10,MATCH(AT80,'状态价值'!$D$1:$K$1,0)))</f>
        <v/>
      </c>
      <c r="AV80" s="15">
        <f>NORM.S.INV(RAND())</f>
        <v/>
      </c>
      <c r="AW80" s="15">
        <f>IF('组合输入'!$C11="","",'组合输入'!$H11*$B80+SQRT(1-'组合输入'!$H11^2)*AV80)</f>
        <v/>
      </c>
      <c r="AX80" s="7">
        <f>IF(AW80="","",NORM.S.DIST(AW80,TRUE))</f>
        <v/>
      </c>
      <c r="AY80" s="13">
        <f>IF(AX80="","",IF(AX80&lt;='组合输入'!$K11,"AAA",IF(AX80&lt;='组合输入'!$L11,"AA",IF(AX80&lt;='组合输入'!$M11,"A",IF(AX80&lt;='组合输入'!$N11,"BBB",IF(AX80&lt;='组合输入'!$O11,"BB",IF(AX80&lt;='组合输入'!$P11,"B",IF(AX80&lt;='组合输入'!$Q11,"CCC","D")))))))</f>
        <v/>
      </c>
      <c r="AZ80" s="12">
        <f>IF(AY80="","",INDEX('状态价值'!$D11:$K11,MATCH(AY80,'状态价值'!$D$1:$K$1,0)))</f>
        <v/>
      </c>
      <c r="BA80" s="12">
        <f>G80+L80+Q80+V80+AA80+AF80+AK80+AP80+AU80+AZ80</f>
        <v/>
      </c>
      <c r="BB80" s="12">
        <f>SUM('组合输入'!$J$2:$J$11)-BA80</f>
        <v/>
      </c>
    </row>
    <row r="81">
      <c r="A81" s="11" t="n">
        <v>80</v>
      </c>
      <c r="B81" s="14">
        <f>NORM.S.INV(RAND())</f>
        <v/>
      </c>
      <c r="C81" s="14">
        <f>NORM.S.INV(RAND())</f>
        <v/>
      </c>
      <c r="D81" s="15">
        <f>IF('组合输入'!$C2="","",'组合输入'!$H2*$B81+SQRT(1-'组合输入'!$H2^2)*C81)</f>
        <v/>
      </c>
      <c r="E81" s="7">
        <f>IF(D81="","",NORM.S.DIST(D81,TRUE))</f>
        <v/>
      </c>
      <c r="F81" s="13">
        <f>IF(E81="","",IF(E81&lt;='组合输入'!$K2,"AAA",IF(E81&lt;='组合输入'!$L2,"AA",IF(E81&lt;='组合输入'!$M2,"A",IF(E81&lt;='组合输入'!$N2,"BBB",IF(E81&lt;='组合输入'!$O2,"BB",IF(E81&lt;='组合输入'!$P2,"B",IF(E81&lt;='组合输入'!$Q2,"CCC","D")))))))</f>
        <v/>
      </c>
      <c r="G81" s="12">
        <f>IF(F81="","",INDEX('状态价值'!$D2:$K2,MATCH(F81,'状态价值'!$D$1:$K$1,0)))</f>
        <v/>
      </c>
      <c r="H81" s="15">
        <f>NORM.S.INV(RAND())</f>
        <v/>
      </c>
      <c r="I81" s="15">
        <f>IF('组合输入'!$C3="","",'组合输入'!$H3*$B81+SQRT(1-'组合输入'!$H3^2)*H81)</f>
        <v/>
      </c>
      <c r="J81" s="7">
        <f>IF(I81="","",NORM.S.DIST(I81,TRUE))</f>
        <v/>
      </c>
      <c r="K81" s="13">
        <f>IF(J81="","",IF(J81&lt;='组合输入'!$K3,"AAA",IF(J81&lt;='组合输入'!$L3,"AA",IF(J81&lt;='组合输入'!$M3,"A",IF(J81&lt;='组合输入'!$N3,"BBB",IF(J81&lt;='组合输入'!$O3,"BB",IF(J81&lt;='组合输入'!$P3,"B",IF(J81&lt;='组合输入'!$Q3,"CCC","D")))))))</f>
        <v/>
      </c>
      <c r="L81" s="12">
        <f>IF(K81="","",INDEX('状态价值'!$D3:$K3,MATCH(K81,'状态价值'!$D$1:$K$1,0)))</f>
        <v/>
      </c>
      <c r="M81" s="15">
        <f>NORM.S.INV(RAND())</f>
        <v/>
      </c>
      <c r="N81" s="15">
        <f>IF('组合输入'!$C4="","",'组合输入'!$H4*$B81+SQRT(1-'组合输入'!$H4^2)*M81)</f>
        <v/>
      </c>
      <c r="O81" s="7">
        <f>IF(N81="","",NORM.S.DIST(N81,TRUE))</f>
        <v/>
      </c>
      <c r="P81" s="13">
        <f>IF(O81="","",IF(O81&lt;='组合输入'!$K4,"AAA",IF(O81&lt;='组合输入'!$L4,"AA",IF(O81&lt;='组合输入'!$M4,"A",IF(O81&lt;='组合输入'!$N4,"BBB",IF(O81&lt;='组合输入'!$O4,"BB",IF(O81&lt;='组合输入'!$P4,"B",IF(O81&lt;='组合输入'!$Q4,"CCC","D")))))))</f>
        <v/>
      </c>
      <c r="Q81" s="12">
        <f>IF(P81="","",INDEX('状态价值'!$D4:$K4,MATCH(P81,'状态价值'!$D$1:$K$1,0)))</f>
        <v/>
      </c>
      <c r="R81" s="15">
        <f>NORM.S.INV(RAND())</f>
        <v/>
      </c>
      <c r="S81" s="15">
        <f>IF('组合输入'!$C5="","",'组合输入'!$H5*$B81+SQRT(1-'组合输入'!$H5^2)*R81)</f>
        <v/>
      </c>
      <c r="T81" s="7">
        <f>IF(S81="","",NORM.S.DIST(S81,TRUE))</f>
        <v/>
      </c>
      <c r="U81" s="13">
        <f>IF(T81="","",IF(T81&lt;='组合输入'!$K5,"AAA",IF(T81&lt;='组合输入'!$L5,"AA",IF(T81&lt;='组合输入'!$M5,"A",IF(T81&lt;='组合输入'!$N5,"BBB",IF(T81&lt;='组合输入'!$O5,"BB",IF(T81&lt;='组合输入'!$P5,"B",IF(T81&lt;='组合输入'!$Q5,"CCC","D")))))))</f>
        <v/>
      </c>
      <c r="V81" s="12">
        <f>IF(U81="","",INDEX('状态价值'!$D5:$K5,MATCH(U81,'状态价值'!$D$1:$K$1,0)))</f>
        <v/>
      </c>
      <c r="W81" s="15">
        <f>NORM.S.INV(RAND())</f>
        <v/>
      </c>
      <c r="X81" s="15">
        <f>IF('组合输入'!$C6="","",'组合输入'!$H6*$B81+SQRT(1-'组合输入'!$H6^2)*W81)</f>
        <v/>
      </c>
      <c r="Y81" s="7">
        <f>IF(X81="","",NORM.S.DIST(X81,TRUE))</f>
        <v/>
      </c>
      <c r="Z81" s="13">
        <f>IF(Y81="","",IF(Y81&lt;='组合输入'!$K6,"AAA",IF(Y81&lt;='组合输入'!$L6,"AA",IF(Y81&lt;='组合输入'!$M6,"A",IF(Y81&lt;='组合输入'!$N6,"BBB",IF(Y81&lt;='组合输入'!$O6,"BB",IF(Y81&lt;='组合输入'!$P6,"B",IF(Y81&lt;='组合输入'!$Q6,"CCC","D")))))))</f>
        <v/>
      </c>
      <c r="AA81" s="12">
        <f>IF(Z81="","",INDEX('状态价值'!$D6:$K6,MATCH(Z81,'状态价值'!$D$1:$K$1,0)))</f>
        <v/>
      </c>
      <c r="AB81" s="15">
        <f>NORM.S.INV(RAND())</f>
        <v/>
      </c>
      <c r="AC81" s="15">
        <f>IF('组合输入'!$C7="","",'组合输入'!$H7*$B81+SQRT(1-'组合输入'!$H7^2)*AB81)</f>
        <v/>
      </c>
      <c r="AD81" s="7">
        <f>IF(AC81="","",NORM.S.DIST(AC81,TRUE))</f>
        <v/>
      </c>
      <c r="AE81" s="13">
        <f>IF(AD81="","",IF(AD81&lt;='组合输入'!$K7,"AAA",IF(AD81&lt;='组合输入'!$L7,"AA",IF(AD81&lt;='组合输入'!$M7,"A",IF(AD81&lt;='组合输入'!$N7,"BBB",IF(AD81&lt;='组合输入'!$O7,"BB",IF(AD81&lt;='组合输入'!$P7,"B",IF(AD81&lt;='组合输入'!$Q7,"CCC","D")))))))</f>
        <v/>
      </c>
      <c r="AF81" s="12">
        <f>IF(AE81="","",INDEX('状态价值'!$D7:$K7,MATCH(AE81,'状态价值'!$D$1:$K$1,0)))</f>
        <v/>
      </c>
      <c r="AG81" s="15">
        <f>NORM.S.INV(RAND())</f>
        <v/>
      </c>
      <c r="AH81" s="15">
        <f>IF('组合输入'!$C8="","",'组合输入'!$H8*$B81+SQRT(1-'组合输入'!$H8^2)*AG81)</f>
        <v/>
      </c>
      <c r="AI81" s="7">
        <f>IF(AH81="","",NORM.S.DIST(AH81,TRUE))</f>
        <v/>
      </c>
      <c r="AJ81" s="13">
        <f>IF(AI81="","",IF(AI81&lt;='组合输入'!$K8,"AAA",IF(AI81&lt;='组合输入'!$L8,"AA",IF(AI81&lt;='组合输入'!$M8,"A",IF(AI81&lt;='组合输入'!$N8,"BBB",IF(AI81&lt;='组合输入'!$O8,"BB",IF(AI81&lt;='组合输入'!$P8,"B",IF(AI81&lt;='组合输入'!$Q8,"CCC","D")))))))</f>
        <v/>
      </c>
      <c r="AK81" s="12">
        <f>IF(AJ81="","",INDEX('状态价值'!$D8:$K8,MATCH(AJ81,'状态价值'!$D$1:$K$1,0)))</f>
        <v/>
      </c>
      <c r="AL81" s="15">
        <f>NORM.S.INV(RAND())</f>
        <v/>
      </c>
      <c r="AM81" s="15">
        <f>IF('组合输入'!$C9="","",'组合输入'!$H9*$B81+SQRT(1-'组合输入'!$H9^2)*AL81)</f>
        <v/>
      </c>
      <c r="AN81" s="7">
        <f>IF(AM81="","",NORM.S.DIST(AM81,TRUE))</f>
        <v/>
      </c>
      <c r="AO81" s="13">
        <f>IF(AN81="","",IF(AN81&lt;='组合输入'!$K9,"AAA",IF(AN81&lt;='组合输入'!$L9,"AA",IF(AN81&lt;='组合输入'!$M9,"A",IF(AN81&lt;='组合输入'!$N9,"BBB",IF(AN81&lt;='组合输入'!$O9,"BB",IF(AN81&lt;='组合输入'!$P9,"B",IF(AN81&lt;='组合输入'!$Q9,"CCC","D")))))))</f>
        <v/>
      </c>
      <c r="AP81" s="12">
        <f>IF(AO81="","",INDEX('状态价值'!$D9:$K9,MATCH(AO81,'状态价值'!$D$1:$K$1,0)))</f>
        <v/>
      </c>
      <c r="AQ81" s="15">
        <f>NORM.S.INV(RAND())</f>
        <v/>
      </c>
      <c r="AR81" s="15">
        <f>IF('组合输入'!$C10="","",'组合输入'!$H10*$B81+SQRT(1-'组合输入'!$H10^2)*AQ81)</f>
        <v/>
      </c>
      <c r="AS81" s="7">
        <f>IF(AR81="","",NORM.S.DIST(AR81,TRUE))</f>
        <v/>
      </c>
      <c r="AT81" s="13">
        <f>IF(AS81="","",IF(AS81&lt;='组合输入'!$K10,"AAA",IF(AS81&lt;='组合输入'!$L10,"AA",IF(AS81&lt;='组合输入'!$M10,"A",IF(AS81&lt;='组合输入'!$N10,"BBB",IF(AS81&lt;='组合输入'!$O10,"BB",IF(AS81&lt;='组合输入'!$P10,"B",IF(AS81&lt;='组合输入'!$Q10,"CCC","D")))))))</f>
        <v/>
      </c>
      <c r="AU81" s="12">
        <f>IF(AT81="","",INDEX('状态价值'!$D10:$K10,MATCH(AT81,'状态价值'!$D$1:$K$1,0)))</f>
        <v/>
      </c>
      <c r="AV81" s="15">
        <f>NORM.S.INV(RAND())</f>
        <v/>
      </c>
      <c r="AW81" s="15">
        <f>IF('组合输入'!$C11="","",'组合输入'!$H11*$B81+SQRT(1-'组合输入'!$H11^2)*AV81)</f>
        <v/>
      </c>
      <c r="AX81" s="7">
        <f>IF(AW81="","",NORM.S.DIST(AW81,TRUE))</f>
        <v/>
      </c>
      <c r="AY81" s="13">
        <f>IF(AX81="","",IF(AX81&lt;='组合输入'!$K11,"AAA",IF(AX81&lt;='组合输入'!$L11,"AA",IF(AX81&lt;='组合输入'!$M11,"A",IF(AX81&lt;='组合输入'!$N11,"BBB",IF(AX81&lt;='组合输入'!$O11,"BB",IF(AX81&lt;='组合输入'!$P11,"B",IF(AX81&lt;='组合输入'!$Q11,"CCC","D")))))))</f>
        <v/>
      </c>
      <c r="AZ81" s="12">
        <f>IF(AY81="","",INDEX('状态价值'!$D11:$K11,MATCH(AY81,'状态价值'!$D$1:$K$1,0)))</f>
        <v/>
      </c>
      <c r="BA81" s="12">
        <f>G81+L81+Q81+V81+AA81+AF81+AK81+AP81+AU81+AZ81</f>
        <v/>
      </c>
      <c r="BB81" s="12">
        <f>SUM('组合输入'!$J$2:$J$11)-BA81</f>
        <v/>
      </c>
    </row>
    <row r="82">
      <c r="A82" s="11" t="n">
        <v>81</v>
      </c>
      <c r="B82" s="14">
        <f>NORM.S.INV(RAND())</f>
        <v/>
      </c>
      <c r="C82" s="14">
        <f>NORM.S.INV(RAND())</f>
        <v/>
      </c>
      <c r="D82" s="15">
        <f>IF('组合输入'!$C2="","",'组合输入'!$H2*$B82+SQRT(1-'组合输入'!$H2^2)*C82)</f>
        <v/>
      </c>
      <c r="E82" s="7">
        <f>IF(D82="","",NORM.S.DIST(D82,TRUE))</f>
        <v/>
      </c>
      <c r="F82" s="13">
        <f>IF(E82="","",IF(E82&lt;='组合输入'!$K2,"AAA",IF(E82&lt;='组合输入'!$L2,"AA",IF(E82&lt;='组合输入'!$M2,"A",IF(E82&lt;='组合输入'!$N2,"BBB",IF(E82&lt;='组合输入'!$O2,"BB",IF(E82&lt;='组合输入'!$P2,"B",IF(E82&lt;='组合输入'!$Q2,"CCC","D")))))))</f>
        <v/>
      </c>
      <c r="G82" s="12">
        <f>IF(F82="","",INDEX('状态价值'!$D2:$K2,MATCH(F82,'状态价值'!$D$1:$K$1,0)))</f>
        <v/>
      </c>
      <c r="H82" s="15">
        <f>NORM.S.INV(RAND())</f>
        <v/>
      </c>
      <c r="I82" s="15">
        <f>IF('组合输入'!$C3="","",'组合输入'!$H3*$B82+SQRT(1-'组合输入'!$H3^2)*H82)</f>
        <v/>
      </c>
      <c r="J82" s="7">
        <f>IF(I82="","",NORM.S.DIST(I82,TRUE))</f>
        <v/>
      </c>
      <c r="K82" s="13">
        <f>IF(J82="","",IF(J82&lt;='组合输入'!$K3,"AAA",IF(J82&lt;='组合输入'!$L3,"AA",IF(J82&lt;='组合输入'!$M3,"A",IF(J82&lt;='组合输入'!$N3,"BBB",IF(J82&lt;='组合输入'!$O3,"BB",IF(J82&lt;='组合输入'!$P3,"B",IF(J82&lt;='组合输入'!$Q3,"CCC","D")))))))</f>
        <v/>
      </c>
      <c r="L82" s="12">
        <f>IF(K82="","",INDEX('状态价值'!$D3:$K3,MATCH(K82,'状态价值'!$D$1:$K$1,0)))</f>
        <v/>
      </c>
      <c r="M82" s="15">
        <f>NORM.S.INV(RAND())</f>
        <v/>
      </c>
      <c r="N82" s="15">
        <f>IF('组合输入'!$C4="","",'组合输入'!$H4*$B82+SQRT(1-'组合输入'!$H4^2)*M82)</f>
        <v/>
      </c>
      <c r="O82" s="7">
        <f>IF(N82="","",NORM.S.DIST(N82,TRUE))</f>
        <v/>
      </c>
      <c r="P82" s="13">
        <f>IF(O82="","",IF(O82&lt;='组合输入'!$K4,"AAA",IF(O82&lt;='组合输入'!$L4,"AA",IF(O82&lt;='组合输入'!$M4,"A",IF(O82&lt;='组合输入'!$N4,"BBB",IF(O82&lt;='组合输入'!$O4,"BB",IF(O82&lt;='组合输入'!$P4,"B",IF(O82&lt;='组合输入'!$Q4,"CCC","D")))))))</f>
        <v/>
      </c>
      <c r="Q82" s="12">
        <f>IF(P82="","",INDEX('状态价值'!$D4:$K4,MATCH(P82,'状态价值'!$D$1:$K$1,0)))</f>
        <v/>
      </c>
      <c r="R82" s="15">
        <f>NORM.S.INV(RAND())</f>
        <v/>
      </c>
      <c r="S82" s="15">
        <f>IF('组合输入'!$C5="","",'组合输入'!$H5*$B82+SQRT(1-'组合输入'!$H5^2)*R82)</f>
        <v/>
      </c>
      <c r="T82" s="7">
        <f>IF(S82="","",NORM.S.DIST(S82,TRUE))</f>
        <v/>
      </c>
      <c r="U82" s="13">
        <f>IF(T82="","",IF(T82&lt;='组合输入'!$K5,"AAA",IF(T82&lt;='组合输入'!$L5,"AA",IF(T82&lt;='组合输入'!$M5,"A",IF(T82&lt;='组合输入'!$N5,"BBB",IF(T82&lt;='组合输入'!$O5,"BB",IF(T82&lt;='组合输入'!$P5,"B",IF(T82&lt;='组合输入'!$Q5,"CCC","D")))))))</f>
        <v/>
      </c>
      <c r="V82" s="12">
        <f>IF(U82="","",INDEX('状态价值'!$D5:$K5,MATCH(U82,'状态价值'!$D$1:$K$1,0)))</f>
        <v/>
      </c>
      <c r="W82" s="15">
        <f>NORM.S.INV(RAND())</f>
        <v/>
      </c>
      <c r="X82" s="15">
        <f>IF('组合输入'!$C6="","",'组合输入'!$H6*$B82+SQRT(1-'组合输入'!$H6^2)*W82)</f>
        <v/>
      </c>
      <c r="Y82" s="7">
        <f>IF(X82="","",NORM.S.DIST(X82,TRUE))</f>
        <v/>
      </c>
      <c r="Z82" s="13">
        <f>IF(Y82="","",IF(Y82&lt;='组合输入'!$K6,"AAA",IF(Y82&lt;='组合输入'!$L6,"AA",IF(Y82&lt;='组合输入'!$M6,"A",IF(Y82&lt;='组合输入'!$N6,"BBB",IF(Y82&lt;='组合输入'!$O6,"BB",IF(Y82&lt;='组合输入'!$P6,"B",IF(Y82&lt;='组合输入'!$Q6,"CCC","D")))))))</f>
        <v/>
      </c>
      <c r="AA82" s="12">
        <f>IF(Z82="","",INDEX('状态价值'!$D6:$K6,MATCH(Z82,'状态价值'!$D$1:$K$1,0)))</f>
        <v/>
      </c>
      <c r="AB82" s="15">
        <f>NORM.S.INV(RAND())</f>
        <v/>
      </c>
      <c r="AC82" s="15">
        <f>IF('组合输入'!$C7="","",'组合输入'!$H7*$B82+SQRT(1-'组合输入'!$H7^2)*AB82)</f>
        <v/>
      </c>
      <c r="AD82" s="7">
        <f>IF(AC82="","",NORM.S.DIST(AC82,TRUE))</f>
        <v/>
      </c>
      <c r="AE82" s="13">
        <f>IF(AD82="","",IF(AD82&lt;='组合输入'!$K7,"AAA",IF(AD82&lt;='组合输入'!$L7,"AA",IF(AD82&lt;='组合输入'!$M7,"A",IF(AD82&lt;='组合输入'!$N7,"BBB",IF(AD82&lt;='组合输入'!$O7,"BB",IF(AD82&lt;='组合输入'!$P7,"B",IF(AD82&lt;='组合输入'!$Q7,"CCC","D")))))))</f>
        <v/>
      </c>
      <c r="AF82" s="12">
        <f>IF(AE82="","",INDEX('状态价值'!$D7:$K7,MATCH(AE82,'状态价值'!$D$1:$K$1,0)))</f>
        <v/>
      </c>
      <c r="AG82" s="15">
        <f>NORM.S.INV(RAND())</f>
        <v/>
      </c>
      <c r="AH82" s="15">
        <f>IF('组合输入'!$C8="","",'组合输入'!$H8*$B82+SQRT(1-'组合输入'!$H8^2)*AG82)</f>
        <v/>
      </c>
      <c r="AI82" s="7">
        <f>IF(AH82="","",NORM.S.DIST(AH82,TRUE))</f>
        <v/>
      </c>
      <c r="AJ82" s="13">
        <f>IF(AI82="","",IF(AI82&lt;='组合输入'!$K8,"AAA",IF(AI82&lt;='组合输入'!$L8,"AA",IF(AI82&lt;='组合输入'!$M8,"A",IF(AI82&lt;='组合输入'!$N8,"BBB",IF(AI82&lt;='组合输入'!$O8,"BB",IF(AI82&lt;='组合输入'!$P8,"B",IF(AI82&lt;='组合输入'!$Q8,"CCC","D")))))))</f>
        <v/>
      </c>
      <c r="AK82" s="12">
        <f>IF(AJ82="","",INDEX('状态价值'!$D8:$K8,MATCH(AJ82,'状态价值'!$D$1:$K$1,0)))</f>
        <v/>
      </c>
      <c r="AL82" s="15">
        <f>NORM.S.INV(RAND())</f>
        <v/>
      </c>
      <c r="AM82" s="15">
        <f>IF('组合输入'!$C9="","",'组合输入'!$H9*$B82+SQRT(1-'组合输入'!$H9^2)*AL82)</f>
        <v/>
      </c>
      <c r="AN82" s="7">
        <f>IF(AM82="","",NORM.S.DIST(AM82,TRUE))</f>
        <v/>
      </c>
      <c r="AO82" s="13">
        <f>IF(AN82="","",IF(AN82&lt;='组合输入'!$K9,"AAA",IF(AN82&lt;='组合输入'!$L9,"AA",IF(AN82&lt;='组合输入'!$M9,"A",IF(AN82&lt;='组合输入'!$N9,"BBB",IF(AN82&lt;='组合输入'!$O9,"BB",IF(AN82&lt;='组合输入'!$P9,"B",IF(AN82&lt;='组合输入'!$Q9,"CCC","D")))))))</f>
        <v/>
      </c>
      <c r="AP82" s="12">
        <f>IF(AO82="","",INDEX('状态价值'!$D9:$K9,MATCH(AO82,'状态价值'!$D$1:$K$1,0)))</f>
        <v/>
      </c>
      <c r="AQ82" s="15">
        <f>NORM.S.INV(RAND())</f>
        <v/>
      </c>
      <c r="AR82" s="15">
        <f>IF('组合输入'!$C10="","",'组合输入'!$H10*$B82+SQRT(1-'组合输入'!$H10^2)*AQ82)</f>
        <v/>
      </c>
      <c r="AS82" s="7">
        <f>IF(AR82="","",NORM.S.DIST(AR82,TRUE))</f>
        <v/>
      </c>
      <c r="AT82" s="13">
        <f>IF(AS82="","",IF(AS82&lt;='组合输入'!$K10,"AAA",IF(AS82&lt;='组合输入'!$L10,"AA",IF(AS82&lt;='组合输入'!$M10,"A",IF(AS82&lt;='组合输入'!$N10,"BBB",IF(AS82&lt;='组合输入'!$O10,"BB",IF(AS82&lt;='组合输入'!$P10,"B",IF(AS82&lt;='组合输入'!$Q10,"CCC","D")))))))</f>
        <v/>
      </c>
      <c r="AU82" s="12">
        <f>IF(AT82="","",INDEX('状态价值'!$D10:$K10,MATCH(AT82,'状态价值'!$D$1:$K$1,0)))</f>
        <v/>
      </c>
      <c r="AV82" s="15">
        <f>NORM.S.INV(RAND())</f>
        <v/>
      </c>
      <c r="AW82" s="15">
        <f>IF('组合输入'!$C11="","",'组合输入'!$H11*$B82+SQRT(1-'组合输入'!$H11^2)*AV82)</f>
        <v/>
      </c>
      <c r="AX82" s="7">
        <f>IF(AW82="","",NORM.S.DIST(AW82,TRUE))</f>
        <v/>
      </c>
      <c r="AY82" s="13">
        <f>IF(AX82="","",IF(AX82&lt;='组合输入'!$K11,"AAA",IF(AX82&lt;='组合输入'!$L11,"AA",IF(AX82&lt;='组合输入'!$M11,"A",IF(AX82&lt;='组合输入'!$N11,"BBB",IF(AX82&lt;='组合输入'!$O11,"BB",IF(AX82&lt;='组合输入'!$P11,"B",IF(AX82&lt;='组合输入'!$Q11,"CCC","D")))))))</f>
        <v/>
      </c>
      <c r="AZ82" s="12">
        <f>IF(AY82="","",INDEX('状态价值'!$D11:$K11,MATCH(AY82,'状态价值'!$D$1:$K$1,0)))</f>
        <v/>
      </c>
      <c r="BA82" s="12">
        <f>G82+L82+Q82+V82+AA82+AF82+AK82+AP82+AU82+AZ82</f>
        <v/>
      </c>
      <c r="BB82" s="12">
        <f>SUM('组合输入'!$J$2:$J$11)-BA82</f>
        <v/>
      </c>
    </row>
    <row r="83">
      <c r="A83" s="11" t="n">
        <v>82</v>
      </c>
      <c r="B83" s="14">
        <f>NORM.S.INV(RAND())</f>
        <v/>
      </c>
      <c r="C83" s="14">
        <f>NORM.S.INV(RAND())</f>
        <v/>
      </c>
      <c r="D83" s="15">
        <f>IF('组合输入'!$C2="","",'组合输入'!$H2*$B83+SQRT(1-'组合输入'!$H2^2)*C83)</f>
        <v/>
      </c>
      <c r="E83" s="7">
        <f>IF(D83="","",NORM.S.DIST(D83,TRUE))</f>
        <v/>
      </c>
      <c r="F83" s="13">
        <f>IF(E83="","",IF(E83&lt;='组合输入'!$K2,"AAA",IF(E83&lt;='组合输入'!$L2,"AA",IF(E83&lt;='组合输入'!$M2,"A",IF(E83&lt;='组合输入'!$N2,"BBB",IF(E83&lt;='组合输入'!$O2,"BB",IF(E83&lt;='组合输入'!$P2,"B",IF(E83&lt;='组合输入'!$Q2,"CCC","D")))))))</f>
        <v/>
      </c>
      <c r="G83" s="12">
        <f>IF(F83="","",INDEX('状态价值'!$D2:$K2,MATCH(F83,'状态价值'!$D$1:$K$1,0)))</f>
        <v/>
      </c>
      <c r="H83" s="15">
        <f>NORM.S.INV(RAND())</f>
        <v/>
      </c>
      <c r="I83" s="15">
        <f>IF('组合输入'!$C3="","",'组合输入'!$H3*$B83+SQRT(1-'组合输入'!$H3^2)*H83)</f>
        <v/>
      </c>
      <c r="J83" s="7">
        <f>IF(I83="","",NORM.S.DIST(I83,TRUE))</f>
        <v/>
      </c>
      <c r="K83" s="13">
        <f>IF(J83="","",IF(J83&lt;='组合输入'!$K3,"AAA",IF(J83&lt;='组合输入'!$L3,"AA",IF(J83&lt;='组合输入'!$M3,"A",IF(J83&lt;='组合输入'!$N3,"BBB",IF(J83&lt;='组合输入'!$O3,"BB",IF(J83&lt;='组合输入'!$P3,"B",IF(J83&lt;='组合输入'!$Q3,"CCC","D")))))))</f>
        <v/>
      </c>
      <c r="L83" s="12">
        <f>IF(K83="","",INDEX('状态价值'!$D3:$K3,MATCH(K83,'状态价值'!$D$1:$K$1,0)))</f>
        <v/>
      </c>
      <c r="M83" s="15">
        <f>NORM.S.INV(RAND())</f>
        <v/>
      </c>
      <c r="N83" s="15">
        <f>IF('组合输入'!$C4="","",'组合输入'!$H4*$B83+SQRT(1-'组合输入'!$H4^2)*M83)</f>
        <v/>
      </c>
      <c r="O83" s="7">
        <f>IF(N83="","",NORM.S.DIST(N83,TRUE))</f>
        <v/>
      </c>
      <c r="P83" s="13">
        <f>IF(O83="","",IF(O83&lt;='组合输入'!$K4,"AAA",IF(O83&lt;='组合输入'!$L4,"AA",IF(O83&lt;='组合输入'!$M4,"A",IF(O83&lt;='组合输入'!$N4,"BBB",IF(O83&lt;='组合输入'!$O4,"BB",IF(O83&lt;='组合输入'!$P4,"B",IF(O83&lt;='组合输入'!$Q4,"CCC","D")))))))</f>
        <v/>
      </c>
      <c r="Q83" s="12">
        <f>IF(P83="","",INDEX('状态价值'!$D4:$K4,MATCH(P83,'状态价值'!$D$1:$K$1,0)))</f>
        <v/>
      </c>
      <c r="R83" s="15">
        <f>NORM.S.INV(RAND())</f>
        <v/>
      </c>
      <c r="S83" s="15">
        <f>IF('组合输入'!$C5="","",'组合输入'!$H5*$B83+SQRT(1-'组合输入'!$H5^2)*R83)</f>
        <v/>
      </c>
      <c r="T83" s="7">
        <f>IF(S83="","",NORM.S.DIST(S83,TRUE))</f>
        <v/>
      </c>
      <c r="U83" s="13">
        <f>IF(T83="","",IF(T83&lt;='组合输入'!$K5,"AAA",IF(T83&lt;='组合输入'!$L5,"AA",IF(T83&lt;='组合输入'!$M5,"A",IF(T83&lt;='组合输入'!$N5,"BBB",IF(T83&lt;='组合输入'!$O5,"BB",IF(T83&lt;='组合输入'!$P5,"B",IF(T83&lt;='组合输入'!$Q5,"CCC","D")))))))</f>
        <v/>
      </c>
      <c r="V83" s="12">
        <f>IF(U83="","",INDEX('状态价值'!$D5:$K5,MATCH(U83,'状态价值'!$D$1:$K$1,0)))</f>
        <v/>
      </c>
      <c r="W83" s="15">
        <f>NORM.S.INV(RAND())</f>
        <v/>
      </c>
      <c r="X83" s="15">
        <f>IF('组合输入'!$C6="","",'组合输入'!$H6*$B83+SQRT(1-'组合输入'!$H6^2)*W83)</f>
        <v/>
      </c>
      <c r="Y83" s="7">
        <f>IF(X83="","",NORM.S.DIST(X83,TRUE))</f>
        <v/>
      </c>
      <c r="Z83" s="13">
        <f>IF(Y83="","",IF(Y83&lt;='组合输入'!$K6,"AAA",IF(Y83&lt;='组合输入'!$L6,"AA",IF(Y83&lt;='组合输入'!$M6,"A",IF(Y83&lt;='组合输入'!$N6,"BBB",IF(Y83&lt;='组合输入'!$O6,"BB",IF(Y83&lt;='组合输入'!$P6,"B",IF(Y83&lt;='组合输入'!$Q6,"CCC","D")))))))</f>
        <v/>
      </c>
      <c r="AA83" s="12">
        <f>IF(Z83="","",INDEX('状态价值'!$D6:$K6,MATCH(Z83,'状态价值'!$D$1:$K$1,0)))</f>
        <v/>
      </c>
      <c r="AB83" s="15">
        <f>NORM.S.INV(RAND())</f>
        <v/>
      </c>
      <c r="AC83" s="15">
        <f>IF('组合输入'!$C7="","",'组合输入'!$H7*$B83+SQRT(1-'组合输入'!$H7^2)*AB83)</f>
        <v/>
      </c>
      <c r="AD83" s="7">
        <f>IF(AC83="","",NORM.S.DIST(AC83,TRUE))</f>
        <v/>
      </c>
      <c r="AE83" s="13">
        <f>IF(AD83="","",IF(AD83&lt;='组合输入'!$K7,"AAA",IF(AD83&lt;='组合输入'!$L7,"AA",IF(AD83&lt;='组合输入'!$M7,"A",IF(AD83&lt;='组合输入'!$N7,"BBB",IF(AD83&lt;='组合输入'!$O7,"BB",IF(AD83&lt;='组合输入'!$P7,"B",IF(AD83&lt;='组合输入'!$Q7,"CCC","D")))))))</f>
        <v/>
      </c>
      <c r="AF83" s="12">
        <f>IF(AE83="","",INDEX('状态价值'!$D7:$K7,MATCH(AE83,'状态价值'!$D$1:$K$1,0)))</f>
        <v/>
      </c>
      <c r="AG83" s="15">
        <f>NORM.S.INV(RAND())</f>
        <v/>
      </c>
      <c r="AH83" s="15">
        <f>IF('组合输入'!$C8="","",'组合输入'!$H8*$B83+SQRT(1-'组合输入'!$H8^2)*AG83)</f>
        <v/>
      </c>
      <c r="AI83" s="7">
        <f>IF(AH83="","",NORM.S.DIST(AH83,TRUE))</f>
        <v/>
      </c>
      <c r="AJ83" s="13">
        <f>IF(AI83="","",IF(AI83&lt;='组合输入'!$K8,"AAA",IF(AI83&lt;='组合输入'!$L8,"AA",IF(AI83&lt;='组合输入'!$M8,"A",IF(AI83&lt;='组合输入'!$N8,"BBB",IF(AI83&lt;='组合输入'!$O8,"BB",IF(AI83&lt;='组合输入'!$P8,"B",IF(AI83&lt;='组合输入'!$Q8,"CCC","D")))))))</f>
        <v/>
      </c>
      <c r="AK83" s="12">
        <f>IF(AJ83="","",INDEX('状态价值'!$D8:$K8,MATCH(AJ83,'状态价值'!$D$1:$K$1,0)))</f>
        <v/>
      </c>
      <c r="AL83" s="15">
        <f>NORM.S.INV(RAND())</f>
        <v/>
      </c>
      <c r="AM83" s="15">
        <f>IF('组合输入'!$C9="","",'组合输入'!$H9*$B83+SQRT(1-'组合输入'!$H9^2)*AL83)</f>
        <v/>
      </c>
      <c r="AN83" s="7">
        <f>IF(AM83="","",NORM.S.DIST(AM83,TRUE))</f>
        <v/>
      </c>
      <c r="AO83" s="13">
        <f>IF(AN83="","",IF(AN83&lt;='组合输入'!$K9,"AAA",IF(AN83&lt;='组合输入'!$L9,"AA",IF(AN83&lt;='组合输入'!$M9,"A",IF(AN83&lt;='组合输入'!$N9,"BBB",IF(AN83&lt;='组合输入'!$O9,"BB",IF(AN83&lt;='组合输入'!$P9,"B",IF(AN83&lt;='组合输入'!$Q9,"CCC","D")))))))</f>
        <v/>
      </c>
      <c r="AP83" s="12">
        <f>IF(AO83="","",INDEX('状态价值'!$D9:$K9,MATCH(AO83,'状态价值'!$D$1:$K$1,0)))</f>
        <v/>
      </c>
      <c r="AQ83" s="15">
        <f>NORM.S.INV(RAND())</f>
        <v/>
      </c>
      <c r="AR83" s="15">
        <f>IF('组合输入'!$C10="","",'组合输入'!$H10*$B83+SQRT(1-'组合输入'!$H10^2)*AQ83)</f>
        <v/>
      </c>
      <c r="AS83" s="7">
        <f>IF(AR83="","",NORM.S.DIST(AR83,TRUE))</f>
        <v/>
      </c>
      <c r="AT83" s="13">
        <f>IF(AS83="","",IF(AS83&lt;='组合输入'!$K10,"AAA",IF(AS83&lt;='组合输入'!$L10,"AA",IF(AS83&lt;='组合输入'!$M10,"A",IF(AS83&lt;='组合输入'!$N10,"BBB",IF(AS83&lt;='组合输入'!$O10,"BB",IF(AS83&lt;='组合输入'!$P10,"B",IF(AS83&lt;='组合输入'!$Q10,"CCC","D")))))))</f>
        <v/>
      </c>
      <c r="AU83" s="12">
        <f>IF(AT83="","",INDEX('状态价值'!$D10:$K10,MATCH(AT83,'状态价值'!$D$1:$K$1,0)))</f>
        <v/>
      </c>
      <c r="AV83" s="15">
        <f>NORM.S.INV(RAND())</f>
        <v/>
      </c>
      <c r="AW83" s="15">
        <f>IF('组合输入'!$C11="","",'组合输入'!$H11*$B83+SQRT(1-'组合输入'!$H11^2)*AV83)</f>
        <v/>
      </c>
      <c r="AX83" s="7">
        <f>IF(AW83="","",NORM.S.DIST(AW83,TRUE))</f>
        <v/>
      </c>
      <c r="AY83" s="13">
        <f>IF(AX83="","",IF(AX83&lt;='组合输入'!$K11,"AAA",IF(AX83&lt;='组合输入'!$L11,"AA",IF(AX83&lt;='组合输入'!$M11,"A",IF(AX83&lt;='组合输入'!$N11,"BBB",IF(AX83&lt;='组合输入'!$O11,"BB",IF(AX83&lt;='组合输入'!$P11,"B",IF(AX83&lt;='组合输入'!$Q11,"CCC","D")))))))</f>
        <v/>
      </c>
      <c r="AZ83" s="12">
        <f>IF(AY83="","",INDEX('状态价值'!$D11:$K11,MATCH(AY83,'状态价值'!$D$1:$K$1,0)))</f>
        <v/>
      </c>
      <c r="BA83" s="12">
        <f>G83+L83+Q83+V83+AA83+AF83+AK83+AP83+AU83+AZ83</f>
        <v/>
      </c>
      <c r="BB83" s="12">
        <f>SUM('组合输入'!$J$2:$J$11)-BA83</f>
        <v/>
      </c>
    </row>
    <row r="84">
      <c r="A84" s="11" t="n">
        <v>83</v>
      </c>
      <c r="B84" s="14">
        <f>NORM.S.INV(RAND())</f>
        <v/>
      </c>
      <c r="C84" s="14">
        <f>NORM.S.INV(RAND())</f>
        <v/>
      </c>
      <c r="D84" s="15">
        <f>IF('组合输入'!$C2="","",'组合输入'!$H2*$B84+SQRT(1-'组合输入'!$H2^2)*C84)</f>
        <v/>
      </c>
      <c r="E84" s="7">
        <f>IF(D84="","",NORM.S.DIST(D84,TRUE))</f>
        <v/>
      </c>
      <c r="F84" s="13">
        <f>IF(E84="","",IF(E84&lt;='组合输入'!$K2,"AAA",IF(E84&lt;='组合输入'!$L2,"AA",IF(E84&lt;='组合输入'!$M2,"A",IF(E84&lt;='组合输入'!$N2,"BBB",IF(E84&lt;='组合输入'!$O2,"BB",IF(E84&lt;='组合输入'!$P2,"B",IF(E84&lt;='组合输入'!$Q2,"CCC","D")))))))</f>
        <v/>
      </c>
      <c r="G84" s="12">
        <f>IF(F84="","",INDEX('状态价值'!$D2:$K2,MATCH(F84,'状态价值'!$D$1:$K$1,0)))</f>
        <v/>
      </c>
      <c r="H84" s="15">
        <f>NORM.S.INV(RAND())</f>
        <v/>
      </c>
      <c r="I84" s="15">
        <f>IF('组合输入'!$C3="","",'组合输入'!$H3*$B84+SQRT(1-'组合输入'!$H3^2)*H84)</f>
        <v/>
      </c>
      <c r="J84" s="7">
        <f>IF(I84="","",NORM.S.DIST(I84,TRUE))</f>
        <v/>
      </c>
      <c r="K84" s="13">
        <f>IF(J84="","",IF(J84&lt;='组合输入'!$K3,"AAA",IF(J84&lt;='组合输入'!$L3,"AA",IF(J84&lt;='组合输入'!$M3,"A",IF(J84&lt;='组合输入'!$N3,"BBB",IF(J84&lt;='组合输入'!$O3,"BB",IF(J84&lt;='组合输入'!$P3,"B",IF(J84&lt;='组合输入'!$Q3,"CCC","D")))))))</f>
        <v/>
      </c>
      <c r="L84" s="12">
        <f>IF(K84="","",INDEX('状态价值'!$D3:$K3,MATCH(K84,'状态价值'!$D$1:$K$1,0)))</f>
        <v/>
      </c>
      <c r="M84" s="15">
        <f>NORM.S.INV(RAND())</f>
        <v/>
      </c>
      <c r="N84" s="15">
        <f>IF('组合输入'!$C4="","",'组合输入'!$H4*$B84+SQRT(1-'组合输入'!$H4^2)*M84)</f>
        <v/>
      </c>
      <c r="O84" s="7">
        <f>IF(N84="","",NORM.S.DIST(N84,TRUE))</f>
        <v/>
      </c>
      <c r="P84" s="13">
        <f>IF(O84="","",IF(O84&lt;='组合输入'!$K4,"AAA",IF(O84&lt;='组合输入'!$L4,"AA",IF(O84&lt;='组合输入'!$M4,"A",IF(O84&lt;='组合输入'!$N4,"BBB",IF(O84&lt;='组合输入'!$O4,"BB",IF(O84&lt;='组合输入'!$P4,"B",IF(O84&lt;='组合输入'!$Q4,"CCC","D")))))))</f>
        <v/>
      </c>
      <c r="Q84" s="12">
        <f>IF(P84="","",INDEX('状态价值'!$D4:$K4,MATCH(P84,'状态价值'!$D$1:$K$1,0)))</f>
        <v/>
      </c>
      <c r="R84" s="15">
        <f>NORM.S.INV(RAND())</f>
        <v/>
      </c>
      <c r="S84" s="15">
        <f>IF('组合输入'!$C5="","",'组合输入'!$H5*$B84+SQRT(1-'组合输入'!$H5^2)*R84)</f>
        <v/>
      </c>
      <c r="T84" s="7">
        <f>IF(S84="","",NORM.S.DIST(S84,TRUE))</f>
        <v/>
      </c>
      <c r="U84" s="13">
        <f>IF(T84="","",IF(T84&lt;='组合输入'!$K5,"AAA",IF(T84&lt;='组合输入'!$L5,"AA",IF(T84&lt;='组合输入'!$M5,"A",IF(T84&lt;='组合输入'!$N5,"BBB",IF(T84&lt;='组合输入'!$O5,"BB",IF(T84&lt;='组合输入'!$P5,"B",IF(T84&lt;='组合输入'!$Q5,"CCC","D")))))))</f>
        <v/>
      </c>
      <c r="V84" s="12">
        <f>IF(U84="","",INDEX('状态价值'!$D5:$K5,MATCH(U84,'状态价值'!$D$1:$K$1,0)))</f>
        <v/>
      </c>
      <c r="W84" s="15">
        <f>NORM.S.INV(RAND())</f>
        <v/>
      </c>
      <c r="X84" s="15">
        <f>IF('组合输入'!$C6="","",'组合输入'!$H6*$B84+SQRT(1-'组合输入'!$H6^2)*W84)</f>
        <v/>
      </c>
      <c r="Y84" s="7">
        <f>IF(X84="","",NORM.S.DIST(X84,TRUE))</f>
        <v/>
      </c>
      <c r="Z84" s="13">
        <f>IF(Y84="","",IF(Y84&lt;='组合输入'!$K6,"AAA",IF(Y84&lt;='组合输入'!$L6,"AA",IF(Y84&lt;='组合输入'!$M6,"A",IF(Y84&lt;='组合输入'!$N6,"BBB",IF(Y84&lt;='组合输入'!$O6,"BB",IF(Y84&lt;='组合输入'!$P6,"B",IF(Y84&lt;='组合输入'!$Q6,"CCC","D")))))))</f>
        <v/>
      </c>
      <c r="AA84" s="12">
        <f>IF(Z84="","",INDEX('状态价值'!$D6:$K6,MATCH(Z84,'状态价值'!$D$1:$K$1,0)))</f>
        <v/>
      </c>
      <c r="AB84" s="15">
        <f>NORM.S.INV(RAND())</f>
        <v/>
      </c>
      <c r="AC84" s="15">
        <f>IF('组合输入'!$C7="","",'组合输入'!$H7*$B84+SQRT(1-'组合输入'!$H7^2)*AB84)</f>
        <v/>
      </c>
      <c r="AD84" s="7">
        <f>IF(AC84="","",NORM.S.DIST(AC84,TRUE))</f>
        <v/>
      </c>
      <c r="AE84" s="13">
        <f>IF(AD84="","",IF(AD84&lt;='组合输入'!$K7,"AAA",IF(AD84&lt;='组合输入'!$L7,"AA",IF(AD84&lt;='组合输入'!$M7,"A",IF(AD84&lt;='组合输入'!$N7,"BBB",IF(AD84&lt;='组合输入'!$O7,"BB",IF(AD84&lt;='组合输入'!$P7,"B",IF(AD84&lt;='组合输入'!$Q7,"CCC","D")))))))</f>
        <v/>
      </c>
      <c r="AF84" s="12">
        <f>IF(AE84="","",INDEX('状态价值'!$D7:$K7,MATCH(AE84,'状态价值'!$D$1:$K$1,0)))</f>
        <v/>
      </c>
      <c r="AG84" s="15">
        <f>NORM.S.INV(RAND())</f>
        <v/>
      </c>
      <c r="AH84" s="15">
        <f>IF('组合输入'!$C8="","",'组合输入'!$H8*$B84+SQRT(1-'组合输入'!$H8^2)*AG84)</f>
        <v/>
      </c>
      <c r="AI84" s="7">
        <f>IF(AH84="","",NORM.S.DIST(AH84,TRUE))</f>
        <v/>
      </c>
      <c r="AJ84" s="13">
        <f>IF(AI84="","",IF(AI84&lt;='组合输入'!$K8,"AAA",IF(AI84&lt;='组合输入'!$L8,"AA",IF(AI84&lt;='组合输入'!$M8,"A",IF(AI84&lt;='组合输入'!$N8,"BBB",IF(AI84&lt;='组合输入'!$O8,"BB",IF(AI84&lt;='组合输入'!$P8,"B",IF(AI84&lt;='组合输入'!$Q8,"CCC","D")))))))</f>
        <v/>
      </c>
      <c r="AK84" s="12">
        <f>IF(AJ84="","",INDEX('状态价值'!$D8:$K8,MATCH(AJ84,'状态价值'!$D$1:$K$1,0)))</f>
        <v/>
      </c>
      <c r="AL84" s="15">
        <f>NORM.S.INV(RAND())</f>
        <v/>
      </c>
      <c r="AM84" s="15">
        <f>IF('组合输入'!$C9="","",'组合输入'!$H9*$B84+SQRT(1-'组合输入'!$H9^2)*AL84)</f>
        <v/>
      </c>
      <c r="AN84" s="7">
        <f>IF(AM84="","",NORM.S.DIST(AM84,TRUE))</f>
        <v/>
      </c>
      <c r="AO84" s="13">
        <f>IF(AN84="","",IF(AN84&lt;='组合输入'!$K9,"AAA",IF(AN84&lt;='组合输入'!$L9,"AA",IF(AN84&lt;='组合输入'!$M9,"A",IF(AN84&lt;='组合输入'!$N9,"BBB",IF(AN84&lt;='组合输入'!$O9,"BB",IF(AN84&lt;='组合输入'!$P9,"B",IF(AN84&lt;='组合输入'!$Q9,"CCC","D")))))))</f>
        <v/>
      </c>
      <c r="AP84" s="12">
        <f>IF(AO84="","",INDEX('状态价值'!$D9:$K9,MATCH(AO84,'状态价值'!$D$1:$K$1,0)))</f>
        <v/>
      </c>
      <c r="AQ84" s="15">
        <f>NORM.S.INV(RAND())</f>
        <v/>
      </c>
      <c r="AR84" s="15">
        <f>IF('组合输入'!$C10="","",'组合输入'!$H10*$B84+SQRT(1-'组合输入'!$H10^2)*AQ84)</f>
        <v/>
      </c>
      <c r="AS84" s="7">
        <f>IF(AR84="","",NORM.S.DIST(AR84,TRUE))</f>
        <v/>
      </c>
      <c r="AT84" s="13">
        <f>IF(AS84="","",IF(AS84&lt;='组合输入'!$K10,"AAA",IF(AS84&lt;='组合输入'!$L10,"AA",IF(AS84&lt;='组合输入'!$M10,"A",IF(AS84&lt;='组合输入'!$N10,"BBB",IF(AS84&lt;='组合输入'!$O10,"BB",IF(AS84&lt;='组合输入'!$P10,"B",IF(AS84&lt;='组合输入'!$Q10,"CCC","D")))))))</f>
        <v/>
      </c>
      <c r="AU84" s="12">
        <f>IF(AT84="","",INDEX('状态价值'!$D10:$K10,MATCH(AT84,'状态价值'!$D$1:$K$1,0)))</f>
        <v/>
      </c>
      <c r="AV84" s="15">
        <f>NORM.S.INV(RAND())</f>
        <v/>
      </c>
      <c r="AW84" s="15">
        <f>IF('组合输入'!$C11="","",'组合输入'!$H11*$B84+SQRT(1-'组合输入'!$H11^2)*AV84)</f>
        <v/>
      </c>
      <c r="AX84" s="7">
        <f>IF(AW84="","",NORM.S.DIST(AW84,TRUE))</f>
        <v/>
      </c>
      <c r="AY84" s="13">
        <f>IF(AX84="","",IF(AX84&lt;='组合输入'!$K11,"AAA",IF(AX84&lt;='组合输入'!$L11,"AA",IF(AX84&lt;='组合输入'!$M11,"A",IF(AX84&lt;='组合输入'!$N11,"BBB",IF(AX84&lt;='组合输入'!$O11,"BB",IF(AX84&lt;='组合输入'!$P11,"B",IF(AX84&lt;='组合输入'!$Q11,"CCC","D")))))))</f>
        <v/>
      </c>
      <c r="AZ84" s="12">
        <f>IF(AY84="","",INDEX('状态价值'!$D11:$K11,MATCH(AY84,'状态价值'!$D$1:$K$1,0)))</f>
        <v/>
      </c>
      <c r="BA84" s="12">
        <f>G84+L84+Q84+V84+AA84+AF84+AK84+AP84+AU84+AZ84</f>
        <v/>
      </c>
      <c r="BB84" s="12">
        <f>SUM('组合输入'!$J$2:$J$11)-BA84</f>
        <v/>
      </c>
    </row>
    <row r="85">
      <c r="A85" s="11" t="n">
        <v>84</v>
      </c>
      <c r="B85" s="14">
        <f>NORM.S.INV(RAND())</f>
        <v/>
      </c>
      <c r="C85" s="14">
        <f>NORM.S.INV(RAND())</f>
        <v/>
      </c>
      <c r="D85" s="15">
        <f>IF('组合输入'!$C2="","",'组合输入'!$H2*$B85+SQRT(1-'组合输入'!$H2^2)*C85)</f>
        <v/>
      </c>
      <c r="E85" s="7">
        <f>IF(D85="","",NORM.S.DIST(D85,TRUE))</f>
        <v/>
      </c>
      <c r="F85" s="13">
        <f>IF(E85="","",IF(E85&lt;='组合输入'!$K2,"AAA",IF(E85&lt;='组合输入'!$L2,"AA",IF(E85&lt;='组合输入'!$M2,"A",IF(E85&lt;='组合输入'!$N2,"BBB",IF(E85&lt;='组合输入'!$O2,"BB",IF(E85&lt;='组合输入'!$P2,"B",IF(E85&lt;='组合输入'!$Q2,"CCC","D")))))))</f>
        <v/>
      </c>
      <c r="G85" s="12">
        <f>IF(F85="","",INDEX('状态价值'!$D2:$K2,MATCH(F85,'状态价值'!$D$1:$K$1,0)))</f>
        <v/>
      </c>
      <c r="H85" s="15">
        <f>NORM.S.INV(RAND())</f>
        <v/>
      </c>
      <c r="I85" s="15">
        <f>IF('组合输入'!$C3="","",'组合输入'!$H3*$B85+SQRT(1-'组合输入'!$H3^2)*H85)</f>
        <v/>
      </c>
      <c r="J85" s="7">
        <f>IF(I85="","",NORM.S.DIST(I85,TRUE))</f>
        <v/>
      </c>
      <c r="K85" s="13">
        <f>IF(J85="","",IF(J85&lt;='组合输入'!$K3,"AAA",IF(J85&lt;='组合输入'!$L3,"AA",IF(J85&lt;='组合输入'!$M3,"A",IF(J85&lt;='组合输入'!$N3,"BBB",IF(J85&lt;='组合输入'!$O3,"BB",IF(J85&lt;='组合输入'!$P3,"B",IF(J85&lt;='组合输入'!$Q3,"CCC","D")))))))</f>
        <v/>
      </c>
      <c r="L85" s="12">
        <f>IF(K85="","",INDEX('状态价值'!$D3:$K3,MATCH(K85,'状态价值'!$D$1:$K$1,0)))</f>
        <v/>
      </c>
      <c r="M85" s="15">
        <f>NORM.S.INV(RAND())</f>
        <v/>
      </c>
      <c r="N85" s="15">
        <f>IF('组合输入'!$C4="","",'组合输入'!$H4*$B85+SQRT(1-'组合输入'!$H4^2)*M85)</f>
        <v/>
      </c>
      <c r="O85" s="7">
        <f>IF(N85="","",NORM.S.DIST(N85,TRUE))</f>
        <v/>
      </c>
      <c r="P85" s="13">
        <f>IF(O85="","",IF(O85&lt;='组合输入'!$K4,"AAA",IF(O85&lt;='组合输入'!$L4,"AA",IF(O85&lt;='组合输入'!$M4,"A",IF(O85&lt;='组合输入'!$N4,"BBB",IF(O85&lt;='组合输入'!$O4,"BB",IF(O85&lt;='组合输入'!$P4,"B",IF(O85&lt;='组合输入'!$Q4,"CCC","D")))))))</f>
        <v/>
      </c>
      <c r="Q85" s="12">
        <f>IF(P85="","",INDEX('状态价值'!$D4:$K4,MATCH(P85,'状态价值'!$D$1:$K$1,0)))</f>
        <v/>
      </c>
      <c r="R85" s="15">
        <f>NORM.S.INV(RAND())</f>
        <v/>
      </c>
      <c r="S85" s="15">
        <f>IF('组合输入'!$C5="","",'组合输入'!$H5*$B85+SQRT(1-'组合输入'!$H5^2)*R85)</f>
        <v/>
      </c>
      <c r="T85" s="7">
        <f>IF(S85="","",NORM.S.DIST(S85,TRUE))</f>
        <v/>
      </c>
      <c r="U85" s="13">
        <f>IF(T85="","",IF(T85&lt;='组合输入'!$K5,"AAA",IF(T85&lt;='组合输入'!$L5,"AA",IF(T85&lt;='组合输入'!$M5,"A",IF(T85&lt;='组合输入'!$N5,"BBB",IF(T85&lt;='组合输入'!$O5,"BB",IF(T85&lt;='组合输入'!$P5,"B",IF(T85&lt;='组合输入'!$Q5,"CCC","D")))))))</f>
        <v/>
      </c>
      <c r="V85" s="12">
        <f>IF(U85="","",INDEX('状态价值'!$D5:$K5,MATCH(U85,'状态价值'!$D$1:$K$1,0)))</f>
        <v/>
      </c>
      <c r="W85" s="15">
        <f>NORM.S.INV(RAND())</f>
        <v/>
      </c>
      <c r="X85" s="15">
        <f>IF('组合输入'!$C6="","",'组合输入'!$H6*$B85+SQRT(1-'组合输入'!$H6^2)*W85)</f>
        <v/>
      </c>
      <c r="Y85" s="7">
        <f>IF(X85="","",NORM.S.DIST(X85,TRUE))</f>
        <v/>
      </c>
      <c r="Z85" s="13">
        <f>IF(Y85="","",IF(Y85&lt;='组合输入'!$K6,"AAA",IF(Y85&lt;='组合输入'!$L6,"AA",IF(Y85&lt;='组合输入'!$M6,"A",IF(Y85&lt;='组合输入'!$N6,"BBB",IF(Y85&lt;='组合输入'!$O6,"BB",IF(Y85&lt;='组合输入'!$P6,"B",IF(Y85&lt;='组合输入'!$Q6,"CCC","D")))))))</f>
        <v/>
      </c>
      <c r="AA85" s="12">
        <f>IF(Z85="","",INDEX('状态价值'!$D6:$K6,MATCH(Z85,'状态价值'!$D$1:$K$1,0)))</f>
        <v/>
      </c>
      <c r="AB85" s="15">
        <f>NORM.S.INV(RAND())</f>
        <v/>
      </c>
      <c r="AC85" s="15">
        <f>IF('组合输入'!$C7="","",'组合输入'!$H7*$B85+SQRT(1-'组合输入'!$H7^2)*AB85)</f>
        <v/>
      </c>
      <c r="AD85" s="7">
        <f>IF(AC85="","",NORM.S.DIST(AC85,TRUE))</f>
        <v/>
      </c>
      <c r="AE85" s="13">
        <f>IF(AD85="","",IF(AD85&lt;='组合输入'!$K7,"AAA",IF(AD85&lt;='组合输入'!$L7,"AA",IF(AD85&lt;='组合输入'!$M7,"A",IF(AD85&lt;='组合输入'!$N7,"BBB",IF(AD85&lt;='组合输入'!$O7,"BB",IF(AD85&lt;='组合输入'!$P7,"B",IF(AD85&lt;='组合输入'!$Q7,"CCC","D")))))))</f>
        <v/>
      </c>
      <c r="AF85" s="12">
        <f>IF(AE85="","",INDEX('状态价值'!$D7:$K7,MATCH(AE85,'状态价值'!$D$1:$K$1,0)))</f>
        <v/>
      </c>
      <c r="AG85" s="15">
        <f>NORM.S.INV(RAND())</f>
        <v/>
      </c>
      <c r="AH85" s="15">
        <f>IF('组合输入'!$C8="","",'组合输入'!$H8*$B85+SQRT(1-'组合输入'!$H8^2)*AG85)</f>
        <v/>
      </c>
      <c r="AI85" s="7">
        <f>IF(AH85="","",NORM.S.DIST(AH85,TRUE))</f>
        <v/>
      </c>
      <c r="AJ85" s="13">
        <f>IF(AI85="","",IF(AI85&lt;='组合输入'!$K8,"AAA",IF(AI85&lt;='组合输入'!$L8,"AA",IF(AI85&lt;='组合输入'!$M8,"A",IF(AI85&lt;='组合输入'!$N8,"BBB",IF(AI85&lt;='组合输入'!$O8,"BB",IF(AI85&lt;='组合输入'!$P8,"B",IF(AI85&lt;='组合输入'!$Q8,"CCC","D")))))))</f>
        <v/>
      </c>
      <c r="AK85" s="12">
        <f>IF(AJ85="","",INDEX('状态价值'!$D8:$K8,MATCH(AJ85,'状态价值'!$D$1:$K$1,0)))</f>
        <v/>
      </c>
      <c r="AL85" s="15">
        <f>NORM.S.INV(RAND())</f>
        <v/>
      </c>
      <c r="AM85" s="15">
        <f>IF('组合输入'!$C9="","",'组合输入'!$H9*$B85+SQRT(1-'组合输入'!$H9^2)*AL85)</f>
        <v/>
      </c>
      <c r="AN85" s="7">
        <f>IF(AM85="","",NORM.S.DIST(AM85,TRUE))</f>
        <v/>
      </c>
      <c r="AO85" s="13">
        <f>IF(AN85="","",IF(AN85&lt;='组合输入'!$K9,"AAA",IF(AN85&lt;='组合输入'!$L9,"AA",IF(AN85&lt;='组合输入'!$M9,"A",IF(AN85&lt;='组合输入'!$N9,"BBB",IF(AN85&lt;='组合输入'!$O9,"BB",IF(AN85&lt;='组合输入'!$P9,"B",IF(AN85&lt;='组合输入'!$Q9,"CCC","D")))))))</f>
        <v/>
      </c>
      <c r="AP85" s="12">
        <f>IF(AO85="","",INDEX('状态价值'!$D9:$K9,MATCH(AO85,'状态价值'!$D$1:$K$1,0)))</f>
        <v/>
      </c>
      <c r="AQ85" s="15">
        <f>NORM.S.INV(RAND())</f>
        <v/>
      </c>
      <c r="AR85" s="15">
        <f>IF('组合输入'!$C10="","",'组合输入'!$H10*$B85+SQRT(1-'组合输入'!$H10^2)*AQ85)</f>
        <v/>
      </c>
      <c r="AS85" s="7">
        <f>IF(AR85="","",NORM.S.DIST(AR85,TRUE))</f>
        <v/>
      </c>
      <c r="AT85" s="13">
        <f>IF(AS85="","",IF(AS85&lt;='组合输入'!$K10,"AAA",IF(AS85&lt;='组合输入'!$L10,"AA",IF(AS85&lt;='组合输入'!$M10,"A",IF(AS85&lt;='组合输入'!$N10,"BBB",IF(AS85&lt;='组合输入'!$O10,"BB",IF(AS85&lt;='组合输入'!$P10,"B",IF(AS85&lt;='组合输入'!$Q10,"CCC","D")))))))</f>
        <v/>
      </c>
      <c r="AU85" s="12">
        <f>IF(AT85="","",INDEX('状态价值'!$D10:$K10,MATCH(AT85,'状态价值'!$D$1:$K$1,0)))</f>
        <v/>
      </c>
      <c r="AV85" s="15">
        <f>NORM.S.INV(RAND())</f>
        <v/>
      </c>
      <c r="AW85" s="15">
        <f>IF('组合输入'!$C11="","",'组合输入'!$H11*$B85+SQRT(1-'组合输入'!$H11^2)*AV85)</f>
        <v/>
      </c>
      <c r="AX85" s="7">
        <f>IF(AW85="","",NORM.S.DIST(AW85,TRUE))</f>
        <v/>
      </c>
      <c r="AY85" s="13">
        <f>IF(AX85="","",IF(AX85&lt;='组合输入'!$K11,"AAA",IF(AX85&lt;='组合输入'!$L11,"AA",IF(AX85&lt;='组合输入'!$M11,"A",IF(AX85&lt;='组合输入'!$N11,"BBB",IF(AX85&lt;='组合输入'!$O11,"BB",IF(AX85&lt;='组合输入'!$P11,"B",IF(AX85&lt;='组合输入'!$Q11,"CCC","D")))))))</f>
        <v/>
      </c>
      <c r="AZ85" s="12">
        <f>IF(AY85="","",INDEX('状态价值'!$D11:$K11,MATCH(AY85,'状态价值'!$D$1:$K$1,0)))</f>
        <v/>
      </c>
      <c r="BA85" s="12">
        <f>G85+L85+Q85+V85+AA85+AF85+AK85+AP85+AU85+AZ85</f>
        <v/>
      </c>
      <c r="BB85" s="12">
        <f>SUM('组合输入'!$J$2:$J$11)-BA85</f>
        <v/>
      </c>
    </row>
    <row r="86">
      <c r="A86" s="11" t="n">
        <v>85</v>
      </c>
      <c r="B86" s="14">
        <f>NORM.S.INV(RAND())</f>
        <v/>
      </c>
      <c r="C86" s="14">
        <f>NORM.S.INV(RAND())</f>
        <v/>
      </c>
      <c r="D86" s="15">
        <f>IF('组合输入'!$C2="","",'组合输入'!$H2*$B86+SQRT(1-'组合输入'!$H2^2)*C86)</f>
        <v/>
      </c>
      <c r="E86" s="7">
        <f>IF(D86="","",NORM.S.DIST(D86,TRUE))</f>
        <v/>
      </c>
      <c r="F86" s="13">
        <f>IF(E86="","",IF(E86&lt;='组合输入'!$K2,"AAA",IF(E86&lt;='组合输入'!$L2,"AA",IF(E86&lt;='组合输入'!$M2,"A",IF(E86&lt;='组合输入'!$N2,"BBB",IF(E86&lt;='组合输入'!$O2,"BB",IF(E86&lt;='组合输入'!$P2,"B",IF(E86&lt;='组合输入'!$Q2,"CCC","D")))))))</f>
        <v/>
      </c>
      <c r="G86" s="12">
        <f>IF(F86="","",INDEX('状态价值'!$D2:$K2,MATCH(F86,'状态价值'!$D$1:$K$1,0)))</f>
        <v/>
      </c>
      <c r="H86" s="15">
        <f>NORM.S.INV(RAND())</f>
        <v/>
      </c>
      <c r="I86" s="15">
        <f>IF('组合输入'!$C3="","",'组合输入'!$H3*$B86+SQRT(1-'组合输入'!$H3^2)*H86)</f>
        <v/>
      </c>
      <c r="J86" s="7">
        <f>IF(I86="","",NORM.S.DIST(I86,TRUE))</f>
        <v/>
      </c>
      <c r="K86" s="13">
        <f>IF(J86="","",IF(J86&lt;='组合输入'!$K3,"AAA",IF(J86&lt;='组合输入'!$L3,"AA",IF(J86&lt;='组合输入'!$M3,"A",IF(J86&lt;='组合输入'!$N3,"BBB",IF(J86&lt;='组合输入'!$O3,"BB",IF(J86&lt;='组合输入'!$P3,"B",IF(J86&lt;='组合输入'!$Q3,"CCC","D")))))))</f>
        <v/>
      </c>
      <c r="L86" s="12">
        <f>IF(K86="","",INDEX('状态价值'!$D3:$K3,MATCH(K86,'状态价值'!$D$1:$K$1,0)))</f>
        <v/>
      </c>
      <c r="M86" s="15">
        <f>NORM.S.INV(RAND())</f>
        <v/>
      </c>
      <c r="N86" s="15">
        <f>IF('组合输入'!$C4="","",'组合输入'!$H4*$B86+SQRT(1-'组合输入'!$H4^2)*M86)</f>
        <v/>
      </c>
      <c r="O86" s="7">
        <f>IF(N86="","",NORM.S.DIST(N86,TRUE))</f>
        <v/>
      </c>
      <c r="P86" s="13">
        <f>IF(O86="","",IF(O86&lt;='组合输入'!$K4,"AAA",IF(O86&lt;='组合输入'!$L4,"AA",IF(O86&lt;='组合输入'!$M4,"A",IF(O86&lt;='组合输入'!$N4,"BBB",IF(O86&lt;='组合输入'!$O4,"BB",IF(O86&lt;='组合输入'!$P4,"B",IF(O86&lt;='组合输入'!$Q4,"CCC","D")))))))</f>
        <v/>
      </c>
      <c r="Q86" s="12">
        <f>IF(P86="","",INDEX('状态价值'!$D4:$K4,MATCH(P86,'状态价值'!$D$1:$K$1,0)))</f>
        <v/>
      </c>
      <c r="R86" s="15">
        <f>NORM.S.INV(RAND())</f>
        <v/>
      </c>
      <c r="S86" s="15">
        <f>IF('组合输入'!$C5="","",'组合输入'!$H5*$B86+SQRT(1-'组合输入'!$H5^2)*R86)</f>
        <v/>
      </c>
      <c r="T86" s="7">
        <f>IF(S86="","",NORM.S.DIST(S86,TRUE))</f>
        <v/>
      </c>
      <c r="U86" s="13">
        <f>IF(T86="","",IF(T86&lt;='组合输入'!$K5,"AAA",IF(T86&lt;='组合输入'!$L5,"AA",IF(T86&lt;='组合输入'!$M5,"A",IF(T86&lt;='组合输入'!$N5,"BBB",IF(T86&lt;='组合输入'!$O5,"BB",IF(T86&lt;='组合输入'!$P5,"B",IF(T86&lt;='组合输入'!$Q5,"CCC","D")))))))</f>
        <v/>
      </c>
      <c r="V86" s="12">
        <f>IF(U86="","",INDEX('状态价值'!$D5:$K5,MATCH(U86,'状态价值'!$D$1:$K$1,0)))</f>
        <v/>
      </c>
      <c r="W86" s="15">
        <f>NORM.S.INV(RAND())</f>
        <v/>
      </c>
      <c r="X86" s="15">
        <f>IF('组合输入'!$C6="","",'组合输入'!$H6*$B86+SQRT(1-'组合输入'!$H6^2)*W86)</f>
        <v/>
      </c>
      <c r="Y86" s="7">
        <f>IF(X86="","",NORM.S.DIST(X86,TRUE))</f>
        <v/>
      </c>
      <c r="Z86" s="13">
        <f>IF(Y86="","",IF(Y86&lt;='组合输入'!$K6,"AAA",IF(Y86&lt;='组合输入'!$L6,"AA",IF(Y86&lt;='组合输入'!$M6,"A",IF(Y86&lt;='组合输入'!$N6,"BBB",IF(Y86&lt;='组合输入'!$O6,"BB",IF(Y86&lt;='组合输入'!$P6,"B",IF(Y86&lt;='组合输入'!$Q6,"CCC","D")))))))</f>
        <v/>
      </c>
      <c r="AA86" s="12">
        <f>IF(Z86="","",INDEX('状态价值'!$D6:$K6,MATCH(Z86,'状态价值'!$D$1:$K$1,0)))</f>
        <v/>
      </c>
      <c r="AB86" s="15">
        <f>NORM.S.INV(RAND())</f>
        <v/>
      </c>
      <c r="AC86" s="15">
        <f>IF('组合输入'!$C7="","",'组合输入'!$H7*$B86+SQRT(1-'组合输入'!$H7^2)*AB86)</f>
        <v/>
      </c>
      <c r="AD86" s="7">
        <f>IF(AC86="","",NORM.S.DIST(AC86,TRUE))</f>
        <v/>
      </c>
      <c r="AE86" s="13">
        <f>IF(AD86="","",IF(AD86&lt;='组合输入'!$K7,"AAA",IF(AD86&lt;='组合输入'!$L7,"AA",IF(AD86&lt;='组合输入'!$M7,"A",IF(AD86&lt;='组合输入'!$N7,"BBB",IF(AD86&lt;='组合输入'!$O7,"BB",IF(AD86&lt;='组合输入'!$P7,"B",IF(AD86&lt;='组合输入'!$Q7,"CCC","D")))))))</f>
        <v/>
      </c>
      <c r="AF86" s="12">
        <f>IF(AE86="","",INDEX('状态价值'!$D7:$K7,MATCH(AE86,'状态价值'!$D$1:$K$1,0)))</f>
        <v/>
      </c>
      <c r="AG86" s="15">
        <f>NORM.S.INV(RAND())</f>
        <v/>
      </c>
      <c r="AH86" s="15">
        <f>IF('组合输入'!$C8="","",'组合输入'!$H8*$B86+SQRT(1-'组合输入'!$H8^2)*AG86)</f>
        <v/>
      </c>
      <c r="AI86" s="7">
        <f>IF(AH86="","",NORM.S.DIST(AH86,TRUE))</f>
        <v/>
      </c>
      <c r="AJ86" s="13">
        <f>IF(AI86="","",IF(AI86&lt;='组合输入'!$K8,"AAA",IF(AI86&lt;='组合输入'!$L8,"AA",IF(AI86&lt;='组合输入'!$M8,"A",IF(AI86&lt;='组合输入'!$N8,"BBB",IF(AI86&lt;='组合输入'!$O8,"BB",IF(AI86&lt;='组合输入'!$P8,"B",IF(AI86&lt;='组合输入'!$Q8,"CCC","D")))))))</f>
        <v/>
      </c>
      <c r="AK86" s="12">
        <f>IF(AJ86="","",INDEX('状态价值'!$D8:$K8,MATCH(AJ86,'状态价值'!$D$1:$K$1,0)))</f>
        <v/>
      </c>
      <c r="AL86" s="15">
        <f>NORM.S.INV(RAND())</f>
        <v/>
      </c>
      <c r="AM86" s="15">
        <f>IF('组合输入'!$C9="","",'组合输入'!$H9*$B86+SQRT(1-'组合输入'!$H9^2)*AL86)</f>
        <v/>
      </c>
      <c r="AN86" s="7">
        <f>IF(AM86="","",NORM.S.DIST(AM86,TRUE))</f>
        <v/>
      </c>
      <c r="AO86" s="13">
        <f>IF(AN86="","",IF(AN86&lt;='组合输入'!$K9,"AAA",IF(AN86&lt;='组合输入'!$L9,"AA",IF(AN86&lt;='组合输入'!$M9,"A",IF(AN86&lt;='组合输入'!$N9,"BBB",IF(AN86&lt;='组合输入'!$O9,"BB",IF(AN86&lt;='组合输入'!$P9,"B",IF(AN86&lt;='组合输入'!$Q9,"CCC","D")))))))</f>
        <v/>
      </c>
      <c r="AP86" s="12">
        <f>IF(AO86="","",INDEX('状态价值'!$D9:$K9,MATCH(AO86,'状态价值'!$D$1:$K$1,0)))</f>
        <v/>
      </c>
      <c r="AQ86" s="15">
        <f>NORM.S.INV(RAND())</f>
        <v/>
      </c>
      <c r="AR86" s="15">
        <f>IF('组合输入'!$C10="","",'组合输入'!$H10*$B86+SQRT(1-'组合输入'!$H10^2)*AQ86)</f>
        <v/>
      </c>
      <c r="AS86" s="7">
        <f>IF(AR86="","",NORM.S.DIST(AR86,TRUE))</f>
        <v/>
      </c>
      <c r="AT86" s="13">
        <f>IF(AS86="","",IF(AS86&lt;='组合输入'!$K10,"AAA",IF(AS86&lt;='组合输入'!$L10,"AA",IF(AS86&lt;='组合输入'!$M10,"A",IF(AS86&lt;='组合输入'!$N10,"BBB",IF(AS86&lt;='组合输入'!$O10,"BB",IF(AS86&lt;='组合输入'!$P10,"B",IF(AS86&lt;='组合输入'!$Q10,"CCC","D")))))))</f>
        <v/>
      </c>
      <c r="AU86" s="12">
        <f>IF(AT86="","",INDEX('状态价值'!$D10:$K10,MATCH(AT86,'状态价值'!$D$1:$K$1,0)))</f>
        <v/>
      </c>
      <c r="AV86" s="15">
        <f>NORM.S.INV(RAND())</f>
        <v/>
      </c>
      <c r="AW86" s="15">
        <f>IF('组合输入'!$C11="","",'组合输入'!$H11*$B86+SQRT(1-'组合输入'!$H11^2)*AV86)</f>
        <v/>
      </c>
      <c r="AX86" s="7">
        <f>IF(AW86="","",NORM.S.DIST(AW86,TRUE))</f>
        <v/>
      </c>
      <c r="AY86" s="13">
        <f>IF(AX86="","",IF(AX86&lt;='组合输入'!$K11,"AAA",IF(AX86&lt;='组合输入'!$L11,"AA",IF(AX86&lt;='组合输入'!$M11,"A",IF(AX86&lt;='组合输入'!$N11,"BBB",IF(AX86&lt;='组合输入'!$O11,"BB",IF(AX86&lt;='组合输入'!$P11,"B",IF(AX86&lt;='组合输入'!$Q11,"CCC","D")))))))</f>
        <v/>
      </c>
      <c r="AZ86" s="12">
        <f>IF(AY86="","",INDEX('状态价值'!$D11:$K11,MATCH(AY86,'状态价值'!$D$1:$K$1,0)))</f>
        <v/>
      </c>
      <c r="BA86" s="12">
        <f>G86+L86+Q86+V86+AA86+AF86+AK86+AP86+AU86+AZ86</f>
        <v/>
      </c>
      <c r="BB86" s="12">
        <f>SUM('组合输入'!$J$2:$J$11)-BA86</f>
        <v/>
      </c>
    </row>
    <row r="87">
      <c r="A87" s="11" t="n">
        <v>86</v>
      </c>
      <c r="B87" s="14">
        <f>NORM.S.INV(RAND())</f>
        <v/>
      </c>
      <c r="C87" s="14">
        <f>NORM.S.INV(RAND())</f>
        <v/>
      </c>
      <c r="D87" s="15">
        <f>IF('组合输入'!$C2="","",'组合输入'!$H2*$B87+SQRT(1-'组合输入'!$H2^2)*C87)</f>
        <v/>
      </c>
      <c r="E87" s="7">
        <f>IF(D87="","",NORM.S.DIST(D87,TRUE))</f>
        <v/>
      </c>
      <c r="F87" s="13">
        <f>IF(E87="","",IF(E87&lt;='组合输入'!$K2,"AAA",IF(E87&lt;='组合输入'!$L2,"AA",IF(E87&lt;='组合输入'!$M2,"A",IF(E87&lt;='组合输入'!$N2,"BBB",IF(E87&lt;='组合输入'!$O2,"BB",IF(E87&lt;='组合输入'!$P2,"B",IF(E87&lt;='组合输入'!$Q2,"CCC","D")))))))</f>
        <v/>
      </c>
      <c r="G87" s="12">
        <f>IF(F87="","",INDEX('状态价值'!$D2:$K2,MATCH(F87,'状态价值'!$D$1:$K$1,0)))</f>
        <v/>
      </c>
      <c r="H87" s="15">
        <f>NORM.S.INV(RAND())</f>
        <v/>
      </c>
      <c r="I87" s="15">
        <f>IF('组合输入'!$C3="","",'组合输入'!$H3*$B87+SQRT(1-'组合输入'!$H3^2)*H87)</f>
        <v/>
      </c>
      <c r="J87" s="7">
        <f>IF(I87="","",NORM.S.DIST(I87,TRUE))</f>
        <v/>
      </c>
      <c r="K87" s="13">
        <f>IF(J87="","",IF(J87&lt;='组合输入'!$K3,"AAA",IF(J87&lt;='组合输入'!$L3,"AA",IF(J87&lt;='组合输入'!$M3,"A",IF(J87&lt;='组合输入'!$N3,"BBB",IF(J87&lt;='组合输入'!$O3,"BB",IF(J87&lt;='组合输入'!$P3,"B",IF(J87&lt;='组合输入'!$Q3,"CCC","D")))))))</f>
        <v/>
      </c>
      <c r="L87" s="12">
        <f>IF(K87="","",INDEX('状态价值'!$D3:$K3,MATCH(K87,'状态价值'!$D$1:$K$1,0)))</f>
        <v/>
      </c>
      <c r="M87" s="15">
        <f>NORM.S.INV(RAND())</f>
        <v/>
      </c>
      <c r="N87" s="15">
        <f>IF('组合输入'!$C4="","",'组合输入'!$H4*$B87+SQRT(1-'组合输入'!$H4^2)*M87)</f>
        <v/>
      </c>
      <c r="O87" s="7">
        <f>IF(N87="","",NORM.S.DIST(N87,TRUE))</f>
        <v/>
      </c>
      <c r="P87" s="13">
        <f>IF(O87="","",IF(O87&lt;='组合输入'!$K4,"AAA",IF(O87&lt;='组合输入'!$L4,"AA",IF(O87&lt;='组合输入'!$M4,"A",IF(O87&lt;='组合输入'!$N4,"BBB",IF(O87&lt;='组合输入'!$O4,"BB",IF(O87&lt;='组合输入'!$P4,"B",IF(O87&lt;='组合输入'!$Q4,"CCC","D")))))))</f>
        <v/>
      </c>
      <c r="Q87" s="12">
        <f>IF(P87="","",INDEX('状态价值'!$D4:$K4,MATCH(P87,'状态价值'!$D$1:$K$1,0)))</f>
        <v/>
      </c>
      <c r="R87" s="15">
        <f>NORM.S.INV(RAND())</f>
        <v/>
      </c>
      <c r="S87" s="15">
        <f>IF('组合输入'!$C5="","",'组合输入'!$H5*$B87+SQRT(1-'组合输入'!$H5^2)*R87)</f>
        <v/>
      </c>
      <c r="T87" s="7">
        <f>IF(S87="","",NORM.S.DIST(S87,TRUE))</f>
        <v/>
      </c>
      <c r="U87" s="13">
        <f>IF(T87="","",IF(T87&lt;='组合输入'!$K5,"AAA",IF(T87&lt;='组合输入'!$L5,"AA",IF(T87&lt;='组合输入'!$M5,"A",IF(T87&lt;='组合输入'!$N5,"BBB",IF(T87&lt;='组合输入'!$O5,"BB",IF(T87&lt;='组合输入'!$P5,"B",IF(T87&lt;='组合输入'!$Q5,"CCC","D")))))))</f>
        <v/>
      </c>
      <c r="V87" s="12">
        <f>IF(U87="","",INDEX('状态价值'!$D5:$K5,MATCH(U87,'状态价值'!$D$1:$K$1,0)))</f>
        <v/>
      </c>
      <c r="W87" s="15">
        <f>NORM.S.INV(RAND())</f>
        <v/>
      </c>
      <c r="X87" s="15">
        <f>IF('组合输入'!$C6="","",'组合输入'!$H6*$B87+SQRT(1-'组合输入'!$H6^2)*W87)</f>
        <v/>
      </c>
      <c r="Y87" s="7">
        <f>IF(X87="","",NORM.S.DIST(X87,TRUE))</f>
        <v/>
      </c>
      <c r="Z87" s="13">
        <f>IF(Y87="","",IF(Y87&lt;='组合输入'!$K6,"AAA",IF(Y87&lt;='组合输入'!$L6,"AA",IF(Y87&lt;='组合输入'!$M6,"A",IF(Y87&lt;='组合输入'!$N6,"BBB",IF(Y87&lt;='组合输入'!$O6,"BB",IF(Y87&lt;='组合输入'!$P6,"B",IF(Y87&lt;='组合输入'!$Q6,"CCC","D")))))))</f>
        <v/>
      </c>
      <c r="AA87" s="12">
        <f>IF(Z87="","",INDEX('状态价值'!$D6:$K6,MATCH(Z87,'状态价值'!$D$1:$K$1,0)))</f>
        <v/>
      </c>
      <c r="AB87" s="15">
        <f>NORM.S.INV(RAND())</f>
        <v/>
      </c>
      <c r="AC87" s="15">
        <f>IF('组合输入'!$C7="","",'组合输入'!$H7*$B87+SQRT(1-'组合输入'!$H7^2)*AB87)</f>
        <v/>
      </c>
      <c r="AD87" s="7">
        <f>IF(AC87="","",NORM.S.DIST(AC87,TRUE))</f>
        <v/>
      </c>
      <c r="AE87" s="13">
        <f>IF(AD87="","",IF(AD87&lt;='组合输入'!$K7,"AAA",IF(AD87&lt;='组合输入'!$L7,"AA",IF(AD87&lt;='组合输入'!$M7,"A",IF(AD87&lt;='组合输入'!$N7,"BBB",IF(AD87&lt;='组合输入'!$O7,"BB",IF(AD87&lt;='组合输入'!$P7,"B",IF(AD87&lt;='组合输入'!$Q7,"CCC","D")))))))</f>
        <v/>
      </c>
      <c r="AF87" s="12">
        <f>IF(AE87="","",INDEX('状态价值'!$D7:$K7,MATCH(AE87,'状态价值'!$D$1:$K$1,0)))</f>
        <v/>
      </c>
      <c r="AG87" s="15">
        <f>NORM.S.INV(RAND())</f>
        <v/>
      </c>
      <c r="AH87" s="15">
        <f>IF('组合输入'!$C8="","",'组合输入'!$H8*$B87+SQRT(1-'组合输入'!$H8^2)*AG87)</f>
        <v/>
      </c>
      <c r="AI87" s="7">
        <f>IF(AH87="","",NORM.S.DIST(AH87,TRUE))</f>
        <v/>
      </c>
      <c r="AJ87" s="13">
        <f>IF(AI87="","",IF(AI87&lt;='组合输入'!$K8,"AAA",IF(AI87&lt;='组合输入'!$L8,"AA",IF(AI87&lt;='组合输入'!$M8,"A",IF(AI87&lt;='组合输入'!$N8,"BBB",IF(AI87&lt;='组合输入'!$O8,"BB",IF(AI87&lt;='组合输入'!$P8,"B",IF(AI87&lt;='组合输入'!$Q8,"CCC","D")))))))</f>
        <v/>
      </c>
      <c r="AK87" s="12">
        <f>IF(AJ87="","",INDEX('状态价值'!$D8:$K8,MATCH(AJ87,'状态价值'!$D$1:$K$1,0)))</f>
        <v/>
      </c>
      <c r="AL87" s="15">
        <f>NORM.S.INV(RAND())</f>
        <v/>
      </c>
      <c r="AM87" s="15">
        <f>IF('组合输入'!$C9="","",'组合输入'!$H9*$B87+SQRT(1-'组合输入'!$H9^2)*AL87)</f>
        <v/>
      </c>
      <c r="AN87" s="7">
        <f>IF(AM87="","",NORM.S.DIST(AM87,TRUE))</f>
        <v/>
      </c>
      <c r="AO87" s="13">
        <f>IF(AN87="","",IF(AN87&lt;='组合输入'!$K9,"AAA",IF(AN87&lt;='组合输入'!$L9,"AA",IF(AN87&lt;='组合输入'!$M9,"A",IF(AN87&lt;='组合输入'!$N9,"BBB",IF(AN87&lt;='组合输入'!$O9,"BB",IF(AN87&lt;='组合输入'!$P9,"B",IF(AN87&lt;='组合输入'!$Q9,"CCC","D")))))))</f>
        <v/>
      </c>
      <c r="AP87" s="12">
        <f>IF(AO87="","",INDEX('状态价值'!$D9:$K9,MATCH(AO87,'状态价值'!$D$1:$K$1,0)))</f>
        <v/>
      </c>
      <c r="AQ87" s="15">
        <f>NORM.S.INV(RAND())</f>
        <v/>
      </c>
      <c r="AR87" s="15">
        <f>IF('组合输入'!$C10="","",'组合输入'!$H10*$B87+SQRT(1-'组合输入'!$H10^2)*AQ87)</f>
        <v/>
      </c>
      <c r="AS87" s="7">
        <f>IF(AR87="","",NORM.S.DIST(AR87,TRUE))</f>
        <v/>
      </c>
      <c r="AT87" s="13">
        <f>IF(AS87="","",IF(AS87&lt;='组合输入'!$K10,"AAA",IF(AS87&lt;='组合输入'!$L10,"AA",IF(AS87&lt;='组合输入'!$M10,"A",IF(AS87&lt;='组合输入'!$N10,"BBB",IF(AS87&lt;='组合输入'!$O10,"BB",IF(AS87&lt;='组合输入'!$P10,"B",IF(AS87&lt;='组合输入'!$Q10,"CCC","D")))))))</f>
        <v/>
      </c>
      <c r="AU87" s="12">
        <f>IF(AT87="","",INDEX('状态价值'!$D10:$K10,MATCH(AT87,'状态价值'!$D$1:$K$1,0)))</f>
        <v/>
      </c>
      <c r="AV87" s="15">
        <f>NORM.S.INV(RAND())</f>
        <v/>
      </c>
      <c r="AW87" s="15">
        <f>IF('组合输入'!$C11="","",'组合输入'!$H11*$B87+SQRT(1-'组合输入'!$H11^2)*AV87)</f>
        <v/>
      </c>
      <c r="AX87" s="7">
        <f>IF(AW87="","",NORM.S.DIST(AW87,TRUE))</f>
        <v/>
      </c>
      <c r="AY87" s="13">
        <f>IF(AX87="","",IF(AX87&lt;='组合输入'!$K11,"AAA",IF(AX87&lt;='组合输入'!$L11,"AA",IF(AX87&lt;='组合输入'!$M11,"A",IF(AX87&lt;='组合输入'!$N11,"BBB",IF(AX87&lt;='组合输入'!$O11,"BB",IF(AX87&lt;='组合输入'!$P11,"B",IF(AX87&lt;='组合输入'!$Q11,"CCC","D")))))))</f>
        <v/>
      </c>
      <c r="AZ87" s="12">
        <f>IF(AY87="","",INDEX('状态价值'!$D11:$K11,MATCH(AY87,'状态价值'!$D$1:$K$1,0)))</f>
        <v/>
      </c>
      <c r="BA87" s="12">
        <f>G87+L87+Q87+V87+AA87+AF87+AK87+AP87+AU87+AZ87</f>
        <v/>
      </c>
      <c r="BB87" s="12">
        <f>SUM('组合输入'!$J$2:$J$11)-BA87</f>
        <v/>
      </c>
    </row>
    <row r="88">
      <c r="A88" s="11" t="n">
        <v>87</v>
      </c>
      <c r="B88" s="14">
        <f>NORM.S.INV(RAND())</f>
        <v/>
      </c>
      <c r="C88" s="14">
        <f>NORM.S.INV(RAND())</f>
        <v/>
      </c>
      <c r="D88" s="15">
        <f>IF('组合输入'!$C2="","",'组合输入'!$H2*$B88+SQRT(1-'组合输入'!$H2^2)*C88)</f>
        <v/>
      </c>
      <c r="E88" s="7">
        <f>IF(D88="","",NORM.S.DIST(D88,TRUE))</f>
        <v/>
      </c>
      <c r="F88" s="13">
        <f>IF(E88="","",IF(E88&lt;='组合输入'!$K2,"AAA",IF(E88&lt;='组合输入'!$L2,"AA",IF(E88&lt;='组合输入'!$M2,"A",IF(E88&lt;='组合输入'!$N2,"BBB",IF(E88&lt;='组合输入'!$O2,"BB",IF(E88&lt;='组合输入'!$P2,"B",IF(E88&lt;='组合输入'!$Q2,"CCC","D")))))))</f>
        <v/>
      </c>
      <c r="G88" s="12">
        <f>IF(F88="","",INDEX('状态价值'!$D2:$K2,MATCH(F88,'状态价值'!$D$1:$K$1,0)))</f>
        <v/>
      </c>
      <c r="H88" s="15">
        <f>NORM.S.INV(RAND())</f>
        <v/>
      </c>
      <c r="I88" s="15">
        <f>IF('组合输入'!$C3="","",'组合输入'!$H3*$B88+SQRT(1-'组合输入'!$H3^2)*H88)</f>
        <v/>
      </c>
      <c r="J88" s="7">
        <f>IF(I88="","",NORM.S.DIST(I88,TRUE))</f>
        <v/>
      </c>
      <c r="K88" s="13">
        <f>IF(J88="","",IF(J88&lt;='组合输入'!$K3,"AAA",IF(J88&lt;='组合输入'!$L3,"AA",IF(J88&lt;='组合输入'!$M3,"A",IF(J88&lt;='组合输入'!$N3,"BBB",IF(J88&lt;='组合输入'!$O3,"BB",IF(J88&lt;='组合输入'!$P3,"B",IF(J88&lt;='组合输入'!$Q3,"CCC","D")))))))</f>
        <v/>
      </c>
      <c r="L88" s="12">
        <f>IF(K88="","",INDEX('状态价值'!$D3:$K3,MATCH(K88,'状态价值'!$D$1:$K$1,0)))</f>
        <v/>
      </c>
      <c r="M88" s="15">
        <f>NORM.S.INV(RAND())</f>
        <v/>
      </c>
      <c r="N88" s="15">
        <f>IF('组合输入'!$C4="","",'组合输入'!$H4*$B88+SQRT(1-'组合输入'!$H4^2)*M88)</f>
        <v/>
      </c>
      <c r="O88" s="7">
        <f>IF(N88="","",NORM.S.DIST(N88,TRUE))</f>
        <v/>
      </c>
      <c r="P88" s="13">
        <f>IF(O88="","",IF(O88&lt;='组合输入'!$K4,"AAA",IF(O88&lt;='组合输入'!$L4,"AA",IF(O88&lt;='组合输入'!$M4,"A",IF(O88&lt;='组合输入'!$N4,"BBB",IF(O88&lt;='组合输入'!$O4,"BB",IF(O88&lt;='组合输入'!$P4,"B",IF(O88&lt;='组合输入'!$Q4,"CCC","D")))))))</f>
        <v/>
      </c>
      <c r="Q88" s="12">
        <f>IF(P88="","",INDEX('状态价值'!$D4:$K4,MATCH(P88,'状态价值'!$D$1:$K$1,0)))</f>
        <v/>
      </c>
      <c r="R88" s="15">
        <f>NORM.S.INV(RAND())</f>
        <v/>
      </c>
      <c r="S88" s="15">
        <f>IF('组合输入'!$C5="","",'组合输入'!$H5*$B88+SQRT(1-'组合输入'!$H5^2)*R88)</f>
        <v/>
      </c>
      <c r="T88" s="7">
        <f>IF(S88="","",NORM.S.DIST(S88,TRUE))</f>
        <v/>
      </c>
      <c r="U88" s="13">
        <f>IF(T88="","",IF(T88&lt;='组合输入'!$K5,"AAA",IF(T88&lt;='组合输入'!$L5,"AA",IF(T88&lt;='组合输入'!$M5,"A",IF(T88&lt;='组合输入'!$N5,"BBB",IF(T88&lt;='组合输入'!$O5,"BB",IF(T88&lt;='组合输入'!$P5,"B",IF(T88&lt;='组合输入'!$Q5,"CCC","D")))))))</f>
        <v/>
      </c>
      <c r="V88" s="12">
        <f>IF(U88="","",INDEX('状态价值'!$D5:$K5,MATCH(U88,'状态价值'!$D$1:$K$1,0)))</f>
        <v/>
      </c>
      <c r="W88" s="15">
        <f>NORM.S.INV(RAND())</f>
        <v/>
      </c>
      <c r="X88" s="15">
        <f>IF('组合输入'!$C6="","",'组合输入'!$H6*$B88+SQRT(1-'组合输入'!$H6^2)*W88)</f>
        <v/>
      </c>
      <c r="Y88" s="7">
        <f>IF(X88="","",NORM.S.DIST(X88,TRUE))</f>
        <v/>
      </c>
      <c r="Z88" s="13">
        <f>IF(Y88="","",IF(Y88&lt;='组合输入'!$K6,"AAA",IF(Y88&lt;='组合输入'!$L6,"AA",IF(Y88&lt;='组合输入'!$M6,"A",IF(Y88&lt;='组合输入'!$N6,"BBB",IF(Y88&lt;='组合输入'!$O6,"BB",IF(Y88&lt;='组合输入'!$P6,"B",IF(Y88&lt;='组合输入'!$Q6,"CCC","D")))))))</f>
        <v/>
      </c>
      <c r="AA88" s="12">
        <f>IF(Z88="","",INDEX('状态价值'!$D6:$K6,MATCH(Z88,'状态价值'!$D$1:$K$1,0)))</f>
        <v/>
      </c>
      <c r="AB88" s="15">
        <f>NORM.S.INV(RAND())</f>
        <v/>
      </c>
      <c r="AC88" s="15">
        <f>IF('组合输入'!$C7="","",'组合输入'!$H7*$B88+SQRT(1-'组合输入'!$H7^2)*AB88)</f>
        <v/>
      </c>
      <c r="AD88" s="7">
        <f>IF(AC88="","",NORM.S.DIST(AC88,TRUE))</f>
        <v/>
      </c>
      <c r="AE88" s="13">
        <f>IF(AD88="","",IF(AD88&lt;='组合输入'!$K7,"AAA",IF(AD88&lt;='组合输入'!$L7,"AA",IF(AD88&lt;='组合输入'!$M7,"A",IF(AD88&lt;='组合输入'!$N7,"BBB",IF(AD88&lt;='组合输入'!$O7,"BB",IF(AD88&lt;='组合输入'!$P7,"B",IF(AD88&lt;='组合输入'!$Q7,"CCC","D")))))))</f>
        <v/>
      </c>
      <c r="AF88" s="12">
        <f>IF(AE88="","",INDEX('状态价值'!$D7:$K7,MATCH(AE88,'状态价值'!$D$1:$K$1,0)))</f>
        <v/>
      </c>
      <c r="AG88" s="15">
        <f>NORM.S.INV(RAND())</f>
        <v/>
      </c>
      <c r="AH88" s="15">
        <f>IF('组合输入'!$C8="","",'组合输入'!$H8*$B88+SQRT(1-'组合输入'!$H8^2)*AG88)</f>
        <v/>
      </c>
      <c r="AI88" s="7">
        <f>IF(AH88="","",NORM.S.DIST(AH88,TRUE))</f>
        <v/>
      </c>
      <c r="AJ88" s="13">
        <f>IF(AI88="","",IF(AI88&lt;='组合输入'!$K8,"AAA",IF(AI88&lt;='组合输入'!$L8,"AA",IF(AI88&lt;='组合输入'!$M8,"A",IF(AI88&lt;='组合输入'!$N8,"BBB",IF(AI88&lt;='组合输入'!$O8,"BB",IF(AI88&lt;='组合输入'!$P8,"B",IF(AI88&lt;='组合输入'!$Q8,"CCC","D")))))))</f>
        <v/>
      </c>
      <c r="AK88" s="12">
        <f>IF(AJ88="","",INDEX('状态价值'!$D8:$K8,MATCH(AJ88,'状态价值'!$D$1:$K$1,0)))</f>
        <v/>
      </c>
      <c r="AL88" s="15">
        <f>NORM.S.INV(RAND())</f>
        <v/>
      </c>
      <c r="AM88" s="15">
        <f>IF('组合输入'!$C9="","",'组合输入'!$H9*$B88+SQRT(1-'组合输入'!$H9^2)*AL88)</f>
        <v/>
      </c>
      <c r="AN88" s="7">
        <f>IF(AM88="","",NORM.S.DIST(AM88,TRUE))</f>
        <v/>
      </c>
      <c r="AO88" s="13">
        <f>IF(AN88="","",IF(AN88&lt;='组合输入'!$K9,"AAA",IF(AN88&lt;='组合输入'!$L9,"AA",IF(AN88&lt;='组合输入'!$M9,"A",IF(AN88&lt;='组合输入'!$N9,"BBB",IF(AN88&lt;='组合输入'!$O9,"BB",IF(AN88&lt;='组合输入'!$P9,"B",IF(AN88&lt;='组合输入'!$Q9,"CCC","D")))))))</f>
        <v/>
      </c>
      <c r="AP88" s="12">
        <f>IF(AO88="","",INDEX('状态价值'!$D9:$K9,MATCH(AO88,'状态价值'!$D$1:$K$1,0)))</f>
        <v/>
      </c>
      <c r="AQ88" s="15">
        <f>NORM.S.INV(RAND())</f>
        <v/>
      </c>
      <c r="AR88" s="15">
        <f>IF('组合输入'!$C10="","",'组合输入'!$H10*$B88+SQRT(1-'组合输入'!$H10^2)*AQ88)</f>
        <v/>
      </c>
      <c r="AS88" s="7">
        <f>IF(AR88="","",NORM.S.DIST(AR88,TRUE))</f>
        <v/>
      </c>
      <c r="AT88" s="13">
        <f>IF(AS88="","",IF(AS88&lt;='组合输入'!$K10,"AAA",IF(AS88&lt;='组合输入'!$L10,"AA",IF(AS88&lt;='组合输入'!$M10,"A",IF(AS88&lt;='组合输入'!$N10,"BBB",IF(AS88&lt;='组合输入'!$O10,"BB",IF(AS88&lt;='组合输入'!$P10,"B",IF(AS88&lt;='组合输入'!$Q10,"CCC","D")))))))</f>
        <v/>
      </c>
      <c r="AU88" s="12">
        <f>IF(AT88="","",INDEX('状态价值'!$D10:$K10,MATCH(AT88,'状态价值'!$D$1:$K$1,0)))</f>
        <v/>
      </c>
      <c r="AV88" s="15">
        <f>NORM.S.INV(RAND())</f>
        <v/>
      </c>
      <c r="AW88" s="15">
        <f>IF('组合输入'!$C11="","",'组合输入'!$H11*$B88+SQRT(1-'组合输入'!$H11^2)*AV88)</f>
        <v/>
      </c>
      <c r="AX88" s="7">
        <f>IF(AW88="","",NORM.S.DIST(AW88,TRUE))</f>
        <v/>
      </c>
      <c r="AY88" s="13">
        <f>IF(AX88="","",IF(AX88&lt;='组合输入'!$K11,"AAA",IF(AX88&lt;='组合输入'!$L11,"AA",IF(AX88&lt;='组合输入'!$M11,"A",IF(AX88&lt;='组合输入'!$N11,"BBB",IF(AX88&lt;='组合输入'!$O11,"BB",IF(AX88&lt;='组合输入'!$P11,"B",IF(AX88&lt;='组合输入'!$Q11,"CCC","D")))))))</f>
        <v/>
      </c>
      <c r="AZ88" s="12">
        <f>IF(AY88="","",INDEX('状态价值'!$D11:$K11,MATCH(AY88,'状态价值'!$D$1:$K$1,0)))</f>
        <v/>
      </c>
      <c r="BA88" s="12">
        <f>G88+L88+Q88+V88+AA88+AF88+AK88+AP88+AU88+AZ88</f>
        <v/>
      </c>
      <c r="BB88" s="12">
        <f>SUM('组合输入'!$J$2:$J$11)-BA88</f>
        <v/>
      </c>
    </row>
    <row r="89">
      <c r="A89" s="11" t="n">
        <v>88</v>
      </c>
      <c r="B89" s="14">
        <f>NORM.S.INV(RAND())</f>
        <v/>
      </c>
      <c r="C89" s="14">
        <f>NORM.S.INV(RAND())</f>
        <v/>
      </c>
      <c r="D89" s="15">
        <f>IF('组合输入'!$C2="","",'组合输入'!$H2*$B89+SQRT(1-'组合输入'!$H2^2)*C89)</f>
        <v/>
      </c>
      <c r="E89" s="7">
        <f>IF(D89="","",NORM.S.DIST(D89,TRUE))</f>
        <v/>
      </c>
      <c r="F89" s="13">
        <f>IF(E89="","",IF(E89&lt;='组合输入'!$K2,"AAA",IF(E89&lt;='组合输入'!$L2,"AA",IF(E89&lt;='组合输入'!$M2,"A",IF(E89&lt;='组合输入'!$N2,"BBB",IF(E89&lt;='组合输入'!$O2,"BB",IF(E89&lt;='组合输入'!$P2,"B",IF(E89&lt;='组合输入'!$Q2,"CCC","D")))))))</f>
        <v/>
      </c>
      <c r="G89" s="12">
        <f>IF(F89="","",INDEX('状态价值'!$D2:$K2,MATCH(F89,'状态价值'!$D$1:$K$1,0)))</f>
        <v/>
      </c>
      <c r="H89" s="15">
        <f>NORM.S.INV(RAND())</f>
        <v/>
      </c>
      <c r="I89" s="15">
        <f>IF('组合输入'!$C3="","",'组合输入'!$H3*$B89+SQRT(1-'组合输入'!$H3^2)*H89)</f>
        <v/>
      </c>
      <c r="J89" s="7">
        <f>IF(I89="","",NORM.S.DIST(I89,TRUE))</f>
        <v/>
      </c>
      <c r="K89" s="13">
        <f>IF(J89="","",IF(J89&lt;='组合输入'!$K3,"AAA",IF(J89&lt;='组合输入'!$L3,"AA",IF(J89&lt;='组合输入'!$M3,"A",IF(J89&lt;='组合输入'!$N3,"BBB",IF(J89&lt;='组合输入'!$O3,"BB",IF(J89&lt;='组合输入'!$P3,"B",IF(J89&lt;='组合输入'!$Q3,"CCC","D")))))))</f>
        <v/>
      </c>
      <c r="L89" s="12">
        <f>IF(K89="","",INDEX('状态价值'!$D3:$K3,MATCH(K89,'状态价值'!$D$1:$K$1,0)))</f>
        <v/>
      </c>
      <c r="M89" s="15">
        <f>NORM.S.INV(RAND())</f>
        <v/>
      </c>
      <c r="N89" s="15">
        <f>IF('组合输入'!$C4="","",'组合输入'!$H4*$B89+SQRT(1-'组合输入'!$H4^2)*M89)</f>
        <v/>
      </c>
      <c r="O89" s="7">
        <f>IF(N89="","",NORM.S.DIST(N89,TRUE))</f>
        <v/>
      </c>
      <c r="P89" s="13">
        <f>IF(O89="","",IF(O89&lt;='组合输入'!$K4,"AAA",IF(O89&lt;='组合输入'!$L4,"AA",IF(O89&lt;='组合输入'!$M4,"A",IF(O89&lt;='组合输入'!$N4,"BBB",IF(O89&lt;='组合输入'!$O4,"BB",IF(O89&lt;='组合输入'!$P4,"B",IF(O89&lt;='组合输入'!$Q4,"CCC","D")))))))</f>
        <v/>
      </c>
      <c r="Q89" s="12">
        <f>IF(P89="","",INDEX('状态价值'!$D4:$K4,MATCH(P89,'状态价值'!$D$1:$K$1,0)))</f>
        <v/>
      </c>
      <c r="R89" s="15">
        <f>NORM.S.INV(RAND())</f>
        <v/>
      </c>
      <c r="S89" s="15">
        <f>IF('组合输入'!$C5="","",'组合输入'!$H5*$B89+SQRT(1-'组合输入'!$H5^2)*R89)</f>
        <v/>
      </c>
      <c r="T89" s="7">
        <f>IF(S89="","",NORM.S.DIST(S89,TRUE))</f>
        <v/>
      </c>
      <c r="U89" s="13">
        <f>IF(T89="","",IF(T89&lt;='组合输入'!$K5,"AAA",IF(T89&lt;='组合输入'!$L5,"AA",IF(T89&lt;='组合输入'!$M5,"A",IF(T89&lt;='组合输入'!$N5,"BBB",IF(T89&lt;='组合输入'!$O5,"BB",IF(T89&lt;='组合输入'!$P5,"B",IF(T89&lt;='组合输入'!$Q5,"CCC","D")))))))</f>
        <v/>
      </c>
      <c r="V89" s="12">
        <f>IF(U89="","",INDEX('状态价值'!$D5:$K5,MATCH(U89,'状态价值'!$D$1:$K$1,0)))</f>
        <v/>
      </c>
      <c r="W89" s="15">
        <f>NORM.S.INV(RAND())</f>
        <v/>
      </c>
      <c r="X89" s="15">
        <f>IF('组合输入'!$C6="","",'组合输入'!$H6*$B89+SQRT(1-'组合输入'!$H6^2)*W89)</f>
        <v/>
      </c>
      <c r="Y89" s="7">
        <f>IF(X89="","",NORM.S.DIST(X89,TRUE))</f>
        <v/>
      </c>
      <c r="Z89" s="13">
        <f>IF(Y89="","",IF(Y89&lt;='组合输入'!$K6,"AAA",IF(Y89&lt;='组合输入'!$L6,"AA",IF(Y89&lt;='组合输入'!$M6,"A",IF(Y89&lt;='组合输入'!$N6,"BBB",IF(Y89&lt;='组合输入'!$O6,"BB",IF(Y89&lt;='组合输入'!$P6,"B",IF(Y89&lt;='组合输入'!$Q6,"CCC","D")))))))</f>
        <v/>
      </c>
      <c r="AA89" s="12">
        <f>IF(Z89="","",INDEX('状态价值'!$D6:$K6,MATCH(Z89,'状态价值'!$D$1:$K$1,0)))</f>
        <v/>
      </c>
      <c r="AB89" s="15">
        <f>NORM.S.INV(RAND())</f>
        <v/>
      </c>
      <c r="AC89" s="15">
        <f>IF('组合输入'!$C7="","",'组合输入'!$H7*$B89+SQRT(1-'组合输入'!$H7^2)*AB89)</f>
        <v/>
      </c>
      <c r="AD89" s="7">
        <f>IF(AC89="","",NORM.S.DIST(AC89,TRUE))</f>
        <v/>
      </c>
      <c r="AE89" s="13">
        <f>IF(AD89="","",IF(AD89&lt;='组合输入'!$K7,"AAA",IF(AD89&lt;='组合输入'!$L7,"AA",IF(AD89&lt;='组合输入'!$M7,"A",IF(AD89&lt;='组合输入'!$N7,"BBB",IF(AD89&lt;='组合输入'!$O7,"BB",IF(AD89&lt;='组合输入'!$P7,"B",IF(AD89&lt;='组合输入'!$Q7,"CCC","D")))))))</f>
        <v/>
      </c>
      <c r="AF89" s="12">
        <f>IF(AE89="","",INDEX('状态价值'!$D7:$K7,MATCH(AE89,'状态价值'!$D$1:$K$1,0)))</f>
        <v/>
      </c>
      <c r="AG89" s="15">
        <f>NORM.S.INV(RAND())</f>
        <v/>
      </c>
      <c r="AH89" s="15">
        <f>IF('组合输入'!$C8="","",'组合输入'!$H8*$B89+SQRT(1-'组合输入'!$H8^2)*AG89)</f>
        <v/>
      </c>
      <c r="AI89" s="7">
        <f>IF(AH89="","",NORM.S.DIST(AH89,TRUE))</f>
        <v/>
      </c>
      <c r="AJ89" s="13">
        <f>IF(AI89="","",IF(AI89&lt;='组合输入'!$K8,"AAA",IF(AI89&lt;='组合输入'!$L8,"AA",IF(AI89&lt;='组合输入'!$M8,"A",IF(AI89&lt;='组合输入'!$N8,"BBB",IF(AI89&lt;='组合输入'!$O8,"BB",IF(AI89&lt;='组合输入'!$P8,"B",IF(AI89&lt;='组合输入'!$Q8,"CCC","D")))))))</f>
        <v/>
      </c>
      <c r="AK89" s="12">
        <f>IF(AJ89="","",INDEX('状态价值'!$D8:$K8,MATCH(AJ89,'状态价值'!$D$1:$K$1,0)))</f>
        <v/>
      </c>
      <c r="AL89" s="15">
        <f>NORM.S.INV(RAND())</f>
        <v/>
      </c>
      <c r="AM89" s="15">
        <f>IF('组合输入'!$C9="","",'组合输入'!$H9*$B89+SQRT(1-'组合输入'!$H9^2)*AL89)</f>
        <v/>
      </c>
      <c r="AN89" s="7">
        <f>IF(AM89="","",NORM.S.DIST(AM89,TRUE))</f>
        <v/>
      </c>
      <c r="AO89" s="13">
        <f>IF(AN89="","",IF(AN89&lt;='组合输入'!$K9,"AAA",IF(AN89&lt;='组合输入'!$L9,"AA",IF(AN89&lt;='组合输入'!$M9,"A",IF(AN89&lt;='组合输入'!$N9,"BBB",IF(AN89&lt;='组合输入'!$O9,"BB",IF(AN89&lt;='组合输入'!$P9,"B",IF(AN89&lt;='组合输入'!$Q9,"CCC","D")))))))</f>
        <v/>
      </c>
      <c r="AP89" s="12">
        <f>IF(AO89="","",INDEX('状态价值'!$D9:$K9,MATCH(AO89,'状态价值'!$D$1:$K$1,0)))</f>
        <v/>
      </c>
      <c r="AQ89" s="15">
        <f>NORM.S.INV(RAND())</f>
        <v/>
      </c>
      <c r="AR89" s="15">
        <f>IF('组合输入'!$C10="","",'组合输入'!$H10*$B89+SQRT(1-'组合输入'!$H10^2)*AQ89)</f>
        <v/>
      </c>
      <c r="AS89" s="7">
        <f>IF(AR89="","",NORM.S.DIST(AR89,TRUE))</f>
        <v/>
      </c>
      <c r="AT89" s="13">
        <f>IF(AS89="","",IF(AS89&lt;='组合输入'!$K10,"AAA",IF(AS89&lt;='组合输入'!$L10,"AA",IF(AS89&lt;='组合输入'!$M10,"A",IF(AS89&lt;='组合输入'!$N10,"BBB",IF(AS89&lt;='组合输入'!$O10,"BB",IF(AS89&lt;='组合输入'!$P10,"B",IF(AS89&lt;='组合输入'!$Q10,"CCC","D")))))))</f>
        <v/>
      </c>
      <c r="AU89" s="12">
        <f>IF(AT89="","",INDEX('状态价值'!$D10:$K10,MATCH(AT89,'状态价值'!$D$1:$K$1,0)))</f>
        <v/>
      </c>
      <c r="AV89" s="15">
        <f>NORM.S.INV(RAND())</f>
        <v/>
      </c>
      <c r="AW89" s="15">
        <f>IF('组合输入'!$C11="","",'组合输入'!$H11*$B89+SQRT(1-'组合输入'!$H11^2)*AV89)</f>
        <v/>
      </c>
      <c r="AX89" s="7">
        <f>IF(AW89="","",NORM.S.DIST(AW89,TRUE))</f>
        <v/>
      </c>
      <c r="AY89" s="13">
        <f>IF(AX89="","",IF(AX89&lt;='组合输入'!$K11,"AAA",IF(AX89&lt;='组合输入'!$L11,"AA",IF(AX89&lt;='组合输入'!$M11,"A",IF(AX89&lt;='组合输入'!$N11,"BBB",IF(AX89&lt;='组合输入'!$O11,"BB",IF(AX89&lt;='组合输入'!$P11,"B",IF(AX89&lt;='组合输入'!$Q11,"CCC","D")))))))</f>
        <v/>
      </c>
      <c r="AZ89" s="12">
        <f>IF(AY89="","",INDEX('状态价值'!$D11:$K11,MATCH(AY89,'状态价值'!$D$1:$K$1,0)))</f>
        <v/>
      </c>
      <c r="BA89" s="12">
        <f>G89+L89+Q89+V89+AA89+AF89+AK89+AP89+AU89+AZ89</f>
        <v/>
      </c>
      <c r="BB89" s="12">
        <f>SUM('组合输入'!$J$2:$J$11)-BA89</f>
        <v/>
      </c>
    </row>
    <row r="90">
      <c r="A90" s="11" t="n">
        <v>89</v>
      </c>
      <c r="B90" s="14">
        <f>NORM.S.INV(RAND())</f>
        <v/>
      </c>
      <c r="C90" s="14">
        <f>NORM.S.INV(RAND())</f>
        <v/>
      </c>
      <c r="D90" s="15">
        <f>IF('组合输入'!$C2="","",'组合输入'!$H2*$B90+SQRT(1-'组合输入'!$H2^2)*C90)</f>
        <v/>
      </c>
      <c r="E90" s="7">
        <f>IF(D90="","",NORM.S.DIST(D90,TRUE))</f>
        <v/>
      </c>
      <c r="F90" s="13">
        <f>IF(E90="","",IF(E90&lt;='组合输入'!$K2,"AAA",IF(E90&lt;='组合输入'!$L2,"AA",IF(E90&lt;='组合输入'!$M2,"A",IF(E90&lt;='组合输入'!$N2,"BBB",IF(E90&lt;='组合输入'!$O2,"BB",IF(E90&lt;='组合输入'!$P2,"B",IF(E90&lt;='组合输入'!$Q2,"CCC","D")))))))</f>
        <v/>
      </c>
      <c r="G90" s="12">
        <f>IF(F90="","",INDEX('状态价值'!$D2:$K2,MATCH(F90,'状态价值'!$D$1:$K$1,0)))</f>
        <v/>
      </c>
      <c r="H90" s="15">
        <f>NORM.S.INV(RAND())</f>
        <v/>
      </c>
      <c r="I90" s="15">
        <f>IF('组合输入'!$C3="","",'组合输入'!$H3*$B90+SQRT(1-'组合输入'!$H3^2)*H90)</f>
        <v/>
      </c>
      <c r="J90" s="7">
        <f>IF(I90="","",NORM.S.DIST(I90,TRUE))</f>
        <v/>
      </c>
      <c r="K90" s="13">
        <f>IF(J90="","",IF(J90&lt;='组合输入'!$K3,"AAA",IF(J90&lt;='组合输入'!$L3,"AA",IF(J90&lt;='组合输入'!$M3,"A",IF(J90&lt;='组合输入'!$N3,"BBB",IF(J90&lt;='组合输入'!$O3,"BB",IF(J90&lt;='组合输入'!$P3,"B",IF(J90&lt;='组合输入'!$Q3,"CCC","D")))))))</f>
        <v/>
      </c>
      <c r="L90" s="12">
        <f>IF(K90="","",INDEX('状态价值'!$D3:$K3,MATCH(K90,'状态价值'!$D$1:$K$1,0)))</f>
        <v/>
      </c>
      <c r="M90" s="15">
        <f>NORM.S.INV(RAND())</f>
        <v/>
      </c>
      <c r="N90" s="15">
        <f>IF('组合输入'!$C4="","",'组合输入'!$H4*$B90+SQRT(1-'组合输入'!$H4^2)*M90)</f>
        <v/>
      </c>
      <c r="O90" s="7">
        <f>IF(N90="","",NORM.S.DIST(N90,TRUE))</f>
        <v/>
      </c>
      <c r="P90" s="13">
        <f>IF(O90="","",IF(O90&lt;='组合输入'!$K4,"AAA",IF(O90&lt;='组合输入'!$L4,"AA",IF(O90&lt;='组合输入'!$M4,"A",IF(O90&lt;='组合输入'!$N4,"BBB",IF(O90&lt;='组合输入'!$O4,"BB",IF(O90&lt;='组合输入'!$P4,"B",IF(O90&lt;='组合输入'!$Q4,"CCC","D")))))))</f>
        <v/>
      </c>
      <c r="Q90" s="12">
        <f>IF(P90="","",INDEX('状态价值'!$D4:$K4,MATCH(P90,'状态价值'!$D$1:$K$1,0)))</f>
        <v/>
      </c>
      <c r="R90" s="15">
        <f>NORM.S.INV(RAND())</f>
        <v/>
      </c>
      <c r="S90" s="15">
        <f>IF('组合输入'!$C5="","",'组合输入'!$H5*$B90+SQRT(1-'组合输入'!$H5^2)*R90)</f>
        <v/>
      </c>
      <c r="T90" s="7">
        <f>IF(S90="","",NORM.S.DIST(S90,TRUE))</f>
        <v/>
      </c>
      <c r="U90" s="13">
        <f>IF(T90="","",IF(T90&lt;='组合输入'!$K5,"AAA",IF(T90&lt;='组合输入'!$L5,"AA",IF(T90&lt;='组合输入'!$M5,"A",IF(T90&lt;='组合输入'!$N5,"BBB",IF(T90&lt;='组合输入'!$O5,"BB",IF(T90&lt;='组合输入'!$P5,"B",IF(T90&lt;='组合输入'!$Q5,"CCC","D")))))))</f>
        <v/>
      </c>
      <c r="V90" s="12">
        <f>IF(U90="","",INDEX('状态价值'!$D5:$K5,MATCH(U90,'状态价值'!$D$1:$K$1,0)))</f>
        <v/>
      </c>
      <c r="W90" s="15">
        <f>NORM.S.INV(RAND())</f>
        <v/>
      </c>
      <c r="X90" s="15">
        <f>IF('组合输入'!$C6="","",'组合输入'!$H6*$B90+SQRT(1-'组合输入'!$H6^2)*W90)</f>
        <v/>
      </c>
      <c r="Y90" s="7">
        <f>IF(X90="","",NORM.S.DIST(X90,TRUE))</f>
        <v/>
      </c>
      <c r="Z90" s="13">
        <f>IF(Y90="","",IF(Y90&lt;='组合输入'!$K6,"AAA",IF(Y90&lt;='组合输入'!$L6,"AA",IF(Y90&lt;='组合输入'!$M6,"A",IF(Y90&lt;='组合输入'!$N6,"BBB",IF(Y90&lt;='组合输入'!$O6,"BB",IF(Y90&lt;='组合输入'!$P6,"B",IF(Y90&lt;='组合输入'!$Q6,"CCC","D")))))))</f>
        <v/>
      </c>
      <c r="AA90" s="12">
        <f>IF(Z90="","",INDEX('状态价值'!$D6:$K6,MATCH(Z90,'状态价值'!$D$1:$K$1,0)))</f>
        <v/>
      </c>
      <c r="AB90" s="15">
        <f>NORM.S.INV(RAND())</f>
        <v/>
      </c>
      <c r="AC90" s="15">
        <f>IF('组合输入'!$C7="","",'组合输入'!$H7*$B90+SQRT(1-'组合输入'!$H7^2)*AB90)</f>
        <v/>
      </c>
      <c r="AD90" s="7">
        <f>IF(AC90="","",NORM.S.DIST(AC90,TRUE))</f>
        <v/>
      </c>
      <c r="AE90" s="13">
        <f>IF(AD90="","",IF(AD90&lt;='组合输入'!$K7,"AAA",IF(AD90&lt;='组合输入'!$L7,"AA",IF(AD90&lt;='组合输入'!$M7,"A",IF(AD90&lt;='组合输入'!$N7,"BBB",IF(AD90&lt;='组合输入'!$O7,"BB",IF(AD90&lt;='组合输入'!$P7,"B",IF(AD90&lt;='组合输入'!$Q7,"CCC","D")))))))</f>
        <v/>
      </c>
      <c r="AF90" s="12">
        <f>IF(AE90="","",INDEX('状态价值'!$D7:$K7,MATCH(AE90,'状态价值'!$D$1:$K$1,0)))</f>
        <v/>
      </c>
      <c r="AG90" s="15">
        <f>NORM.S.INV(RAND())</f>
        <v/>
      </c>
      <c r="AH90" s="15">
        <f>IF('组合输入'!$C8="","",'组合输入'!$H8*$B90+SQRT(1-'组合输入'!$H8^2)*AG90)</f>
        <v/>
      </c>
      <c r="AI90" s="7">
        <f>IF(AH90="","",NORM.S.DIST(AH90,TRUE))</f>
        <v/>
      </c>
      <c r="AJ90" s="13">
        <f>IF(AI90="","",IF(AI90&lt;='组合输入'!$K8,"AAA",IF(AI90&lt;='组合输入'!$L8,"AA",IF(AI90&lt;='组合输入'!$M8,"A",IF(AI90&lt;='组合输入'!$N8,"BBB",IF(AI90&lt;='组合输入'!$O8,"BB",IF(AI90&lt;='组合输入'!$P8,"B",IF(AI90&lt;='组合输入'!$Q8,"CCC","D")))))))</f>
        <v/>
      </c>
      <c r="AK90" s="12">
        <f>IF(AJ90="","",INDEX('状态价值'!$D8:$K8,MATCH(AJ90,'状态价值'!$D$1:$K$1,0)))</f>
        <v/>
      </c>
      <c r="AL90" s="15">
        <f>NORM.S.INV(RAND())</f>
        <v/>
      </c>
      <c r="AM90" s="15">
        <f>IF('组合输入'!$C9="","",'组合输入'!$H9*$B90+SQRT(1-'组合输入'!$H9^2)*AL90)</f>
        <v/>
      </c>
      <c r="AN90" s="7">
        <f>IF(AM90="","",NORM.S.DIST(AM90,TRUE))</f>
        <v/>
      </c>
      <c r="AO90" s="13">
        <f>IF(AN90="","",IF(AN90&lt;='组合输入'!$K9,"AAA",IF(AN90&lt;='组合输入'!$L9,"AA",IF(AN90&lt;='组合输入'!$M9,"A",IF(AN90&lt;='组合输入'!$N9,"BBB",IF(AN90&lt;='组合输入'!$O9,"BB",IF(AN90&lt;='组合输入'!$P9,"B",IF(AN90&lt;='组合输入'!$Q9,"CCC","D")))))))</f>
        <v/>
      </c>
      <c r="AP90" s="12">
        <f>IF(AO90="","",INDEX('状态价值'!$D9:$K9,MATCH(AO90,'状态价值'!$D$1:$K$1,0)))</f>
        <v/>
      </c>
      <c r="AQ90" s="15">
        <f>NORM.S.INV(RAND())</f>
        <v/>
      </c>
      <c r="AR90" s="15">
        <f>IF('组合输入'!$C10="","",'组合输入'!$H10*$B90+SQRT(1-'组合输入'!$H10^2)*AQ90)</f>
        <v/>
      </c>
      <c r="AS90" s="7">
        <f>IF(AR90="","",NORM.S.DIST(AR90,TRUE))</f>
        <v/>
      </c>
      <c r="AT90" s="13">
        <f>IF(AS90="","",IF(AS90&lt;='组合输入'!$K10,"AAA",IF(AS90&lt;='组合输入'!$L10,"AA",IF(AS90&lt;='组合输入'!$M10,"A",IF(AS90&lt;='组合输入'!$N10,"BBB",IF(AS90&lt;='组合输入'!$O10,"BB",IF(AS90&lt;='组合输入'!$P10,"B",IF(AS90&lt;='组合输入'!$Q10,"CCC","D")))))))</f>
        <v/>
      </c>
      <c r="AU90" s="12">
        <f>IF(AT90="","",INDEX('状态价值'!$D10:$K10,MATCH(AT90,'状态价值'!$D$1:$K$1,0)))</f>
        <v/>
      </c>
      <c r="AV90" s="15">
        <f>NORM.S.INV(RAND())</f>
        <v/>
      </c>
      <c r="AW90" s="15">
        <f>IF('组合输入'!$C11="","",'组合输入'!$H11*$B90+SQRT(1-'组合输入'!$H11^2)*AV90)</f>
        <v/>
      </c>
      <c r="AX90" s="7">
        <f>IF(AW90="","",NORM.S.DIST(AW90,TRUE))</f>
        <v/>
      </c>
      <c r="AY90" s="13">
        <f>IF(AX90="","",IF(AX90&lt;='组合输入'!$K11,"AAA",IF(AX90&lt;='组合输入'!$L11,"AA",IF(AX90&lt;='组合输入'!$M11,"A",IF(AX90&lt;='组合输入'!$N11,"BBB",IF(AX90&lt;='组合输入'!$O11,"BB",IF(AX90&lt;='组合输入'!$P11,"B",IF(AX90&lt;='组合输入'!$Q11,"CCC","D")))))))</f>
        <v/>
      </c>
      <c r="AZ90" s="12">
        <f>IF(AY90="","",INDEX('状态价值'!$D11:$K11,MATCH(AY90,'状态价值'!$D$1:$K$1,0)))</f>
        <v/>
      </c>
      <c r="BA90" s="12">
        <f>G90+L90+Q90+V90+AA90+AF90+AK90+AP90+AU90+AZ90</f>
        <v/>
      </c>
      <c r="BB90" s="12">
        <f>SUM('组合输入'!$J$2:$J$11)-BA90</f>
        <v/>
      </c>
    </row>
    <row r="91">
      <c r="A91" s="11" t="n">
        <v>90</v>
      </c>
      <c r="B91" s="14">
        <f>NORM.S.INV(RAND())</f>
        <v/>
      </c>
      <c r="C91" s="14">
        <f>NORM.S.INV(RAND())</f>
        <v/>
      </c>
      <c r="D91" s="15">
        <f>IF('组合输入'!$C2="","",'组合输入'!$H2*$B91+SQRT(1-'组合输入'!$H2^2)*C91)</f>
        <v/>
      </c>
      <c r="E91" s="7">
        <f>IF(D91="","",NORM.S.DIST(D91,TRUE))</f>
        <v/>
      </c>
      <c r="F91" s="13">
        <f>IF(E91="","",IF(E91&lt;='组合输入'!$K2,"AAA",IF(E91&lt;='组合输入'!$L2,"AA",IF(E91&lt;='组合输入'!$M2,"A",IF(E91&lt;='组合输入'!$N2,"BBB",IF(E91&lt;='组合输入'!$O2,"BB",IF(E91&lt;='组合输入'!$P2,"B",IF(E91&lt;='组合输入'!$Q2,"CCC","D")))))))</f>
        <v/>
      </c>
      <c r="G91" s="12">
        <f>IF(F91="","",INDEX('状态价值'!$D2:$K2,MATCH(F91,'状态价值'!$D$1:$K$1,0)))</f>
        <v/>
      </c>
      <c r="H91" s="15">
        <f>NORM.S.INV(RAND())</f>
        <v/>
      </c>
      <c r="I91" s="15">
        <f>IF('组合输入'!$C3="","",'组合输入'!$H3*$B91+SQRT(1-'组合输入'!$H3^2)*H91)</f>
        <v/>
      </c>
      <c r="J91" s="7">
        <f>IF(I91="","",NORM.S.DIST(I91,TRUE))</f>
        <v/>
      </c>
      <c r="K91" s="13">
        <f>IF(J91="","",IF(J91&lt;='组合输入'!$K3,"AAA",IF(J91&lt;='组合输入'!$L3,"AA",IF(J91&lt;='组合输入'!$M3,"A",IF(J91&lt;='组合输入'!$N3,"BBB",IF(J91&lt;='组合输入'!$O3,"BB",IF(J91&lt;='组合输入'!$P3,"B",IF(J91&lt;='组合输入'!$Q3,"CCC","D")))))))</f>
        <v/>
      </c>
      <c r="L91" s="12">
        <f>IF(K91="","",INDEX('状态价值'!$D3:$K3,MATCH(K91,'状态价值'!$D$1:$K$1,0)))</f>
        <v/>
      </c>
      <c r="M91" s="15">
        <f>NORM.S.INV(RAND())</f>
        <v/>
      </c>
      <c r="N91" s="15">
        <f>IF('组合输入'!$C4="","",'组合输入'!$H4*$B91+SQRT(1-'组合输入'!$H4^2)*M91)</f>
        <v/>
      </c>
      <c r="O91" s="7">
        <f>IF(N91="","",NORM.S.DIST(N91,TRUE))</f>
        <v/>
      </c>
      <c r="P91" s="13">
        <f>IF(O91="","",IF(O91&lt;='组合输入'!$K4,"AAA",IF(O91&lt;='组合输入'!$L4,"AA",IF(O91&lt;='组合输入'!$M4,"A",IF(O91&lt;='组合输入'!$N4,"BBB",IF(O91&lt;='组合输入'!$O4,"BB",IF(O91&lt;='组合输入'!$P4,"B",IF(O91&lt;='组合输入'!$Q4,"CCC","D")))))))</f>
        <v/>
      </c>
      <c r="Q91" s="12">
        <f>IF(P91="","",INDEX('状态价值'!$D4:$K4,MATCH(P91,'状态价值'!$D$1:$K$1,0)))</f>
        <v/>
      </c>
      <c r="R91" s="15">
        <f>NORM.S.INV(RAND())</f>
        <v/>
      </c>
      <c r="S91" s="15">
        <f>IF('组合输入'!$C5="","",'组合输入'!$H5*$B91+SQRT(1-'组合输入'!$H5^2)*R91)</f>
        <v/>
      </c>
      <c r="T91" s="7">
        <f>IF(S91="","",NORM.S.DIST(S91,TRUE))</f>
        <v/>
      </c>
      <c r="U91" s="13">
        <f>IF(T91="","",IF(T91&lt;='组合输入'!$K5,"AAA",IF(T91&lt;='组合输入'!$L5,"AA",IF(T91&lt;='组合输入'!$M5,"A",IF(T91&lt;='组合输入'!$N5,"BBB",IF(T91&lt;='组合输入'!$O5,"BB",IF(T91&lt;='组合输入'!$P5,"B",IF(T91&lt;='组合输入'!$Q5,"CCC","D")))))))</f>
        <v/>
      </c>
      <c r="V91" s="12">
        <f>IF(U91="","",INDEX('状态价值'!$D5:$K5,MATCH(U91,'状态价值'!$D$1:$K$1,0)))</f>
        <v/>
      </c>
      <c r="W91" s="15">
        <f>NORM.S.INV(RAND())</f>
        <v/>
      </c>
      <c r="X91" s="15">
        <f>IF('组合输入'!$C6="","",'组合输入'!$H6*$B91+SQRT(1-'组合输入'!$H6^2)*W91)</f>
        <v/>
      </c>
      <c r="Y91" s="7">
        <f>IF(X91="","",NORM.S.DIST(X91,TRUE))</f>
        <v/>
      </c>
      <c r="Z91" s="13">
        <f>IF(Y91="","",IF(Y91&lt;='组合输入'!$K6,"AAA",IF(Y91&lt;='组合输入'!$L6,"AA",IF(Y91&lt;='组合输入'!$M6,"A",IF(Y91&lt;='组合输入'!$N6,"BBB",IF(Y91&lt;='组合输入'!$O6,"BB",IF(Y91&lt;='组合输入'!$P6,"B",IF(Y91&lt;='组合输入'!$Q6,"CCC","D")))))))</f>
        <v/>
      </c>
      <c r="AA91" s="12">
        <f>IF(Z91="","",INDEX('状态价值'!$D6:$K6,MATCH(Z91,'状态价值'!$D$1:$K$1,0)))</f>
        <v/>
      </c>
      <c r="AB91" s="15">
        <f>NORM.S.INV(RAND())</f>
        <v/>
      </c>
      <c r="AC91" s="15">
        <f>IF('组合输入'!$C7="","",'组合输入'!$H7*$B91+SQRT(1-'组合输入'!$H7^2)*AB91)</f>
        <v/>
      </c>
      <c r="AD91" s="7">
        <f>IF(AC91="","",NORM.S.DIST(AC91,TRUE))</f>
        <v/>
      </c>
      <c r="AE91" s="13">
        <f>IF(AD91="","",IF(AD91&lt;='组合输入'!$K7,"AAA",IF(AD91&lt;='组合输入'!$L7,"AA",IF(AD91&lt;='组合输入'!$M7,"A",IF(AD91&lt;='组合输入'!$N7,"BBB",IF(AD91&lt;='组合输入'!$O7,"BB",IF(AD91&lt;='组合输入'!$P7,"B",IF(AD91&lt;='组合输入'!$Q7,"CCC","D")))))))</f>
        <v/>
      </c>
      <c r="AF91" s="12">
        <f>IF(AE91="","",INDEX('状态价值'!$D7:$K7,MATCH(AE91,'状态价值'!$D$1:$K$1,0)))</f>
        <v/>
      </c>
      <c r="AG91" s="15">
        <f>NORM.S.INV(RAND())</f>
        <v/>
      </c>
      <c r="AH91" s="15">
        <f>IF('组合输入'!$C8="","",'组合输入'!$H8*$B91+SQRT(1-'组合输入'!$H8^2)*AG91)</f>
        <v/>
      </c>
      <c r="AI91" s="7">
        <f>IF(AH91="","",NORM.S.DIST(AH91,TRUE))</f>
        <v/>
      </c>
      <c r="AJ91" s="13">
        <f>IF(AI91="","",IF(AI91&lt;='组合输入'!$K8,"AAA",IF(AI91&lt;='组合输入'!$L8,"AA",IF(AI91&lt;='组合输入'!$M8,"A",IF(AI91&lt;='组合输入'!$N8,"BBB",IF(AI91&lt;='组合输入'!$O8,"BB",IF(AI91&lt;='组合输入'!$P8,"B",IF(AI91&lt;='组合输入'!$Q8,"CCC","D")))))))</f>
        <v/>
      </c>
      <c r="AK91" s="12">
        <f>IF(AJ91="","",INDEX('状态价值'!$D8:$K8,MATCH(AJ91,'状态价值'!$D$1:$K$1,0)))</f>
        <v/>
      </c>
      <c r="AL91" s="15">
        <f>NORM.S.INV(RAND())</f>
        <v/>
      </c>
      <c r="AM91" s="15">
        <f>IF('组合输入'!$C9="","",'组合输入'!$H9*$B91+SQRT(1-'组合输入'!$H9^2)*AL91)</f>
        <v/>
      </c>
      <c r="AN91" s="7">
        <f>IF(AM91="","",NORM.S.DIST(AM91,TRUE))</f>
        <v/>
      </c>
      <c r="AO91" s="13">
        <f>IF(AN91="","",IF(AN91&lt;='组合输入'!$K9,"AAA",IF(AN91&lt;='组合输入'!$L9,"AA",IF(AN91&lt;='组合输入'!$M9,"A",IF(AN91&lt;='组合输入'!$N9,"BBB",IF(AN91&lt;='组合输入'!$O9,"BB",IF(AN91&lt;='组合输入'!$P9,"B",IF(AN91&lt;='组合输入'!$Q9,"CCC","D")))))))</f>
        <v/>
      </c>
      <c r="AP91" s="12">
        <f>IF(AO91="","",INDEX('状态价值'!$D9:$K9,MATCH(AO91,'状态价值'!$D$1:$K$1,0)))</f>
        <v/>
      </c>
      <c r="AQ91" s="15">
        <f>NORM.S.INV(RAND())</f>
        <v/>
      </c>
      <c r="AR91" s="15">
        <f>IF('组合输入'!$C10="","",'组合输入'!$H10*$B91+SQRT(1-'组合输入'!$H10^2)*AQ91)</f>
        <v/>
      </c>
      <c r="AS91" s="7">
        <f>IF(AR91="","",NORM.S.DIST(AR91,TRUE))</f>
        <v/>
      </c>
      <c r="AT91" s="13">
        <f>IF(AS91="","",IF(AS91&lt;='组合输入'!$K10,"AAA",IF(AS91&lt;='组合输入'!$L10,"AA",IF(AS91&lt;='组合输入'!$M10,"A",IF(AS91&lt;='组合输入'!$N10,"BBB",IF(AS91&lt;='组合输入'!$O10,"BB",IF(AS91&lt;='组合输入'!$P10,"B",IF(AS91&lt;='组合输入'!$Q10,"CCC","D")))))))</f>
        <v/>
      </c>
      <c r="AU91" s="12">
        <f>IF(AT91="","",INDEX('状态价值'!$D10:$K10,MATCH(AT91,'状态价值'!$D$1:$K$1,0)))</f>
        <v/>
      </c>
      <c r="AV91" s="15">
        <f>NORM.S.INV(RAND())</f>
        <v/>
      </c>
      <c r="AW91" s="15">
        <f>IF('组合输入'!$C11="","",'组合输入'!$H11*$B91+SQRT(1-'组合输入'!$H11^2)*AV91)</f>
        <v/>
      </c>
      <c r="AX91" s="7">
        <f>IF(AW91="","",NORM.S.DIST(AW91,TRUE))</f>
        <v/>
      </c>
      <c r="AY91" s="13">
        <f>IF(AX91="","",IF(AX91&lt;='组合输入'!$K11,"AAA",IF(AX91&lt;='组合输入'!$L11,"AA",IF(AX91&lt;='组合输入'!$M11,"A",IF(AX91&lt;='组合输入'!$N11,"BBB",IF(AX91&lt;='组合输入'!$O11,"BB",IF(AX91&lt;='组合输入'!$P11,"B",IF(AX91&lt;='组合输入'!$Q11,"CCC","D")))))))</f>
        <v/>
      </c>
      <c r="AZ91" s="12">
        <f>IF(AY91="","",INDEX('状态价值'!$D11:$K11,MATCH(AY91,'状态价值'!$D$1:$K$1,0)))</f>
        <v/>
      </c>
      <c r="BA91" s="12">
        <f>G91+L91+Q91+V91+AA91+AF91+AK91+AP91+AU91+AZ91</f>
        <v/>
      </c>
      <c r="BB91" s="12">
        <f>SUM('组合输入'!$J$2:$J$11)-BA91</f>
        <v/>
      </c>
    </row>
    <row r="92">
      <c r="A92" s="11" t="n">
        <v>91</v>
      </c>
      <c r="B92" s="14">
        <f>NORM.S.INV(RAND())</f>
        <v/>
      </c>
      <c r="C92" s="14">
        <f>NORM.S.INV(RAND())</f>
        <v/>
      </c>
      <c r="D92" s="15">
        <f>IF('组合输入'!$C2="","",'组合输入'!$H2*$B92+SQRT(1-'组合输入'!$H2^2)*C92)</f>
        <v/>
      </c>
      <c r="E92" s="7">
        <f>IF(D92="","",NORM.S.DIST(D92,TRUE))</f>
        <v/>
      </c>
      <c r="F92" s="13">
        <f>IF(E92="","",IF(E92&lt;='组合输入'!$K2,"AAA",IF(E92&lt;='组合输入'!$L2,"AA",IF(E92&lt;='组合输入'!$M2,"A",IF(E92&lt;='组合输入'!$N2,"BBB",IF(E92&lt;='组合输入'!$O2,"BB",IF(E92&lt;='组合输入'!$P2,"B",IF(E92&lt;='组合输入'!$Q2,"CCC","D")))))))</f>
        <v/>
      </c>
      <c r="G92" s="12">
        <f>IF(F92="","",INDEX('状态价值'!$D2:$K2,MATCH(F92,'状态价值'!$D$1:$K$1,0)))</f>
        <v/>
      </c>
      <c r="H92" s="15">
        <f>NORM.S.INV(RAND())</f>
        <v/>
      </c>
      <c r="I92" s="15">
        <f>IF('组合输入'!$C3="","",'组合输入'!$H3*$B92+SQRT(1-'组合输入'!$H3^2)*H92)</f>
        <v/>
      </c>
      <c r="J92" s="7">
        <f>IF(I92="","",NORM.S.DIST(I92,TRUE))</f>
        <v/>
      </c>
      <c r="K92" s="13">
        <f>IF(J92="","",IF(J92&lt;='组合输入'!$K3,"AAA",IF(J92&lt;='组合输入'!$L3,"AA",IF(J92&lt;='组合输入'!$M3,"A",IF(J92&lt;='组合输入'!$N3,"BBB",IF(J92&lt;='组合输入'!$O3,"BB",IF(J92&lt;='组合输入'!$P3,"B",IF(J92&lt;='组合输入'!$Q3,"CCC","D")))))))</f>
        <v/>
      </c>
      <c r="L92" s="12">
        <f>IF(K92="","",INDEX('状态价值'!$D3:$K3,MATCH(K92,'状态价值'!$D$1:$K$1,0)))</f>
        <v/>
      </c>
      <c r="M92" s="15">
        <f>NORM.S.INV(RAND())</f>
        <v/>
      </c>
      <c r="N92" s="15">
        <f>IF('组合输入'!$C4="","",'组合输入'!$H4*$B92+SQRT(1-'组合输入'!$H4^2)*M92)</f>
        <v/>
      </c>
      <c r="O92" s="7">
        <f>IF(N92="","",NORM.S.DIST(N92,TRUE))</f>
        <v/>
      </c>
      <c r="P92" s="13">
        <f>IF(O92="","",IF(O92&lt;='组合输入'!$K4,"AAA",IF(O92&lt;='组合输入'!$L4,"AA",IF(O92&lt;='组合输入'!$M4,"A",IF(O92&lt;='组合输入'!$N4,"BBB",IF(O92&lt;='组合输入'!$O4,"BB",IF(O92&lt;='组合输入'!$P4,"B",IF(O92&lt;='组合输入'!$Q4,"CCC","D")))))))</f>
        <v/>
      </c>
      <c r="Q92" s="12">
        <f>IF(P92="","",INDEX('状态价值'!$D4:$K4,MATCH(P92,'状态价值'!$D$1:$K$1,0)))</f>
        <v/>
      </c>
      <c r="R92" s="15">
        <f>NORM.S.INV(RAND())</f>
        <v/>
      </c>
      <c r="S92" s="15">
        <f>IF('组合输入'!$C5="","",'组合输入'!$H5*$B92+SQRT(1-'组合输入'!$H5^2)*R92)</f>
        <v/>
      </c>
      <c r="T92" s="7">
        <f>IF(S92="","",NORM.S.DIST(S92,TRUE))</f>
        <v/>
      </c>
      <c r="U92" s="13">
        <f>IF(T92="","",IF(T92&lt;='组合输入'!$K5,"AAA",IF(T92&lt;='组合输入'!$L5,"AA",IF(T92&lt;='组合输入'!$M5,"A",IF(T92&lt;='组合输入'!$N5,"BBB",IF(T92&lt;='组合输入'!$O5,"BB",IF(T92&lt;='组合输入'!$P5,"B",IF(T92&lt;='组合输入'!$Q5,"CCC","D")))))))</f>
        <v/>
      </c>
      <c r="V92" s="12">
        <f>IF(U92="","",INDEX('状态价值'!$D5:$K5,MATCH(U92,'状态价值'!$D$1:$K$1,0)))</f>
        <v/>
      </c>
      <c r="W92" s="15">
        <f>NORM.S.INV(RAND())</f>
        <v/>
      </c>
      <c r="X92" s="15">
        <f>IF('组合输入'!$C6="","",'组合输入'!$H6*$B92+SQRT(1-'组合输入'!$H6^2)*W92)</f>
        <v/>
      </c>
      <c r="Y92" s="7">
        <f>IF(X92="","",NORM.S.DIST(X92,TRUE))</f>
        <v/>
      </c>
      <c r="Z92" s="13">
        <f>IF(Y92="","",IF(Y92&lt;='组合输入'!$K6,"AAA",IF(Y92&lt;='组合输入'!$L6,"AA",IF(Y92&lt;='组合输入'!$M6,"A",IF(Y92&lt;='组合输入'!$N6,"BBB",IF(Y92&lt;='组合输入'!$O6,"BB",IF(Y92&lt;='组合输入'!$P6,"B",IF(Y92&lt;='组合输入'!$Q6,"CCC","D")))))))</f>
        <v/>
      </c>
      <c r="AA92" s="12">
        <f>IF(Z92="","",INDEX('状态价值'!$D6:$K6,MATCH(Z92,'状态价值'!$D$1:$K$1,0)))</f>
        <v/>
      </c>
      <c r="AB92" s="15">
        <f>NORM.S.INV(RAND())</f>
        <v/>
      </c>
      <c r="AC92" s="15">
        <f>IF('组合输入'!$C7="","",'组合输入'!$H7*$B92+SQRT(1-'组合输入'!$H7^2)*AB92)</f>
        <v/>
      </c>
      <c r="AD92" s="7">
        <f>IF(AC92="","",NORM.S.DIST(AC92,TRUE))</f>
        <v/>
      </c>
      <c r="AE92" s="13">
        <f>IF(AD92="","",IF(AD92&lt;='组合输入'!$K7,"AAA",IF(AD92&lt;='组合输入'!$L7,"AA",IF(AD92&lt;='组合输入'!$M7,"A",IF(AD92&lt;='组合输入'!$N7,"BBB",IF(AD92&lt;='组合输入'!$O7,"BB",IF(AD92&lt;='组合输入'!$P7,"B",IF(AD92&lt;='组合输入'!$Q7,"CCC","D")))))))</f>
        <v/>
      </c>
      <c r="AF92" s="12">
        <f>IF(AE92="","",INDEX('状态价值'!$D7:$K7,MATCH(AE92,'状态价值'!$D$1:$K$1,0)))</f>
        <v/>
      </c>
      <c r="AG92" s="15">
        <f>NORM.S.INV(RAND())</f>
        <v/>
      </c>
      <c r="AH92" s="15">
        <f>IF('组合输入'!$C8="","",'组合输入'!$H8*$B92+SQRT(1-'组合输入'!$H8^2)*AG92)</f>
        <v/>
      </c>
      <c r="AI92" s="7">
        <f>IF(AH92="","",NORM.S.DIST(AH92,TRUE))</f>
        <v/>
      </c>
      <c r="AJ92" s="13">
        <f>IF(AI92="","",IF(AI92&lt;='组合输入'!$K8,"AAA",IF(AI92&lt;='组合输入'!$L8,"AA",IF(AI92&lt;='组合输入'!$M8,"A",IF(AI92&lt;='组合输入'!$N8,"BBB",IF(AI92&lt;='组合输入'!$O8,"BB",IF(AI92&lt;='组合输入'!$P8,"B",IF(AI92&lt;='组合输入'!$Q8,"CCC","D")))))))</f>
        <v/>
      </c>
      <c r="AK92" s="12">
        <f>IF(AJ92="","",INDEX('状态价值'!$D8:$K8,MATCH(AJ92,'状态价值'!$D$1:$K$1,0)))</f>
        <v/>
      </c>
      <c r="AL92" s="15">
        <f>NORM.S.INV(RAND())</f>
        <v/>
      </c>
      <c r="AM92" s="15">
        <f>IF('组合输入'!$C9="","",'组合输入'!$H9*$B92+SQRT(1-'组合输入'!$H9^2)*AL92)</f>
        <v/>
      </c>
      <c r="AN92" s="7">
        <f>IF(AM92="","",NORM.S.DIST(AM92,TRUE))</f>
        <v/>
      </c>
      <c r="AO92" s="13">
        <f>IF(AN92="","",IF(AN92&lt;='组合输入'!$K9,"AAA",IF(AN92&lt;='组合输入'!$L9,"AA",IF(AN92&lt;='组合输入'!$M9,"A",IF(AN92&lt;='组合输入'!$N9,"BBB",IF(AN92&lt;='组合输入'!$O9,"BB",IF(AN92&lt;='组合输入'!$P9,"B",IF(AN92&lt;='组合输入'!$Q9,"CCC","D")))))))</f>
        <v/>
      </c>
      <c r="AP92" s="12">
        <f>IF(AO92="","",INDEX('状态价值'!$D9:$K9,MATCH(AO92,'状态价值'!$D$1:$K$1,0)))</f>
        <v/>
      </c>
      <c r="AQ92" s="15">
        <f>NORM.S.INV(RAND())</f>
        <v/>
      </c>
      <c r="AR92" s="15">
        <f>IF('组合输入'!$C10="","",'组合输入'!$H10*$B92+SQRT(1-'组合输入'!$H10^2)*AQ92)</f>
        <v/>
      </c>
      <c r="AS92" s="7">
        <f>IF(AR92="","",NORM.S.DIST(AR92,TRUE))</f>
        <v/>
      </c>
      <c r="AT92" s="13">
        <f>IF(AS92="","",IF(AS92&lt;='组合输入'!$K10,"AAA",IF(AS92&lt;='组合输入'!$L10,"AA",IF(AS92&lt;='组合输入'!$M10,"A",IF(AS92&lt;='组合输入'!$N10,"BBB",IF(AS92&lt;='组合输入'!$O10,"BB",IF(AS92&lt;='组合输入'!$P10,"B",IF(AS92&lt;='组合输入'!$Q10,"CCC","D")))))))</f>
        <v/>
      </c>
      <c r="AU92" s="12">
        <f>IF(AT92="","",INDEX('状态价值'!$D10:$K10,MATCH(AT92,'状态价值'!$D$1:$K$1,0)))</f>
        <v/>
      </c>
      <c r="AV92" s="15">
        <f>NORM.S.INV(RAND())</f>
        <v/>
      </c>
      <c r="AW92" s="15">
        <f>IF('组合输入'!$C11="","",'组合输入'!$H11*$B92+SQRT(1-'组合输入'!$H11^2)*AV92)</f>
        <v/>
      </c>
      <c r="AX92" s="7">
        <f>IF(AW92="","",NORM.S.DIST(AW92,TRUE))</f>
        <v/>
      </c>
      <c r="AY92" s="13">
        <f>IF(AX92="","",IF(AX92&lt;='组合输入'!$K11,"AAA",IF(AX92&lt;='组合输入'!$L11,"AA",IF(AX92&lt;='组合输入'!$M11,"A",IF(AX92&lt;='组合输入'!$N11,"BBB",IF(AX92&lt;='组合输入'!$O11,"BB",IF(AX92&lt;='组合输入'!$P11,"B",IF(AX92&lt;='组合输入'!$Q11,"CCC","D")))))))</f>
        <v/>
      </c>
      <c r="AZ92" s="12">
        <f>IF(AY92="","",INDEX('状态价值'!$D11:$K11,MATCH(AY92,'状态价值'!$D$1:$K$1,0)))</f>
        <v/>
      </c>
      <c r="BA92" s="12">
        <f>G92+L92+Q92+V92+AA92+AF92+AK92+AP92+AU92+AZ92</f>
        <v/>
      </c>
      <c r="BB92" s="12">
        <f>SUM('组合输入'!$J$2:$J$11)-BA92</f>
        <v/>
      </c>
    </row>
    <row r="93">
      <c r="A93" s="11" t="n">
        <v>92</v>
      </c>
      <c r="B93" s="14">
        <f>NORM.S.INV(RAND())</f>
        <v/>
      </c>
      <c r="C93" s="14">
        <f>NORM.S.INV(RAND())</f>
        <v/>
      </c>
      <c r="D93" s="15">
        <f>IF('组合输入'!$C2="","",'组合输入'!$H2*$B93+SQRT(1-'组合输入'!$H2^2)*C93)</f>
        <v/>
      </c>
      <c r="E93" s="7">
        <f>IF(D93="","",NORM.S.DIST(D93,TRUE))</f>
        <v/>
      </c>
      <c r="F93" s="13">
        <f>IF(E93="","",IF(E93&lt;='组合输入'!$K2,"AAA",IF(E93&lt;='组合输入'!$L2,"AA",IF(E93&lt;='组合输入'!$M2,"A",IF(E93&lt;='组合输入'!$N2,"BBB",IF(E93&lt;='组合输入'!$O2,"BB",IF(E93&lt;='组合输入'!$P2,"B",IF(E93&lt;='组合输入'!$Q2,"CCC","D")))))))</f>
        <v/>
      </c>
      <c r="G93" s="12">
        <f>IF(F93="","",INDEX('状态价值'!$D2:$K2,MATCH(F93,'状态价值'!$D$1:$K$1,0)))</f>
        <v/>
      </c>
      <c r="H93" s="15">
        <f>NORM.S.INV(RAND())</f>
        <v/>
      </c>
      <c r="I93" s="15">
        <f>IF('组合输入'!$C3="","",'组合输入'!$H3*$B93+SQRT(1-'组合输入'!$H3^2)*H93)</f>
        <v/>
      </c>
      <c r="J93" s="7">
        <f>IF(I93="","",NORM.S.DIST(I93,TRUE))</f>
        <v/>
      </c>
      <c r="K93" s="13">
        <f>IF(J93="","",IF(J93&lt;='组合输入'!$K3,"AAA",IF(J93&lt;='组合输入'!$L3,"AA",IF(J93&lt;='组合输入'!$M3,"A",IF(J93&lt;='组合输入'!$N3,"BBB",IF(J93&lt;='组合输入'!$O3,"BB",IF(J93&lt;='组合输入'!$P3,"B",IF(J93&lt;='组合输入'!$Q3,"CCC","D")))))))</f>
        <v/>
      </c>
      <c r="L93" s="12">
        <f>IF(K93="","",INDEX('状态价值'!$D3:$K3,MATCH(K93,'状态价值'!$D$1:$K$1,0)))</f>
        <v/>
      </c>
      <c r="M93" s="15">
        <f>NORM.S.INV(RAND())</f>
        <v/>
      </c>
      <c r="N93" s="15">
        <f>IF('组合输入'!$C4="","",'组合输入'!$H4*$B93+SQRT(1-'组合输入'!$H4^2)*M93)</f>
        <v/>
      </c>
      <c r="O93" s="7">
        <f>IF(N93="","",NORM.S.DIST(N93,TRUE))</f>
        <v/>
      </c>
      <c r="P93" s="13">
        <f>IF(O93="","",IF(O93&lt;='组合输入'!$K4,"AAA",IF(O93&lt;='组合输入'!$L4,"AA",IF(O93&lt;='组合输入'!$M4,"A",IF(O93&lt;='组合输入'!$N4,"BBB",IF(O93&lt;='组合输入'!$O4,"BB",IF(O93&lt;='组合输入'!$P4,"B",IF(O93&lt;='组合输入'!$Q4,"CCC","D")))))))</f>
        <v/>
      </c>
      <c r="Q93" s="12">
        <f>IF(P93="","",INDEX('状态价值'!$D4:$K4,MATCH(P93,'状态价值'!$D$1:$K$1,0)))</f>
        <v/>
      </c>
      <c r="R93" s="15">
        <f>NORM.S.INV(RAND())</f>
        <v/>
      </c>
      <c r="S93" s="15">
        <f>IF('组合输入'!$C5="","",'组合输入'!$H5*$B93+SQRT(1-'组合输入'!$H5^2)*R93)</f>
        <v/>
      </c>
      <c r="T93" s="7">
        <f>IF(S93="","",NORM.S.DIST(S93,TRUE))</f>
        <v/>
      </c>
      <c r="U93" s="13">
        <f>IF(T93="","",IF(T93&lt;='组合输入'!$K5,"AAA",IF(T93&lt;='组合输入'!$L5,"AA",IF(T93&lt;='组合输入'!$M5,"A",IF(T93&lt;='组合输入'!$N5,"BBB",IF(T93&lt;='组合输入'!$O5,"BB",IF(T93&lt;='组合输入'!$P5,"B",IF(T93&lt;='组合输入'!$Q5,"CCC","D")))))))</f>
        <v/>
      </c>
      <c r="V93" s="12">
        <f>IF(U93="","",INDEX('状态价值'!$D5:$K5,MATCH(U93,'状态价值'!$D$1:$K$1,0)))</f>
        <v/>
      </c>
      <c r="W93" s="15">
        <f>NORM.S.INV(RAND())</f>
        <v/>
      </c>
      <c r="X93" s="15">
        <f>IF('组合输入'!$C6="","",'组合输入'!$H6*$B93+SQRT(1-'组合输入'!$H6^2)*W93)</f>
        <v/>
      </c>
      <c r="Y93" s="7">
        <f>IF(X93="","",NORM.S.DIST(X93,TRUE))</f>
        <v/>
      </c>
      <c r="Z93" s="13">
        <f>IF(Y93="","",IF(Y93&lt;='组合输入'!$K6,"AAA",IF(Y93&lt;='组合输入'!$L6,"AA",IF(Y93&lt;='组合输入'!$M6,"A",IF(Y93&lt;='组合输入'!$N6,"BBB",IF(Y93&lt;='组合输入'!$O6,"BB",IF(Y93&lt;='组合输入'!$P6,"B",IF(Y93&lt;='组合输入'!$Q6,"CCC","D")))))))</f>
        <v/>
      </c>
      <c r="AA93" s="12">
        <f>IF(Z93="","",INDEX('状态价值'!$D6:$K6,MATCH(Z93,'状态价值'!$D$1:$K$1,0)))</f>
        <v/>
      </c>
      <c r="AB93" s="15">
        <f>NORM.S.INV(RAND())</f>
        <v/>
      </c>
      <c r="AC93" s="15">
        <f>IF('组合输入'!$C7="","",'组合输入'!$H7*$B93+SQRT(1-'组合输入'!$H7^2)*AB93)</f>
        <v/>
      </c>
      <c r="AD93" s="7">
        <f>IF(AC93="","",NORM.S.DIST(AC93,TRUE))</f>
        <v/>
      </c>
      <c r="AE93" s="13">
        <f>IF(AD93="","",IF(AD93&lt;='组合输入'!$K7,"AAA",IF(AD93&lt;='组合输入'!$L7,"AA",IF(AD93&lt;='组合输入'!$M7,"A",IF(AD93&lt;='组合输入'!$N7,"BBB",IF(AD93&lt;='组合输入'!$O7,"BB",IF(AD93&lt;='组合输入'!$P7,"B",IF(AD93&lt;='组合输入'!$Q7,"CCC","D")))))))</f>
        <v/>
      </c>
      <c r="AF93" s="12">
        <f>IF(AE93="","",INDEX('状态价值'!$D7:$K7,MATCH(AE93,'状态价值'!$D$1:$K$1,0)))</f>
        <v/>
      </c>
      <c r="AG93" s="15">
        <f>NORM.S.INV(RAND())</f>
        <v/>
      </c>
      <c r="AH93" s="15">
        <f>IF('组合输入'!$C8="","",'组合输入'!$H8*$B93+SQRT(1-'组合输入'!$H8^2)*AG93)</f>
        <v/>
      </c>
      <c r="AI93" s="7">
        <f>IF(AH93="","",NORM.S.DIST(AH93,TRUE))</f>
        <v/>
      </c>
      <c r="AJ93" s="13">
        <f>IF(AI93="","",IF(AI93&lt;='组合输入'!$K8,"AAA",IF(AI93&lt;='组合输入'!$L8,"AA",IF(AI93&lt;='组合输入'!$M8,"A",IF(AI93&lt;='组合输入'!$N8,"BBB",IF(AI93&lt;='组合输入'!$O8,"BB",IF(AI93&lt;='组合输入'!$P8,"B",IF(AI93&lt;='组合输入'!$Q8,"CCC","D")))))))</f>
        <v/>
      </c>
      <c r="AK93" s="12">
        <f>IF(AJ93="","",INDEX('状态价值'!$D8:$K8,MATCH(AJ93,'状态价值'!$D$1:$K$1,0)))</f>
        <v/>
      </c>
      <c r="AL93" s="15">
        <f>NORM.S.INV(RAND())</f>
        <v/>
      </c>
      <c r="AM93" s="15">
        <f>IF('组合输入'!$C9="","",'组合输入'!$H9*$B93+SQRT(1-'组合输入'!$H9^2)*AL93)</f>
        <v/>
      </c>
      <c r="AN93" s="7">
        <f>IF(AM93="","",NORM.S.DIST(AM93,TRUE))</f>
        <v/>
      </c>
      <c r="AO93" s="13">
        <f>IF(AN93="","",IF(AN93&lt;='组合输入'!$K9,"AAA",IF(AN93&lt;='组合输入'!$L9,"AA",IF(AN93&lt;='组合输入'!$M9,"A",IF(AN93&lt;='组合输入'!$N9,"BBB",IF(AN93&lt;='组合输入'!$O9,"BB",IF(AN93&lt;='组合输入'!$P9,"B",IF(AN93&lt;='组合输入'!$Q9,"CCC","D")))))))</f>
        <v/>
      </c>
      <c r="AP93" s="12">
        <f>IF(AO93="","",INDEX('状态价值'!$D9:$K9,MATCH(AO93,'状态价值'!$D$1:$K$1,0)))</f>
        <v/>
      </c>
      <c r="AQ93" s="15">
        <f>NORM.S.INV(RAND())</f>
        <v/>
      </c>
      <c r="AR93" s="15">
        <f>IF('组合输入'!$C10="","",'组合输入'!$H10*$B93+SQRT(1-'组合输入'!$H10^2)*AQ93)</f>
        <v/>
      </c>
      <c r="AS93" s="7">
        <f>IF(AR93="","",NORM.S.DIST(AR93,TRUE))</f>
        <v/>
      </c>
      <c r="AT93" s="13">
        <f>IF(AS93="","",IF(AS93&lt;='组合输入'!$K10,"AAA",IF(AS93&lt;='组合输入'!$L10,"AA",IF(AS93&lt;='组合输入'!$M10,"A",IF(AS93&lt;='组合输入'!$N10,"BBB",IF(AS93&lt;='组合输入'!$O10,"BB",IF(AS93&lt;='组合输入'!$P10,"B",IF(AS93&lt;='组合输入'!$Q10,"CCC","D")))))))</f>
        <v/>
      </c>
      <c r="AU93" s="12">
        <f>IF(AT93="","",INDEX('状态价值'!$D10:$K10,MATCH(AT93,'状态价值'!$D$1:$K$1,0)))</f>
        <v/>
      </c>
      <c r="AV93" s="15">
        <f>NORM.S.INV(RAND())</f>
        <v/>
      </c>
      <c r="AW93" s="15">
        <f>IF('组合输入'!$C11="","",'组合输入'!$H11*$B93+SQRT(1-'组合输入'!$H11^2)*AV93)</f>
        <v/>
      </c>
      <c r="AX93" s="7">
        <f>IF(AW93="","",NORM.S.DIST(AW93,TRUE))</f>
        <v/>
      </c>
      <c r="AY93" s="13">
        <f>IF(AX93="","",IF(AX93&lt;='组合输入'!$K11,"AAA",IF(AX93&lt;='组合输入'!$L11,"AA",IF(AX93&lt;='组合输入'!$M11,"A",IF(AX93&lt;='组合输入'!$N11,"BBB",IF(AX93&lt;='组合输入'!$O11,"BB",IF(AX93&lt;='组合输入'!$P11,"B",IF(AX93&lt;='组合输入'!$Q11,"CCC","D")))))))</f>
        <v/>
      </c>
      <c r="AZ93" s="12">
        <f>IF(AY93="","",INDEX('状态价值'!$D11:$K11,MATCH(AY93,'状态价值'!$D$1:$K$1,0)))</f>
        <v/>
      </c>
      <c r="BA93" s="12">
        <f>G93+L93+Q93+V93+AA93+AF93+AK93+AP93+AU93+AZ93</f>
        <v/>
      </c>
      <c r="BB93" s="12">
        <f>SUM('组合输入'!$J$2:$J$11)-BA93</f>
        <v/>
      </c>
    </row>
    <row r="94">
      <c r="A94" s="11" t="n">
        <v>93</v>
      </c>
      <c r="B94" s="14">
        <f>NORM.S.INV(RAND())</f>
        <v/>
      </c>
      <c r="C94" s="14">
        <f>NORM.S.INV(RAND())</f>
        <v/>
      </c>
      <c r="D94" s="15">
        <f>IF('组合输入'!$C2="","",'组合输入'!$H2*$B94+SQRT(1-'组合输入'!$H2^2)*C94)</f>
        <v/>
      </c>
      <c r="E94" s="7">
        <f>IF(D94="","",NORM.S.DIST(D94,TRUE))</f>
        <v/>
      </c>
      <c r="F94" s="13">
        <f>IF(E94="","",IF(E94&lt;='组合输入'!$K2,"AAA",IF(E94&lt;='组合输入'!$L2,"AA",IF(E94&lt;='组合输入'!$M2,"A",IF(E94&lt;='组合输入'!$N2,"BBB",IF(E94&lt;='组合输入'!$O2,"BB",IF(E94&lt;='组合输入'!$P2,"B",IF(E94&lt;='组合输入'!$Q2,"CCC","D")))))))</f>
        <v/>
      </c>
      <c r="G94" s="12">
        <f>IF(F94="","",INDEX('状态价值'!$D2:$K2,MATCH(F94,'状态价值'!$D$1:$K$1,0)))</f>
        <v/>
      </c>
      <c r="H94" s="15">
        <f>NORM.S.INV(RAND())</f>
        <v/>
      </c>
      <c r="I94" s="15">
        <f>IF('组合输入'!$C3="","",'组合输入'!$H3*$B94+SQRT(1-'组合输入'!$H3^2)*H94)</f>
        <v/>
      </c>
      <c r="J94" s="7">
        <f>IF(I94="","",NORM.S.DIST(I94,TRUE))</f>
        <v/>
      </c>
      <c r="K94" s="13">
        <f>IF(J94="","",IF(J94&lt;='组合输入'!$K3,"AAA",IF(J94&lt;='组合输入'!$L3,"AA",IF(J94&lt;='组合输入'!$M3,"A",IF(J94&lt;='组合输入'!$N3,"BBB",IF(J94&lt;='组合输入'!$O3,"BB",IF(J94&lt;='组合输入'!$P3,"B",IF(J94&lt;='组合输入'!$Q3,"CCC","D")))))))</f>
        <v/>
      </c>
      <c r="L94" s="12">
        <f>IF(K94="","",INDEX('状态价值'!$D3:$K3,MATCH(K94,'状态价值'!$D$1:$K$1,0)))</f>
        <v/>
      </c>
      <c r="M94" s="15">
        <f>NORM.S.INV(RAND())</f>
        <v/>
      </c>
      <c r="N94" s="15">
        <f>IF('组合输入'!$C4="","",'组合输入'!$H4*$B94+SQRT(1-'组合输入'!$H4^2)*M94)</f>
        <v/>
      </c>
      <c r="O94" s="7">
        <f>IF(N94="","",NORM.S.DIST(N94,TRUE))</f>
        <v/>
      </c>
      <c r="P94" s="13">
        <f>IF(O94="","",IF(O94&lt;='组合输入'!$K4,"AAA",IF(O94&lt;='组合输入'!$L4,"AA",IF(O94&lt;='组合输入'!$M4,"A",IF(O94&lt;='组合输入'!$N4,"BBB",IF(O94&lt;='组合输入'!$O4,"BB",IF(O94&lt;='组合输入'!$P4,"B",IF(O94&lt;='组合输入'!$Q4,"CCC","D")))))))</f>
        <v/>
      </c>
      <c r="Q94" s="12">
        <f>IF(P94="","",INDEX('状态价值'!$D4:$K4,MATCH(P94,'状态价值'!$D$1:$K$1,0)))</f>
        <v/>
      </c>
      <c r="R94" s="15">
        <f>NORM.S.INV(RAND())</f>
        <v/>
      </c>
      <c r="S94" s="15">
        <f>IF('组合输入'!$C5="","",'组合输入'!$H5*$B94+SQRT(1-'组合输入'!$H5^2)*R94)</f>
        <v/>
      </c>
      <c r="T94" s="7">
        <f>IF(S94="","",NORM.S.DIST(S94,TRUE))</f>
        <v/>
      </c>
      <c r="U94" s="13">
        <f>IF(T94="","",IF(T94&lt;='组合输入'!$K5,"AAA",IF(T94&lt;='组合输入'!$L5,"AA",IF(T94&lt;='组合输入'!$M5,"A",IF(T94&lt;='组合输入'!$N5,"BBB",IF(T94&lt;='组合输入'!$O5,"BB",IF(T94&lt;='组合输入'!$P5,"B",IF(T94&lt;='组合输入'!$Q5,"CCC","D")))))))</f>
        <v/>
      </c>
      <c r="V94" s="12">
        <f>IF(U94="","",INDEX('状态价值'!$D5:$K5,MATCH(U94,'状态价值'!$D$1:$K$1,0)))</f>
        <v/>
      </c>
      <c r="W94" s="15">
        <f>NORM.S.INV(RAND())</f>
        <v/>
      </c>
      <c r="X94" s="15">
        <f>IF('组合输入'!$C6="","",'组合输入'!$H6*$B94+SQRT(1-'组合输入'!$H6^2)*W94)</f>
        <v/>
      </c>
      <c r="Y94" s="7">
        <f>IF(X94="","",NORM.S.DIST(X94,TRUE))</f>
        <v/>
      </c>
      <c r="Z94" s="13">
        <f>IF(Y94="","",IF(Y94&lt;='组合输入'!$K6,"AAA",IF(Y94&lt;='组合输入'!$L6,"AA",IF(Y94&lt;='组合输入'!$M6,"A",IF(Y94&lt;='组合输入'!$N6,"BBB",IF(Y94&lt;='组合输入'!$O6,"BB",IF(Y94&lt;='组合输入'!$P6,"B",IF(Y94&lt;='组合输入'!$Q6,"CCC","D")))))))</f>
        <v/>
      </c>
      <c r="AA94" s="12">
        <f>IF(Z94="","",INDEX('状态价值'!$D6:$K6,MATCH(Z94,'状态价值'!$D$1:$K$1,0)))</f>
        <v/>
      </c>
      <c r="AB94" s="15">
        <f>NORM.S.INV(RAND())</f>
        <v/>
      </c>
      <c r="AC94" s="15">
        <f>IF('组合输入'!$C7="","",'组合输入'!$H7*$B94+SQRT(1-'组合输入'!$H7^2)*AB94)</f>
        <v/>
      </c>
      <c r="AD94" s="7">
        <f>IF(AC94="","",NORM.S.DIST(AC94,TRUE))</f>
        <v/>
      </c>
      <c r="AE94" s="13">
        <f>IF(AD94="","",IF(AD94&lt;='组合输入'!$K7,"AAA",IF(AD94&lt;='组合输入'!$L7,"AA",IF(AD94&lt;='组合输入'!$M7,"A",IF(AD94&lt;='组合输入'!$N7,"BBB",IF(AD94&lt;='组合输入'!$O7,"BB",IF(AD94&lt;='组合输入'!$P7,"B",IF(AD94&lt;='组合输入'!$Q7,"CCC","D")))))))</f>
        <v/>
      </c>
      <c r="AF94" s="12">
        <f>IF(AE94="","",INDEX('状态价值'!$D7:$K7,MATCH(AE94,'状态价值'!$D$1:$K$1,0)))</f>
        <v/>
      </c>
      <c r="AG94" s="15">
        <f>NORM.S.INV(RAND())</f>
        <v/>
      </c>
      <c r="AH94" s="15">
        <f>IF('组合输入'!$C8="","",'组合输入'!$H8*$B94+SQRT(1-'组合输入'!$H8^2)*AG94)</f>
        <v/>
      </c>
      <c r="AI94" s="7">
        <f>IF(AH94="","",NORM.S.DIST(AH94,TRUE))</f>
        <v/>
      </c>
      <c r="AJ94" s="13">
        <f>IF(AI94="","",IF(AI94&lt;='组合输入'!$K8,"AAA",IF(AI94&lt;='组合输入'!$L8,"AA",IF(AI94&lt;='组合输入'!$M8,"A",IF(AI94&lt;='组合输入'!$N8,"BBB",IF(AI94&lt;='组合输入'!$O8,"BB",IF(AI94&lt;='组合输入'!$P8,"B",IF(AI94&lt;='组合输入'!$Q8,"CCC","D")))))))</f>
        <v/>
      </c>
      <c r="AK94" s="12">
        <f>IF(AJ94="","",INDEX('状态价值'!$D8:$K8,MATCH(AJ94,'状态价值'!$D$1:$K$1,0)))</f>
        <v/>
      </c>
      <c r="AL94" s="15">
        <f>NORM.S.INV(RAND())</f>
        <v/>
      </c>
      <c r="AM94" s="15">
        <f>IF('组合输入'!$C9="","",'组合输入'!$H9*$B94+SQRT(1-'组合输入'!$H9^2)*AL94)</f>
        <v/>
      </c>
      <c r="AN94" s="7">
        <f>IF(AM94="","",NORM.S.DIST(AM94,TRUE))</f>
        <v/>
      </c>
      <c r="AO94" s="13">
        <f>IF(AN94="","",IF(AN94&lt;='组合输入'!$K9,"AAA",IF(AN94&lt;='组合输入'!$L9,"AA",IF(AN94&lt;='组合输入'!$M9,"A",IF(AN94&lt;='组合输入'!$N9,"BBB",IF(AN94&lt;='组合输入'!$O9,"BB",IF(AN94&lt;='组合输入'!$P9,"B",IF(AN94&lt;='组合输入'!$Q9,"CCC","D")))))))</f>
        <v/>
      </c>
      <c r="AP94" s="12">
        <f>IF(AO94="","",INDEX('状态价值'!$D9:$K9,MATCH(AO94,'状态价值'!$D$1:$K$1,0)))</f>
        <v/>
      </c>
      <c r="AQ94" s="15">
        <f>NORM.S.INV(RAND())</f>
        <v/>
      </c>
      <c r="AR94" s="15">
        <f>IF('组合输入'!$C10="","",'组合输入'!$H10*$B94+SQRT(1-'组合输入'!$H10^2)*AQ94)</f>
        <v/>
      </c>
      <c r="AS94" s="7">
        <f>IF(AR94="","",NORM.S.DIST(AR94,TRUE))</f>
        <v/>
      </c>
      <c r="AT94" s="13">
        <f>IF(AS94="","",IF(AS94&lt;='组合输入'!$K10,"AAA",IF(AS94&lt;='组合输入'!$L10,"AA",IF(AS94&lt;='组合输入'!$M10,"A",IF(AS94&lt;='组合输入'!$N10,"BBB",IF(AS94&lt;='组合输入'!$O10,"BB",IF(AS94&lt;='组合输入'!$P10,"B",IF(AS94&lt;='组合输入'!$Q10,"CCC","D")))))))</f>
        <v/>
      </c>
      <c r="AU94" s="12">
        <f>IF(AT94="","",INDEX('状态价值'!$D10:$K10,MATCH(AT94,'状态价值'!$D$1:$K$1,0)))</f>
        <v/>
      </c>
      <c r="AV94" s="15">
        <f>NORM.S.INV(RAND())</f>
        <v/>
      </c>
      <c r="AW94" s="15">
        <f>IF('组合输入'!$C11="","",'组合输入'!$H11*$B94+SQRT(1-'组合输入'!$H11^2)*AV94)</f>
        <v/>
      </c>
      <c r="AX94" s="7">
        <f>IF(AW94="","",NORM.S.DIST(AW94,TRUE))</f>
        <v/>
      </c>
      <c r="AY94" s="13">
        <f>IF(AX94="","",IF(AX94&lt;='组合输入'!$K11,"AAA",IF(AX94&lt;='组合输入'!$L11,"AA",IF(AX94&lt;='组合输入'!$M11,"A",IF(AX94&lt;='组合输入'!$N11,"BBB",IF(AX94&lt;='组合输入'!$O11,"BB",IF(AX94&lt;='组合输入'!$P11,"B",IF(AX94&lt;='组合输入'!$Q11,"CCC","D")))))))</f>
        <v/>
      </c>
      <c r="AZ94" s="12">
        <f>IF(AY94="","",INDEX('状态价值'!$D11:$K11,MATCH(AY94,'状态价值'!$D$1:$K$1,0)))</f>
        <v/>
      </c>
      <c r="BA94" s="12">
        <f>G94+L94+Q94+V94+AA94+AF94+AK94+AP94+AU94+AZ94</f>
        <v/>
      </c>
      <c r="BB94" s="12">
        <f>SUM('组合输入'!$J$2:$J$11)-BA94</f>
        <v/>
      </c>
    </row>
    <row r="95">
      <c r="A95" s="11" t="n">
        <v>94</v>
      </c>
      <c r="B95" s="14">
        <f>NORM.S.INV(RAND())</f>
        <v/>
      </c>
      <c r="C95" s="14">
        <f>NORM.S.INV(RAND())</f>
        <v/>
      </c>
      <c r="D95" s="15">
        <f>IF('组合输入'!$C2="","",'组合输入'!$H2*$B95+SQRT(1-'组合输入'!$H2^2)*C95)</f>
        <v/>
      </c>
      <c r="E95" s="7">
        <f>IF(D95="","",NORM.S.DIST(D95,TRUE))</f>
        <v/>
      </c>
      <c r="F95" s="13">
        <f>IF(E95="","",IF(E95&lt;='组合输入'!$K2,"AAA",IF(E95&lt;='组合输入'!$L2,"AA",IF(E95&lt;='组合输入'!$M2,"A",IF(E95&lt;='组合输入'!$N2,"BBB",IF(E95&lt;='组合输入'!$O2,"BB",IF(E95&lt;='组合输入'!$P2,"B",IF(E95&lt;='组合输入'!$Q2,"CCC","D")))))))</f>
        <v/>
      </c>
      <c r="G95" s="12">
        <f>IF(F95="","",INDEX('状态价值'!$D2:$K2,MATCH(F95,'状态价值'!$D$1:$K$1,0)))</f>
        <v/>
      </c>
      <c r="H95" s="15">
        <f>NORM.S.INV(RAND())</f>
        <v/>
      </c>
      <c r="I95" s="15">
        <f>IF('组合输入'!$C3="","",'组合输入'!$H3*$B95+SQRT(1-'组合输入'!$H3^2)*H95)</f>
        <v/>
      </c>
      <c r="J95" s="7">
        <f>IF(I95="","",NORM.S.DIST(I95,TRUE))</f>
        <v/>
      </c>
      <c r="K95" s="13">
        <f>IF(J95="","",IF(J95&lt;='组合输入'!$K3,"AAA",IF(J95&lt;='组合输入'!$L3,"AA",IF(J95&lt;='组合输入'!$M3,"A",IF(J95&lt;='组合输入'!$N3,"BBB",IF(J95&lt;='组合输入'!$O3,"BB",IF(J95&lt;='组合输入'!$P3,"B",IF(J95&lt;='组合输入'!$Q3,"CCC","D")))))))</f>
        <v/>
      </c>
      <c r="L95" s="12">
        <f>IF(K95="","",INDEX('状态价值'!$D3:$K3,MATCH(K95,'状态价值'!$D$1:$K$1,0)))</f>
        <v/>
      </c>
      <c r="M95" s="15">
        <f>NORM.S.INV(RAND())</f>
        <v/>
      </c>
      <c r="N95" s="15">
        <f>IF('组合输入'!$C4="","",'组合输入'!$H4*$B95+SQRT(1-'组合输入'!$H4^2)*M95)</f>
        <v/>
      </c>
      <c r="O95" s="7">
        <f>IF(N95="","",NORM.S.DIST(N95,TRUE))</f>
        <v/>
      </c>
      <c r="P95" s="13">
        <f>IF(O95="","",IF(O95&lt;='组合输入'!$K4,"AAA",IF(O95&lt;='组合输入'!$L4,"AA",IF(O95&lt;='组合输入'!$M4,"A",IF(O95&lt;='组合输入'!$N4,"BBB",IF(O95&lt;='组合输入'!$O4,"BB",IF(O95&lt;='组合输入'!$P4,"B",IF(O95&lt;='组合输入'!$Q4,"CCC","D")))))))</f>
        <v/>
      </c>
      <c r="Q95" s="12">
        <f>IF(P95="","",INDEX('状态价值'!$D4:$K4,MATCH(P95,'状态价值'!$D$1:$K$1,0)))</f>
        <v/>
      </c>
      <c r="R95" s="15">
        <f>NORM.S.INV(RAND())</f>
        <v/>
      </c>
      <c r="S95" s="15">
        <f>IF('组合输入'!$C5="","",'组合输入'!$H5*$B95+SQRT(1-'组合输入'!$H5^2)*R95)</f>
        <v/>
      </c>
      <c r="T95" s="7">
        <f>IF(S95="","",NORM.S.DIST(S95,TRUE))</f>
        <v/>
      </c>
      <c r="U95" s="13">
        <f>IF(T95="","",IF(T95&lt;='组合输入'!$K5,"AAA",IF(T95&lt;='组合输入'!$L5,"AA",IF(T95&lt;='组合输入'!$M5,"A",IF(T95&lt;='组合输入'!$N5,"BBB",IF(T95&lt;='组合输入'!$O5,"BB",IF(T95&lt;='组合输入'!$P5,"B",IF(T95&lt;='组合输入'!$Q5,"CCC","D")))))))</f>
        <v/>
      </c>
      <c r="V95" s="12">
        <f>IF(U95="","",INDEX('状态价值'!$D5:$K5,MATCH(U95,'状态价值'!$D$1:$K$1,0)))</f>
        <v/>
      </c>
      <c r="W95" s="15">
        <f>NORM.S.INV(RAND())</f>
        <v/>
      </c>
      <c r="X95" s="15">
        <f>IF('组合输入'!$C6="","",'组合输入'!$H6*$B95+SQRT(1-'组合输入'!$H6^2)*W95)</f>
        <v/>
      </c>
      <c r="Y95" s="7">
        <f>IF(X95="","",NORM.S.DIST(X95,TRUE))</f>
        <v/>
      </c>
      <c r="Z95" s="13">
        <f>IF(Y95="","",IF(Y95&lt;='组合输入'!$K6,"AAA",IF(Y95&lt;='组合输入'!$L6,"AA",IF(Y95&lt;='组合输入'!$M6,"A",IF(Y95&lt;='组合输入'!$N6,"BBB",IF(Y95&lt;='组合输入'!$O6,"BB",IF(Y95&lt;='组合输入'!$P6,"B",IF(Y95&lt;='组合输入'!$Q6,"CCC","D")))))))</f>
        <v/>
      </c>
      <c r="AA95" s="12">
        <f>IF(Z95="","",INDEX('状态价值'!$D6:$K6,MATCH(Z95,'状态价值'!$D$1:$K$1,0)))</f>
        <v/>
      </c>
      <c r="AB95" s="15">
        <f>NORM.S.INV(RAND())</f>
        <v/>
      </c>
      <c r="AC95" s="15">
        <f>IF('组合输入'!$C7="","",'组合输入'!$H7*$B95+SQRT(1-'组合输入'!$H7^2)*AB95)</f>
        <v/>
      </c>
      <c r="AD95" s="7">
        <f>IF(AC95="","",NORM.S.DIST(AC95,TRUE))</f>
        <v/>
      </c>
      <c r="AE95" s="13">
        <f>IF(AD95="","",IF(AD95&lt;='组合输入'!$K7,"AAA",IF(AD95&lt;='组合输入'!$L7,"AA",IF(AD95&lt;='组合输入'!$M7,"A",IF(AD95&lt;='组合输入'!$N7,"BBB",IF(AD95&lt;='组合输入'!$O7,"BB",IF(AD95&lt;='组合输入'!$P7,"B",IF(AD95&lt;='组合输入'!$Q7,"CCC","D")))))))</f>
        <v/>
      </c>
      <c r="AF95" s="12">
        <f>IF(AE95="","",INDEX('状态价值'!$D7:$K7,MATCH(AE95,'状态价值'!$D$1:$K$1,0)))</f>
        <v/>
      </c>
      <c r="AG95" s="15">
        <f>NORM.S.INV(RAND())</f>
        <v/>
      </c>
      <c r="AH95" s="15">
        <f>IF('组合输入'!$C8="","",'组合输入'!$H8*$B95+SQRT(1-'组合输入'!$H8^2)*AG95)</f>
        <v/>
      </c>
      <c r="AI95" s="7">
        <f>IF(AH95="","",NORM.S.DIST(AH95,TRUE))</f>
        <v/>
      </c>
      <c r="AJ95" s="13">
        <f>IF(AI95="","",IF(AI95&lt;='组合输入'!$K8,"AAA",IF(AI95&lt;='组合输入'!$L8,"AA",IF(AI95&lt;='组合输入'!$M8,"A",IF(AI95&lt;='组合输入'!$N8,"BBB",IF(AI95&lt;='组合输入'!$O8,"BB",IF(AI95&lt;='组合输入'!$P8,"B",IF(AI95&lt;='组合输入'!$Q8,"CCC","D")))))))</f>
        <v/>
      </c>
      <c r="AK95" s="12">
        <f>IF(AJ95="","",INDEX('状态价值'!$D8:$K8,MATCH(AJ95,'状态价值'!$D$1:$K$1,0)))</f>
        <v/>
      </c>
      <c r="AL95" s="15">
        <f>NORM.S.INV(RAND())</f>
        <v/>
      </c>
      <c r="AM95" s="15">
        <f>IF('组合输入'!$C9="","",'组合输入'!$H9*$B95+SQRT(1-'组合输入'!$H9^2)*AL95)</f>
        <v/>
      </c>
      <c r="AN95" s="7">
        <f>IF(AM95="","",NORM.S.DIST(AM95,TRUE))</f>
        <v/>
      </c>
      <c r="AO95" s="13">
        <f>IF(AN95="","",IF(AN95&lt;='组合输入'!$K9,"AAA",IF(AN95&lt;='组合输入'!$L9,"AA",IF(AN95&lt;='组合输入'!$M9,"A",IF(AN95&lt;='组合输入'!$N9,"BBB",IF(AN95&lt;='组合输入'!$O9,"BB",IF(AN95&lt;='组合输入'!$P9,"B",IF(AN95&lt;='组合输入'!$Q9,"CCC","D")))))))</f>
        <v/>
      </c>
      <c r="AP95" s="12">
        <f>IF(AO95="","",INDEX('状态价值'!$D9:$K9,MATCH(AO95,'状态价值'!$D$1:$K$1,0)))</f>
        <v/>
      </c>
      <c r="AQ95" s="15">
        <f>NORM.S.INV(RAND())</f>
        <v/>
      </c>
      <c r="AR95" s="15">
        <f>IF('组合输入'!$C10="","",'组合输入'!$H10*$B95+SQRT(1-'组合输入'!$H10^2)*AQ95)</f>
        <v/>
      </c>
      <c r="AS95" s="7">
        <f>IF(AR95="","",NORM.S.DIST(AR95,TRUE))</f>
        <v/>
      </c>
      <c r="AT95" s="13">
        <f>IF(AS95="","",IF(AS95&lt;='组合输入'!$K10,"AAA",IF(AS95&lt;='组合输入'!$L10,"AA",IF(AS95&lt;='组合输入'!$M10,"A",IF(AS95&lt;='组合输入'!$N10,"BBB",IF(AS95&lt;='组合输入'!$O10,"BB",IF(AS95&lt;='组合输入'!$P10,"B",IF(AS95&lt;='组合输入'!$Q10,"CCC","D")))))))</f>
        <v/>
      </c>
      <c r="AU95" s="12">
        <f>IF(AT95="","",INDEX('状态价值'!$D10:$K10,MATCH(AT95,'状态价值'!$D$1:$K$1,0)))</f>
        <v/>
      </c>
      <c r="AV95" s="15">
        <f>NORM.S.INV(RAND())</f>
        <v/>
      </c>
      <c r="AW95" s="15">
        <f>IF('组合输入'!$C11="","",'组合输入'!$H11*$B95+SQRT(1-'组合输入'!$H11^2)*AV95)</f>
        <v/>
      </c>
      <c r="AX95" s="7">
        <f>IF(AW95="","",NORM.S.DIST(AW95,TRUE))</f>
        <v/>
      </c>
      <c r="AY95" s="13">
        <f>IF(AX95="","",IF(AX95&lt;='组合输入'!$K11,"AAA",IF(AX95&lt;='组合输入'!$L11,"AA",IF(AX95&lt;='组合输入'!$M11,"A",IF(AX95&lt;='组合输入'!$N11,"BBB",IF(AX95&lt;='组合输入'!$O11,"BB",IF(AX95&lt;='组合输入'!$P11,"B",IF(AX95&lt;='组合输入'!$Q11,"CCC","D")))))))</f>
        <v/>
      </c>
      <c r="AZ95" s="12">
        <f>IF(AY95="","",INDEX('状态价值'!$D11:$K11,MATCH(AY95,'状态价值'!$D$1:$K$1,0)))</f>
        <v/>
      </c>
      <c r="BA95" s="12">
        <f>G95+L95+Q95+V95+AA95+AF95+AK95+AP95+AU95+AZ95</f>
        <v/>
      </c>
      <c r="BB95" s="12">
        <f>SUM('组合输入'!$J$2:$J$11)-BA95</f>
        <v/>
      </c>
    </row>
    <row r="96">
      <c r="A96" s="11" t="n">
        <v>95</v>
      </c>
      <c r="B96" s="14">
        <f>NORM.S.INV(RAND())</f>
        <v/>
      </c>
      <c r="C96" s="14">
        <f>NORM.S.INV(RAND())</f>
        <v/>
      </c>
      <c r="D96" s="15">
        <f>IF('组合输入'!$C2="","",'组合输入'!$H2*$B96+SQRT(1-'组合输入'!$H2^2)*C96)</f>
        <v/>
      </c>
      <c r="E96" s="7">
        <f>IF(D96="","",NORM.S.DIST(D96,TRUE))</f>
        <v/>
      </c>
      <c r="F96" s="13">
        <f>IF(E96="","",IF(E96&lt;='组合输入'!$K2,"AAA",IF(E96&lt;='组合输入'!$L2,"AA",IF(E96&lt;='组合输入'!$M2,"A",IF(E96&lt;='组合输入'!$N2,"BBB",IF(E96&lt;='组合输入'!$O2,"BB",IF(E96&lt;='组合输入'!$P2,"B",IF(E96&lt;='组合输入'!$Q2,"CCC","D")))))))</f>
        <v/>
      </c>
      <c r="G96" s="12">
        <f>IF(F96="","",INDEX('状态价值'!$D2:$K2,MATCH(F96,'状态价值'!$D$1:$K$1,0)))</f>
        <v/>
      </c>
      <c r="H96" s="15">
        <f>NORM.S.INV(RAND())</f>
        <v/>
      </c>
      <c r="I96" s="15">
        <f>IF('组合输入'!$C3="","",'组合输入'!$H3*$B96+SQRT(1-'组合输入'!$H3^2)*H96)</f>
        <v/>
      </c>
      <c r="J96" s="7">
        <f>IF(I96="","",NORM.S.DIST(I96,TRUE))</f>
        <v/>
      </c>
      <c r="K96" s="13">
        <f>IF(J96="","",IF(J96&lt;='组合输入'!$K3,"AAA",IF(J96&lt;='组合输入'!$L3,"AA",IF(J96&lt;='组合输入'!$M3,"A",IF(J96&lt;='组合输入'!$N3,"BBB",IF(J96&lt;='组合输入'!$O3,"BB",IF(J96&lt;='组合输入'!$P3,"B",IF(J96&lt;='组合输入'!$Q3,"CCC","D")))))))</f>
        <v/>
      </c>
      <c r="L96" s="12">
        <f>IF(K96="","",INDEX('状态价值'!$D3:$K3,MATCH(K96,'状态价值'!$D$1:$K$1,0)))</f>
        <v/>
      </c>
      <c r="M96" s="15">
        <f>NORM.S.INV(RAND())</f>
        <v/>
      </c>
      <c r="N96" s="15">
        <f>IF('组合输入'!$C4="","",'组合输入'!$H4*$B96+SQRT(1-'组合输入'!$H4^2)*M96)</f>
        <v/>
      </c>
      <c r="O96" s="7">
        <f>IF(N96="","",NORM.S.DIST(N96,TRUE))</f>
        <v/>
      </c>
      <c r="P96" s="13">
        <f>IF(O96="","",IF(O96&lt;='组合输入'!$K4,"AAA",IF(O96&lt;='组合输入'!$L4,"AA",IF(O96&lt;='组合输入'!$M4,"A",IF(O96&lt;='组合输入'!$N4,"BBB",IF(O96&lt;='组合输入'!$O4,"BB",IF(O96&lt;='组合输入'!$P4,"B",IF(O96&lt;='组合输入'!$Q4,"CCC","D")))))))</f>
        <v/>
      </c>
      <c r="Q96" s="12">
        <f>IF(P96="","",INDEX('状态价值'!$D4:$K4,MATCH(P96,'状态价值'!$D$1:$K$1,0)))</f>
        <v/>
      </c>
      <c r="R96" s="15">
        <f>NORM.S.INV(RAND())</f>
        <v/>
      </c>
      <c r="S96" s="15">
        <f>IF('组合输入'!$C5="","",'组合输入'!$H5*$B96+SQRT(1-'组合输入'!$H5^2)*R96)</f>
        <v/>
      </c>
      <c r="T96" s="7">
        <f>IF(S96="","",NORM.S.DIST(S96,TRUE))</f>
        <v/>
      </c>
      <c r="U96" s="13">
        <f>IF(T96="","",IF(T96&lt;='组合输入'!$K5,"AAA",IF(T96&lt;='组合输入'!$L5,"AA",IF(T96&lt;='组合输入'!$M5,"A",IF(T96&lt;='组合输入'!$N5,"BBB",IF(T96&lt;='组合输入'!$O5,"BB",IF(T96&lt;='组合输入'!$P5,"B",IF(T96&lt;='组合输入'!$Q5,"CCC","D")))))))</f>
        <v/>
      </c>
      <c r="V96" s="12">
        <f>IF(U96="","",INDEX('状态价值'!$D5:$K5,MATCH(U96,'状态价值'!$D$1:$K$1,0)))</f>
        <v/>
      </c>
      <c r="W96" s="15">
        <f>NORM.S.INV(RAND())</f>
        <v/>
      </c>
      <c r="X96" s="15">
        <f>IF('组合输入'!$C6="","",'组合输入'!$H6*$B96+SQRT(1-'组合输入'!$H6^2)*W96)</f>
        <v/>
      </c>
      <c r="Y96" s="7">
        <f>IF(X96="","",NORM.S.DIST(X96,TRUE))</f>
        <v/>
      </c>
      <c r="Z96" s="13">
        <f>IF(Y96="","",IF(Y96&lt;='组合输入'!$K6,"AAA",IF(Y96&lt;='组合输入'!$L6,"AA",IF(Y96&lt;='组合输入'!$M6,"A",IF(Y96&lt;='组合输入'!$N6,"BBB",IF(Y96&lt;='组合输入'!$O6,"BB",IF(Y96&lt;='组合输入'!$P6,"B",IF(Y96&lt;='组合输入'!$Q6,"CCC","D")))))))</f>
        <v/>
      </c>
      <c r="AA96" s="12">
        <f>IF(Z96="","",INDEX('状态价值'!$D6:$K6,MATCH(Z96,'状态价值'!$D$1:$K$1,0)))</f>
        <v/>
      </c>
      <c r="AB96" s="15">
        <f>NORM.S.INV(RAND())</f>
        <v/>
      </c>
      <c r="AC96" s="15">
        <f>IF('组合输入'!$C7="","",'组合输入'!$H7*$B96+SQRT(1-'组合输入'!$H7^2)*AB96)</f>
        <v/>
      </c>
      <c r="AD96" s="7">
        <f>IF(AC96="","",NORM.S.DIST(AC96,TRUE))</f>
        <v/>
      </c>
      <c r="AE96" s="13">
        <f>IF(AD96="","",IF(AD96&lt;='组合输入'!$K7,"AAA",IF(AD96&lt;='组合输入'!$L7,"AA",IF(AD96&lt;='组合输入'!$M7,"A",IF(AD96&lt;='组合输入'!$N7,"BBB",IF(AD96&lt;='组合输入'!$O7,"BB",IF(AD96&lt;='组合输入'!$P7,"B",IF(AD96&lt;='组合输入'!$Q7,"CCC","D")))))))</f>
        <v/>
      </c>
      <c r="AF96" s="12">
        <f>IF(AE96="","",INDEX('状态价值'!$D7:$K7,MATCH(AE96,'状态价值'!$D$1:$K$1,0)))</f>
        <v/>
      </c>
      <c r="AG96" s="15">
        <f>NORM.S.INV(RAND())</f>
        <v/>
      </c>
      <c r="AH96" s="15">
        <f>IF('组合输入'!$C8="","",'组合输入'!$H8*$B96+SQRT(1-'组合输入'!$H8^2)*AG96)</f>
        <v/>
      </c>
      <c r="AI96" s="7">
        <f>IF(AH96="","",NORM.S.DIST(AH96,TRUE))</f>
        <v/>
      </c>
      <c r="AJ96" s="13">
        <f>IF(AI96="","",IF(AI96&lt;='组合输入'!$K8,"AAA",IF(AI96&lt;='组合输入'!$L8,"AA",IF(AI96&lt;='组合输入'!$M8,"A",IF(AI96&lt;='组合输入'!$N8,"BBB",IF(AI96&lt;='组合输入'!$O8,"BB",IF(AI96&lt;='组合输入'!$P8,"B",IF(AI96&lt;='组合输入'!$Q8,"CCC","D")))))))</f>
        <v/>
      </c>
      <c r="AK96" s="12">
        <f>IF(AJ96="","",INDEX('状态价值'!$D8:$K8,MATCH(AJ96,'状态价值'!$D$1:$K$1,0)))</f>
        <v/>
      </c>
      <c r="AL96" s="15">
        <f>NORM.S.INV(RAND())</f>
        <v/>
      </c>
      <c r="AM96" s="15">
        <f>IF('组合输入'!$C9="","",'组合输入'!$H9*$B96+SQRT(1-'组合输入'!$H9^2)*AL96)</f>
        <v/>
      </c>
      <c r="AN96" s="7">
        <f>IF(AM96="","",NORM.S.DIST(AM96,TRUE))</f>
        <v/>
      </c>
      <c r="AO96" s="13">
        <f>IF(AN96="","",IF(AN96&lt;='组合输入'!$K9,"AAA",IF(AN96&lt;='组合输入'!$L9,"AA",IF(AN96&lt;='组合输入'!$M9,"A",IF(AN96&lt;='组合输入'!$N9,"BBB",IF(AN96&lt;='组合输入'!$O9,"BB",IF(AN96&lt;='组合输入'!$P9,"B",IF(AN96&lt;='组合输入'!$Q9,"CCC","D")))))))</f>
        <v/>
      </c>
      <c r="AP96" s="12">
        <f>IF(AO96="","",INDEX('状态价值'!$D9:$K9,MATCH(AO96,'状态价值'!$D$1:$K$1,0)))</f>
        <v/>
      </c>
      <c r="AQ96" s="15">
        <f>NORM.S.INV(RAND())</f>
        <v/>
      </c>
      <c r="AR96" s="15">
        <f>IF('组合输入'!$C10="","",'组合输入'!$H10*$B96+SQRT(1-'组合输入'!$H10^2)*AQ96)</f>
        <v/>
      </c>
      <c r="AS96" s="7">
        <f>IF(AR96="","",NORM.S.DIST(AR96,TRUE))</f>
        <v/>
      </c>
      <c r="AT96" s="13">
        <f>IF(AS96="","",IF(AS96&lt;='组合输入'!$K10,"AAA",IF(AS96&lt;='组合输入'!$L10,"AA",IF(AS96&lt;='组合输入'!$M10,"A",IF(AS96&lt;='组合输入'!$N10,"BBB",IF(AS96&lt;='组合输入'!$O10,"BB",IF(AS96&lt;='组合输入'!$P10,"B",IF(AS96&lt;='组合输入'!$Q10,"CCC","D")))))))</f>
        <v/>
      </c>
      <c r="AU96" s="12">
        <f>IF(AT96="","",INDEX('状态价值'!$D10:$K10,MATCH(AT96,'状态价值'!$D$1:$K$1,0)))</f>
        <v/>
      </c>
      <c r="AV96" s="15">
        <f>NORM.S.INV(RAND())</f>
        <v/>
      </c>
      <c r="AW96" s="15">
        <f>IF('组合输入'!$C11="","",'组合输入'!$H11*$B96+SQRT(1-'组合输入'!$H11^2)*AV96)</f>
        <v/>
      </c>
      <c r="AX96" s="7">
        <f>IF(AW96="","",NORM.S.DIST(AW96,TRUE))</f>
        <v/>
      </c>
      <c r="AY96" s="13">
        <f>IF(AX96="","",IF(AX96&lt;='组合输入'!$K11,"AAA",IF(AX96&lt;='组合输入'!$L11,"AA",IF(AX96&lt;='组合输入'!$M11,"A",IF(AX96&lt;='组合输入'!$N11,"BBB",IF(AX96&lt;='组合输入'!$O11,"BB",IF(AX96&lt;='组合输入'!$P11,"B",IF(AX96&lt;='组合输入'!$Q11,"CCC","D")))))))</f>
        <v/>
      </c>
      <c r="AZ96" s="12">
        <f>IF(AY96="","",INDEX('状态价值'!$D11:$K11,MATCH(AY96,'状态价值'!$D$1:$K$1,0)))</f>
        <v/>
      </c>
      <c r="BA96" s="12">
        <f>G96+L96+Q96+V96+AA96+AF96+AK96+AP96+AU96+AZ96</f>
        <v/>
      </c>
      <c r="BB96" s="12">
        <f>SUM('组合输入'!$J$2:$J$11)-BA96</f>
        <v/>
      </c>
    </row>
    <row r="97">
      <c r="A97" s="11" t="n">
        <v>96</v>
      </c>
      <c r="B97" s="14">
        <f>NORM.S.INV(RAND())</f>
        <v/>
      </c>
      <c r="C97" s="14">
        <f>NORM.S.INV(RAND())</f>
        <v/>
      </c>
      <c r="D97" s="15">
        <f>IF('组合输入'!$C2="","",'组合输入'!$H2*$B97+SQRT(1-'组合输入'!$H2^2)*C97)</f>
        <v/>
      </c>
      <c r="E97" s="7">
        <f>IF(D97="","",NORM.S.DIST(D97,TRUE))</f>
        <v/>
      </c>
      <c r="F97" s="13">
        <f>IF(E97="","",IF(E97&lt;='组合输入'!$K2,"AAA",IF(E97&lt;='组合输入'!$L2,"AA",IF(E97&lt;='组合输入'!$M2,"A",IF(E97&lt;='组合输入'!$N2,"BBB",IF(E97&lt;='组合输入'!$O2,"BB",IF(E97&lt;='组合输入'!$P2,"B",IF(E97&lt;='组合输入'!$Q2,"CCC","D")))))))</f>
        <v/>
      </c>
      <c r="G97" s="12">
        <f>IF(F97="","",INDEX('状态价值'!$D2:$K2,MATCH(F97,'状态价值'!$D$1:$K$1,0)))</f>
        <v/>
      </c>
      <c r="H97" s="15">
        <f>NORM.S.INV(RAND())</f>
        <v/>
      </c>
      <c r="I97" s="15">
        <f>IF('组合输入'!$C3="","",'组合输入'!$H3*$B97+SQRT(1-'组合输入'!$H3^2)*H97)</f>
        <v/>
      </c>
      <c r="J97" s="7">
        <f>IF(I97="","",NORM.S.DIST(I97,TRUE))</f>
        <v/>
      </c>
      <c r="K97" s="13">
        <f>IF(J97="","",IF(J97&lt;='组合输入'!$K3,"AAA",IF(J97&lt;='组合输入'!$L3,"AA",IF(J97&lt;='组合输入'!$M3,"A",IF(J97&lt;='组合输入'!$N3,"BBB",IF(J97&lt;='组合输入'!$O3,"BB",IF(J97&lt;='组合输入'!$P3,"B",IF(J97&lt;='组合输入'!$Q3,"CCC","D")))))))</f>
        <v/>
      </c>
      <c r="L97" s="12">
        <f>IF(K97="","",INDEX('状态价值'!$D3:$K3,MATCH(K97,'状态价值'!$D$1:$K$1,0)))</f>
        <v/>
      </c>
      <c r="M97" s="15">
        <f>NORM.S.INV(RAND())</f>
        <v/>
      </c>
      <c r="N97" s="15">
        <f>IF('组合输入'!$C4="","",'组合输入'!$H4*$B97+SQRT(1-'组合输入'!$H4^2)*M97)</f>
        <v/>
      </c>
      <c r="O97" s="7">
        <f>IF(N97="","",NORM.S.DIST(N97,TRUE))</f>
        <v/>
      </c>
      <c r="P97" s="13">
        <f>IF(O97="","",IF(O97&lt;='组合输入'!$K4,"AAA",IF(O97&lt;='组合输入'!$L4,"AA",IF(O97&lt;='组合输入'!$M4,"A",IF(O97&lt;='组合输入'!$N4,"BBB",IF(O97&lt;='组合输入'!$O4,"BB",IF(O97&lt;='组合输入'!$P4,"B",IF(O97&lt;='组合输入'!$Q4,"CCC","D")))))))</f>
        <v/>
      </c>
      <c r="Q97" s="12">
        <f>IF(P97="","",INDEX('状态价值'!$D4:$K4,MATCH(P97,'状态价值'!$D$1:$K$1,0)))</f>
        <v/>
      </c>
      <c r="R97" s="15">
        <f>NORM.S.INV(RAND())</f>
        <v/>
      </c>
      <c r="S97" s="15">
        <f>IF('组合输入'!$C5="","",'组合输入'!$H5*$B97+SQRT(1-'组合输入'!$H5^2)*R97)</f>
        <v/>
      </c>
      <c r="T97" s="7">
        <f>IF(S97="","",NORM.S.DIST(S97,TRUE))</f>
        <v/>
      </c>
      <c r="U97" s="13">
        <f>IF(T97="","",IF(T97&lt;='组合输入'!$K5,"AAA",IF(T97&lt;='组合输入'!$L5,"AA",IF(T97&lt;='组合输入'!$M5,"A",IF(T97&lt;='组合输入'!$N5,"BBB",IF(T97&lt;='组合输入'!$O5,"BB",IF(T97&lt;='组合输入'!$P5,"B",IF(T97&lt;='组合输入'!$Q5,"CCC","D")))))))</f>
        <v/>
      </c>
      <c r="V97" s="12">
        <f>IF(U97="","",INDEX('状态价值'!$D5:$K5,MATCH(U97,'状态价值'!$D$1:$K$1,0)))</f>
        <v/>
      </c>
      <c r="W97" s="15">
        <f>NORM.S.INV(RAND())</f>
        <v/>
      </c>
      <c r="X97" s="15">
        <f>IF('组合输入'!$C6="","",'组合输入'!$H6*$B97+SQRT(1-'组合输入'!$H6^2)*W97)</f>
        <v/>
      </c>
      <c r="Y97" s="7">
        <f>IF(X97="","",NORM.S.DIST(X97,TRUE))</f>
        <v/>
      </c>
      <c r="Z97" s="13">
        <f>IF(Y97="","",IF(Y97&lt;='组合输入'!$K6,"AAA",IF(Y97&lt;='组合输入'!$L6,"AA",IF(Y97&lt;='组合输入'!$M6,"A",IF(Y97&lt;='组合输入'!$N6,"BBB",IF(Y97&lt;='组合输入'!$O6,"BB",IF(Y97&lt;='组合输入'!$P6,"B",IF(Y97&lt;='组合输入'!$Q6,"CCC","D")))))))</f>
        <v/>
      </c>
      <c r="AA97" s="12">
        <f>IF(Z97="","",INDEX('状态价值'!$D6:$K6,MATCH(Z97,'状态价值'!$D$1:$K$1,0)))</f>
        <v/>
      </c>
      <c r="AB97" s="15">
        <f>NORM.S.INV(RAND())</f>
        <v/>
      </c>
      <c r="AC97" s="15">
        <f>IF('组合输入'!$C7="","",'组合输入'!$H7*$B97+SQRT(1-'组合输入'!$H7^2)*AB97)</f>
        <v/>
      </c>
      <c r="AD97" s="7">
        <f>IF(AC97="","",NORM.S.DIST(AC97,TRUE))</f>
        <v/>
      </c>
      <c r="AE97" s="13">
        <f>IF(AD97="","",IF(AD97&lt;='组合输入'!$K7,"AAA",IF(AD97&lt;='组合输入'!$L7,"AA",IF(AD97&lt;='组合输入'!$M7,"A",IF(AD97&lt;='组合输入'!$N7,"BBB",IF(AD97&lt;='组合输入'!$O7,"BB",IF(AD97&lt;='组合输入'!$P7,"B",IF(AD97&lt;='组合输入'!$Q7,"CCC","D")))))))</f>
        <v/>
      </c>
      <c r="AF97" s="12">
        <f>IF(AE97="","",INDEX('状态价值'!$D7:$K7,MATCH(AE97,'状态价值'!$D$1:$K$1,0)))</f>
        <v/>
      </c>
      <c r="AG97" s="15">
        <f>NORM.S.INV(RAND())</f>
        <v/>
      </c>
      <c r="AH97" s="15">
        <f>IF('组合输入'!$C8="","",'组合输入'!$H8*$B97+SQRT(1-'组合输入'!$H8^2)*AG97)</f>
        <v/>
      </c>
      <c r="AI97" s="7">
        <f>IF(AH97="","",NORM.S.DIST(AH97,TRUE))</f>
        <v/>
      </c>
      <c r="AJ97" s="13">
        <f>IF(AI97="","",IF(AI97&lt;='组合输入'!$K8,"AAA",IF(AI97&lt;='组合输入'!$L8,"AA",IF(AI97&lt;='组合输入'!$M8,"A",IF(AI97&lt;='组合输入'!$N8,"BBB",IF(AI97&lt;='组合输入'!$O8,"BB",IF(AI97&lt;='组合输入'!$P8,"B",IF(AI97&lt;='组合输入'!$Q8,"CCC","D")))))))</f>
        <v/>
      </c>
      <c r="AK97" s="12">
        <f>IF(AJ97="","",INDEX('状态价值'!$D8:$K8,MATCH(AJ97,'状态价值'!$D$1:$K$1,0)))</f>
        <v/>
      </c>
      <c r="AL97" s="15">
        <f>NORM.S.INV(RAND())</f>
        <v/>
      </c>
      <c r="AM97" s="15">
        <f>IF('组合输入'!$C9="","",'组合输入'!$H9*$B97+SQRT(1-'组合输入'!$H9^2)*AL97)</f>
        <v/>
      </c>
      <c r="AN97" s="7">
        <f>IF(AM97="","",NORM.S.DIST(AM97,TRUE))</f>
        <v/>
      </c>
      <c r="AO97" s="13">
        <f>IF(AN97="","",IF(AN97&lt;='组合输入'!$K9,"AAA",IF(AN97&lt;='组合输入'!$L9,"AA",IF(AN97&lt;='组合输入'!$M9,"A",IF(AN97&lt;='组合输入'!$N9,"BBB",IF(AN97&lt;='组合输入'!$O9,"BB",IF(AN97&lt;='组合输入'!$P9,"B",IF(AN97&lt;='组合输入'!$Q9,"CCC","D")))))))</f>
        <v/>
      </c>
      <c r="AP97" s="12">
        <f>IF(AO97="","",INDEX('状态价值'!$D9:$K9,MATCH(AO97,'状态价值'!$D$1:$K$1,0)))</f>
        <v/>
      </c>
      <c r="AQ97" s="15">
        <f>NORM.S.INV(RAND())</f>
        <v/>
      </c>
      <c r="AR97" s="15">
        <f>IF('组合输入'!$C10="","",'组合输入'!$H10*$B97+SQRT(1-'组合输入'!$H10^2)*AQ97)</f>
        <v/>
      </c>
      <c r="AS97" s="7">
        <f>IF(AR97="","",NORM.S.DIST(AR97,TRUE))</f>
        <v/>
      </c>
      <c r="AT97" s="13">
        <f>IF(AS97="","",IF(AS97&lt;='组合输入'!$K10,"AAA",IF(AS97&lt;='组合输入'!$L10,"AA",IF(AS97&lt;='组合输入'!$M10,"A",IF(AS97&lt;='组合输入'!$N10,"BBB",IF(AS97&lt;='组合输入'!$O10,"BB",IF(AS97&lt;='组合输入'!$P10,"B",IF(AS97&lt;='组合输入'!$Q10,"CCC","D")))))))</f>
        <v/>
      </c>
      <c r="AU97" s="12">
        <f>IF(AT97="","",INDEX('状态价值'!$D10:$K10,MATCH(AT97,'状态价值'!$D$1:$K$1,0)))</f>
        <v/>
      </c>
      <c r="AV97" s="15">
        <f>NORM.S.INV(RAND())</f>
        <v/>
      </c>
      <c r="AW97" s="15">
        <f>IF('组合输入'!$C11="","",'组合输入'!$H11*$B97+SQRT(1-'组合输入'!$H11^2)*AV97)</f>
        <v/>
      </c>
      <c r="AX97" s="7">
        <f>IF(AW97="","",NORM.S.DIST(AW97,TRUE))</f>
        <v/>
      </c>
      <c r="AY97" s="13">
        <f>IF(AX97="","",IF(AX97&lt;='组合输入'!$K11,"AAA",IF(AX97&lt;='组合输入'!$L11,"AA",IF(AX97&lt;='组合输入'!$M11,"A",IF(AX97&lt;='组合输入'!$N11,"BBB",IF(AX97&lt;='组合输入'!$O11,"BB",IF(AX97&lt;='组合输入'!$P11,"B",IF(AX97&lt;='组合输入'!$Q11,"CCC","D")))))))</f>
        <v/>
      </c>
      <c r="AZ97" s="12">
        <f>IF(AY97="","",INDEX('状态价值'!$D11:$K11,MATCH(AY97,'状态价值'!$D$1:$K$1,0)))</f>
        <v/>
      </c>
      <c r="BA97" s="12">
        <f>G97+L97+Q97+V97+AA97+AF97+AK97+AP97+AU97+AZ97</f>
        <v/>
      </c>
      <c r="BB97" s="12">
        <f>SUM('组合输入'!$J$2:$J$11)-BA97</f>
        <v/>
      </c>
    </row>
    <row r="98">
      <c r="A98" s="11" t="n">
        <v>97</v>
      </c>
      <c r="B98" s="14">
        <f>NORM.S.INV(RAND())</f>
        <v/>
      </c>
      <c r="C98" s="14">
        <f>NORM.S.INV(RAND())</f>
        <v/>
      </c>
      <c r="D98" s="15">
        <f>IF('组合输入'!$C2="","",'组合输入'!$H2*$B98+SQRT(1-'组合输入'!$H2^2)*C98)</f>
        <v/>
      </c>
      <c r="E98" s="7">
        <f>IF(D98="","",NORM.S.DIST(D98,TRUE))</f>
        <v/>
      </c>
      <c r="F98" s="13">
        <f>IF(E98="","",IF(E98&lt;='组合输入'!$K2,"AAA",IF(E98&lt;='组合输入'!$L2,"AA",IF(E98&lt;='组合输入'!$M2,"A",IF(E98&lt;='组合输入'!$N2,"BBB",IF(E98&lt;='组合输入'!$O2,"BB",IF(E98&lt;='组合输入'!$P2,"B",IF(E98&lt;='组合输入'!$Q2,"CCC","D")))))))</f>
        <v/>
      </c>
      <c r="G98" s="12">
        <f>IF(F98="","",INDEX('状态价值'!$D2:$K2,MATCH(F98,'状态价值'!$D$1:$K$1,0)))</f>
        <v/>
      </c>
      <c r="H98" s="15">
        <f>NORM.S.INV(RAND())</f>
        <v/>
      </c>
      <c r="I98" s="15">
        <f>IF('组合输入'!$C3="","",'组合输入'!$H3*$B98+SQRT(1-'组合输入'!$H3^2)*H98)</f>
        <v/>
      </c>
      <c r="J98" s="7">
        <f>IF(I98="","",NORM.S.DIST(I98,TRUE))</f>
        <v/>
      </c>
      <c r="K98" s="13">
        <f>IF(J98="","",IF(J98&lt;='组合输入'!$K3,"AAA",IF(J98&lt;='组合输入'!$L3,"AA",IF(J98&lt;='组合输入'!$M3,"A",IF(J98&lt;='组合输入'!$N3,"BBB",IF(J98&lt;='组合输入'!$O3,"BB",IF(J98&lt;='组合输入'!$P3,"B",IF(J98&lt;='组合输入'!$Q3,"CCC","D")))))))</f>
        <v/>
      </c>
      <c r="L98" s="12">
        <f>IF(K98="","",INDEX('状态价值'!$D3:$K3,MATCH(K98,'状态价值'!$D$1:$K$1,0)))</f>
        <v/>
      </c>
      <c r="M98" s="15">
        <f>NORM.S.INV(RAND())</f>
        <v/>
      </c>
      <c r="N98" s="15">
        <f>IF('组合输入'!$C4="","",'组合输入'!$H4*$B98+SQRT(1-'组合输入'!$H4^2)*M98)</f>
        <v/>
      </c>
      <c r="O98" s="7">
        <f>IF(N98="","",NORM.S.DIST(N98,TRUE))</f>
        <v/>
      </c>
      <c r="P98" s="13">
        <f>IF(O98="","",IF(O98&lt;='组合输入'!$K4,"AAA",IF(O98&lt;='组合输入'!$L4,"AA",IF(O98&lt;='组合输入'!$M4,"A",IF(O98&lt;='组合输入'!$N4,"BBB",IF(O98&lt;='组合输入'!$O4,"BB",IF(O98&lt;='组合输入'!$P4,"B",IF(O98&lt;='组合输入'!$Q4,"CCC","D")))))))</f>
        <v/>
      </c>
      <c r="Q98" s="12">
        <f>IF(P98="","",INDEX('状态价值'!$D4:$K4,MATCH(P98,'状态价值'!$D$1:$K$1,0)))</f>
        <v/>
      </c>
      <c r="R98" s="15">
        <f>NORM.S.INV(RAND())</f>
        <v/>
      </c>
      <c r="S98" s="15">
        <f>IF('组合输入'!$C5="","",'组合输入'!$H5*$B98+SQRT(1-'组合输入'!$H5^2)*R98)</f>
        <v/>
      </c>
      <c r="T98" s="7">
        <f>IF(S98="","",NORM.S.DIST(S98,TRUE))</f>
        <v/>
      </c>
      <c r="U98" s="13">
        <f>IF(T98="","",IF(T98&lt;='组合输入'!$K5,"AAA",IF(T98&lt;='组合输入'!$L5,"AA",IF(T98&lt;='组合输入'!$M5,"A",IF(T98&lt;='组合输入'!$N5,"BBB",IF(T98&lt;='组合输入'!$O5,"BB",IF(T98&lt;='组合输入'!$P5,"B",IF(T98&lt;='组合输入'!$Q5,"CCC","D")))))))</f>
        <v/>
      </c>
      <c r="V98" s="12">
        <f>IF(U98="","",INDEX('状态价值'!$D5:$K5,MATCH(U98,'状态价值'!$D$1:$K$1,0)))</f>
        <v/>
      </c>
      <c r="W98" s="15">
        <f>NORM.S.INV(RAND())</f>
        <v/>
      </c>
      <c r="X98" s="15">
        <f>IF('组合输入'!$C6="","",'组合输入'!$H6*$B98+SQRT(1-'组合输入'!$H6^2)*W98)</f>
        <v/>
      </c>
      <c r="Y98" s="7">
        <f>IF(X98="","",NORM.S.DIST(X98,TRUE))</f>
        <v/>
      </c>
      <c r="Z98" s="13">
        <f>IF(Y98="","",IF(Y98&lt;='组合输入'!$K6,"AAA",IF(Y98&lt;='组合输入'!$L6,"AA",IF(Y98&lt;='组合输入'!$M6,"A",IF(Y98&lt;='组合输入'!$N6,"BBB",IF(Y98&lt;='组合输入'!$O6,"BB",IF(Y98&lt;='组合输入'!$P6,"B",IF(Y98&lt;='组合输入'!$Q6,"CCC","D")))))))</f>
        <v/>
      </c>
      <c r="AA98" s="12">
        <f>IF(Z98="","",INDEX('状态价值'!$D6:$K6,MATCH(Z98,'状态价值'!$D$1:$K$1,0)))</f>
        <v/>
      </c>
      <c r="AB98" s="15">
        <f>NORM.S.INV(RAND())</f>
        <v/>
      </c>
      <c r="AC98" s="15">
        <f>IF('组合输入'!$C7="","",'组合输入'!$H7*$B98+SQRT(1-'组合输入'!$H7^2)*AB98)</f>
        <v/>
      </c>
      <c r="AD98" s="7">
        <f>IF(AC98="","",NORM.S.DIST(AC98,TRUE))</f>
        <v/>
      </c>
      <c r="AE98" s="13">
        <f>IF(AD98="","",IF(AD98&lt;='组合输入'!$K7,"AAA",IF(AD98&lt;='组合输入'!$L7,"AA",IF(AD98&lt;='组合输入'!$M7,"A",IF(AD98&lt;='组合输入'!$N7,"BBB",IF(AD98&lt;='组合输入'!$O7,"BB",IF(AD98&lt;='组合输入'!$P7,"B",IF(AD98&lt;='组合输入'!$Q7,"CCC","D")))))))</f>
        <v/>
      </c>
      <c r="AF98" s="12">
        <f>IF(AE98="","",INDEX('状态价值'!$D7:$K7,MATCH(AE98,'状态价值'!$D$1:$K$1,0)))</f>
        <v/>
      </c>
      <c r="AG98" s="15">
        <f>NORM.S.INV(RAND())</f>
        <v/>
      </c>
      <c r="AH98" s="15">
        <f>IF('组合输入'!$C8="","",'组合输入'!$H8*$B98+SQRT(1-'组合输入'!$H8^2)*AG98)</f>
        <v/>
      </c>
      <c r="AI98" s="7">
        <f>IF(AH98="","",NORM.S.DIST(AH98,TRUE))</f>
        <v/>
      </c>
      <c r="AJ98" s="13">
        <f>IF(AI98="","",IF(AI98&lt;='组合输入'!$K8,"AAA",IF(AI98&lt;='组合输入'!$L8,"AA",IF(AI98&lt;='组合输入'!$M8,"A",IF(AI98&lt;='组合输入'!$N8,"BBB",IF(AI98&lt;='组合输入'!$O8,"BB",IF(AI98&lt;='组合输入'!$P8,"B",IF(AI98&lt;='组合输入'!$Q8,"CCC","D")))))))</f>
        <v/>
      </c>
      <c r="AK98" s="12">
        <f>IF(AJ98="","",INDEX('状态价值'!$D8:$K8,MATCH(AJ98,'状态价值'!$D$1:$K$1,0)))</f>
        <v/>
      </c>
      <c r="AL98" s="15">
        <f>NORM.S.INV(RAND())</f>
        <v/>
      </c>
      <c r="AM98" s="15">
        <f>IF('组合输入'!$C9="","",'组合输入'!$H9*$B98+SQRT(1-'组合输入'!$H9^2)*AL98)</f>
        <v/>
      </c>
      <c r="AN98" s="7">
        <f>IF(AM98="","",NORM.S.DIST(AM98,TRUE))</f>
        <v/>
      </c>
      <c r="AO98" s="13">
        <f>IF(AN98="","",IF(AN98&lt;='组合输入'!$K9,"AAA",IF(AN98&lt;='组合输入'!$L9,"AA",IF(AN98&lt;='组合输入'!$M9,"A",IF(AN98&lt;='组合输入'!$N9,"BBB",IF(AN98&lt;='组合输入'!$O9,"BB",IF(AN98&lt;='组合输入'!$P9,"B",IF(AN98&lt;='组合输入'!$Q9,"CCC","D")))))))</f>
        <v/>
      </c>
      <c r="AP98" s="12">
        <f>IF(AO98="","",INDEX('状态价值'!$D9:$K9,MATCH(AO98,'状态价值'!$D$1:$K$1,0)))</f>
        <v/>
      </c>
      <c r="AQ98" s="15">
        <f>NORM.S.INV(RAND())</f>
        <v/>
      </c>
      <c r="AR98" s="15">
        <f>IF('组合输入'!$C10="","",'组合输入'!$H10*$B98+SQRT(1-'组合输入'!$H10^2)*AQ98)</f>
        <v/>
      </c>
      <c r="AS98" s="7">
        <f>IF(AR98="","",NORM.S.DIST(AR98,TRUE))</f>
        <v/>
      </c>
      <c r="AT98" s="13">
        <f>IF(AS98="","",IF(AS98&lt;='组合输入'!$K10,"AAA",IF(AS98&lt;='组合输入'!$L10,"AA",IF(AS98&lt;='组合输入'!$M10,"A",IF(AS98&lt;='组合输入'!$N10,"BBB",IF(AS98&lt;='组合输入'!$O10,"BB",IF(AS98&lt;='组合输入'!$P10,"B",IF(AS98&lt;='组合输入'!$Q10,"CCC","D")))))))</f>
        <v/>
      </c>
      <c r="AU98" s="12">
        <f>IF(AT98="","",INDEX('状态价值'!$D10:$K10,MATCH(AT98,'状态价值'!$D$1:$K$1,0)))</f>
        <v/>
      </c>
      <c r="AV98" s="15">
        <f>NORM.S.INV(RAND())</f>
        <v/>
      </c>
      <c r="AW98" s="15">
        <f>IF('组合输入'!$C11="","",'组合输入'!$H11*$B98+SQRT(1-'组合输入'!$H11^2)*AV98)</f>
        <v/>
      </c>
      <c r="AX98" s="7">
        <f>IF(AW98="","",NORM.S.DIST(AW98,TRUE))</f>
        <v/>
      </c>
      <c r="AY98" s="13">
        <f>IF(AX98="","",IF(AX98&lt;='组合输入'!$K11,"AAA",IF(AX98&lt;='组合输入'!$L11,"AA",IF(AX98&lt;='组合输入'!$M11,"A",IF(AX98&lt;='组合输入'!$N11,"BBB",IF(AX98&lt;='组合输入'!$O11,"BB",IF(AX98&lt;='组合输入'!$P11,"B",IF(AX98&lt;='组合输入'!$Q11,"CCC","D")))))))</f>
        <v/>
      </c>
      <c r="AZ98" s="12">
        <f>IF(AY98="","",INDEX('状态价值'!$D11:$K11,MATCH(AY98,'状态价值'!$D$1:$K$1,0)))</f>
        <v/>
      </c>
      <c r="BA98" s="12">
        <f>G98+L98+Q98+V98+AA98+AF98+AK98+AP98+AU98+AZ98</f>
        <v/>
      </c>
      <c r="BB98" s="12">
        <f>SUM('组合输入'!$J$2:$J$11)-BA98</f>
        <v/>
      </c>
    </row>
    <row r="99">
      <c r="A99" s="11" t="n">
        <v>98</v>
      </c>
      <c r="B99" s="14">
        <f>NORM.S.INV(RAND())</f>
        <v/>
      </c>
      <c r="C99" s="14">
        <f>NORM.S.INV(RAND())</f>
        <v/>
      </c>
      <c r="D99" s="15">
        <f>IF('组合输入'!$C2="","",'组合输入'!$H2*$B99+SQRT(1-'组合输入'!$H2^2)*C99)</f>
        <v/>
      </c>
      <c r="E99" s="7">
        <f>IF(D99="","",NORM.S.DIST(D99,TRUE))</f>
        <v/>
      </c>
      <c r="F99" s="13">
        <f>IF(E99="","",IF(E99&lt;='组合输入'!$K2,"AAA",IF(E99&lt;='组合输入'!$L2,"AA",IF(E99&lt;='组合输入'!$M2,"A",IF(E99&lt;='组合输入'!$N2,"BBB",IF(E99&lt;='组合输入'!$O2,"BB",IF(E99&lt;='组合输入'!$P2,"B",IF(E99&lt;='组合输入'!$Q2,"CCC","D")))))))</f>
        <v/>
      </c>
      <c r="G99" s="12">
        <f>IF(F99="","",INDEX('状态价值'!$D2:$K2,MATCH(F99,'状态价值'!$D$1:$K$1,0)))</f>
        <v/>
      </c>
      <c r="H99" s="15">
        <f>NORM.S.INV(RAND())</f>
        <v/>
      </c>
      <c r="I99" s="15">
        <f>IF('组合输入'!$C3="","",'组合输入'!$H3*$B99+SQRT(1-'组合输入'!$H3^2)*H99)</f>
        <v/>
      </c>
      <c r="J99" s="7">
        <f>IF(I99="","",NORM.S.DIST(I99,TRUE))</f>
        <v/>
      </c>
      <c r="K99" s="13">
        <f>IF(J99="","",IF(J99&lt;='组合输入'!$K3,"AAA",IF(J99&lt;='组合输入'!$L3,"AA",IF(J99&lt;='组合输入'!$M3,"A",IF(J99&lt;='组合输入'!$N3,"BBB",IF(J99&lt;='组合输入'!$O3,"BB",IF(J99&lt;='组合输入'!$P3,"B",IF(J99&lt;='组合输入'!$Q3,"CCC","D")))))))</f>
        <v/>
      </c>
      <c r="L99" s="12">
        <f>IF(K99="","",INDEX('状态价值'!$D3:$K3,MATCH(K99,'状态价值'!$D$1:$K$1,0)))</f>
        <v/>
      </c>
      <c r="M99" s="15">
        <f>NORM.S.INV(RAND())</f>
        <v/>
      </c>
      <c r="N99" s="15">
        <f>IF('组合输入'!$C4="","",'组合输入'!$H4*$B99+SQRT(1-'组合输入'!$H4^2)*M99)</f>
        <v/>
      </c>
      <c r="O99" s="7">
        <f>IF(N99="","",NORM.S.DIST(N99,TRUE))</f>
        <v/>
      </c>
      <c r="P99" s="13">
        <f>IF(O99="","",IF(O99&lt;='组合输入'!$K4,"AAA",IF(O99&lt;='组合输入'!$L4,"AA",IF(O99&lt;='组合输入'!$M4,"A",IF(O99&lt;='组合输入'!$N4,"BBB",IF(O99&lt;='组合输入'!$O4,"BB",IF(O99&lt;='组合输入'!$P4,"B",IF(O99&lt;='组合输入'!$Q4,"CCC","D")))))))</f>
        <v/>
      </c>
      <c r="Q99" s="12">
        <f>IF(P99="","",INDEX('状态价值'!$D4:$K4,MATCH(P99,'状态价值'!$D$1:$K$1,0)))</f>
        <v/>
      </c>
      <c r="R99" s="15">
        <f>NORM.S.INV(RAND())</f>
        <v/>
      </c>
      <c r="S99" s="15">
        <f>IF('组合输入'!$C5="","",'组合输入'!$H5*$B99+SQRT(1-'组合输入'!$H5^2)*R99)</f>
        <v/>
      </c>
      <c r="T99" s="7">
        <f>IF(S99="","",NORM.S.DIST(S99,TRUE))</f>
        <v/>
      </c>
      <c r="U99" s="13">
        <f>IF(T99="","",IF(T99&lt;='组合输入'!$K5,"AAA",IF(T99&lt;='组合输入'!$L5,"AA",IF(T99&lt;='组合输入'!$M5,"A",IF(T99&lt;='组合输入'!$N5,"BBB",IF(T99&lt;='组合输入'!$O5,"BB",IF(T99&lt;='组合输入'!$P5,"B",IF(T99&lt;='组合输入'!$Q5,"CCC","D")))))))</f>
        <v/>
      </c>
      <c r="V99" s="12">
        <f>IF(U99="","",INDEX('状态价值'!$D5:$K5,MATCH(U99,'状态价值'!$D$1:$K$1,0)))</f>
        <v/>
      </c>
      <c r="W99" s="15">
        <f>NORM.S.INV(RAND())</f>
        <v/>
      </c>
      <c r="X99" s="15">
        <f>IF('组合输入'!$C6="","",'组合输入'!$H6*$B99+SQRT(1-'组合输入'!$H6^2)*W99)</f>
        <v/>
      </c>
      <c r="Y99" s="7">
        <f>IF(X99="","",NORM.S.DIST(X99,TRUE))</f>
        <v/>
      </c>
      <c r="Z99" s="13">
        <f>IF(Y99="","",IF(Y99&lt;='组合输入'!$K6,"AAA",IF(Y99&lt;='组合输入'!$L6,"AA",IF(Y99&lt;='组合输入'!$M6,"A",IF(Y99&lt;='组合输入'!$N6,"BBB",IF(Y99&lt;='组合输入'!$O6,"BB",IF(Y99&lt;='组合输入'!$P6,"B",IF(Y99&lt;='组合输入'!$Q6,"CCC","D")))))))</f>
        <v/>
      </c>
      <c r="AA99" s="12">
        <f>IF(Z99="","",INDEX('状态价值'!$D6:$K6,MATCH(Z99,'状态价值'!$D$1:$K$1,0)))</f>
        <v/>
      </c>
      <c r="AB99" s="15">
        <f>NORM.S.INV(RAND())</f>
        <v/>
      </c>
      <c r="AC99" s="15">
        <f>IF('组合输入'!$C7="","",'组合输入'!$H7*$B99+SQRT(1-'组合输入'!$H7^2)*AB99)</f>
        <v/>
      </c>
      <c r="AD99" s="7">
        <f>IF(AC99="","",NORM.S.DIST(AC99,TRUE))</f>
        <v/>
      </c>
      <c r="AE99" s="13">
        <f>IF(AD99="","",IF(AD99&lt;='组合输入'!$K7,"AAA",IF(AD99&lt;='组合输入'!$L7,"AA",IF(AD99&lt;='组合输入'!$M7,"A",IF(AD99&lt;='组合输入'!$N7,"BBB",IF(AD99&lt;='组合输入'!$O7,"BB",IF(AD99&lt;='组合输入'!$P7,"B",IF(AD99&lt;='组合输入'!$Q7,"CCC","D")))))))</f>
        <v/>
      </c>
      <c r="AF99" s="12">
        <f>IF(AE99="","",INDEX('状态价值'!$D7:$K7,MATCH(AE99,'状态价值'!$D$1:$K$1,0)))</f>
        <v/>
      </c>
      <c r="AG99" s="15">
        <f>NORM.S.INV(RAND())</f>
        <v/>
      </c>
      <c r="AH99" s="15">
        <f>IF('组合输入'!$C8="","",'组合输入'!$H8*$B99+SQRT(1-'组合输入'!$H8^2)*AG99)</f>
        <v/>
      </c>
      <c r="AI99" s="7">
        <f>IF(AH99="","",NORM.S.DIST(AH99,TRUE))</f>
        <v/>
      </c>
      <c r="AJ99" s="13">
        <f>IF(AI99="","",IF(AI99&lt;='组合输入'!$K8,"AAA",IF(AI99&lt;='组合输入'!$L8,"AA",IF(AI99&lt;='组合输入'!$M8,"A",IF(AI99&lt;='组合输入'!$N8,"BBB",IF(AI99&lt;='组合输入'!$O8,"BB",IF(AI99&lt;='组合输入'!$P8,"B",IF(AI99&lt;='组合输入'!$Q8,"CCC","D")))))))</f>
        <v/>
      </c>
      <c r="AK99" s="12">
        <f>IF(AJ99="","",INDEX('状态价值'!$D8:$K8,MATCH(AJ99,'状态价值'!$D$1:$K$1,0)))</f>
        <v/>
      </c>
      <c r="AL99" s="15">
        <f>NORM.S.INV(RAND())</f>
        <v/>
      </c>
      <c r="AM99" s="15">
        <f>IF('组合输入'!$C9="","",'组合输入'!$H9*$B99+SQRT(1-'组合输入'!$H9^2)*AL99)</f>
        <v/>
      </c>
      <c r="AN99" s="7">
        <f>IF(AM99="","",NORM.S.DIST(AM99,TRUE))</f>
        <v/>
      </c>
      <c r="AO99" s="13">
        <f>IF(AN99="","",IF(AN99&lt;='组合输入'!$K9,"AAA",IF(AN99&lt;='组合输入'!$L9,"AA",IF(AN99&lt;='组合输入'!$M9,"A",IF(AN99&lt;='组合输入'!$N9,"BBB",IF(AN99&lt;='组合输入'!$O9,"BB",IF(AN99&lt;='组合输入'!$P9,"B",IF(AN99&lt;='组合输入'!$Q9,"CCC","D")))))))</f>
        <v/>
      </c>
      <c r="AP99" s="12">
        <f>IF(AO99="","",INDEX('状态价值'!$D9:$K9,MATCH(AO99,'状态价值'!$D$1:$K$1,0)))</f>
        <v/>
      </c>
      <c r="AQ99" s="15">
        <f>NORM.S.INV(RAND())</f>
        <v/>
      </c>
      <c r="AR99" s="15">
        <f>IF('组合输入'!$C10="","",'组合输入'!$H10*$B99+SQRT(1-'组合输入'!$H10^2)*AQ99)</f>
        <v/>
      </c>
      <c r="AS99" s="7">
        <f>IF(AR99="","",NORM.S.DIST(AR99,TRUE))</f>
        <v/>
      </c>
      <c r="AT99" s="13">
        <f>IF(AS99="","",IF(AS99&lt;='组合输入'!$K10,"AAA",IF(AS99&lt;='组合输入'!$L10,"AA",IF(AS99&lt;='组合输入'!$M10,"A",IF(AS99&lt;='组合输入'!$N10,"BBB",IF(AS99&lt;='组合输入'!$O10,"BB",IF(AS99&lt;='组合输入'!$P10,"B",IF(AS99&lt;='组合输入'!$Q10,"CCC","D")))))))</f>
        <v/>
      </c>
      <c r="AU99" s="12">
        <f>IF(AT99="","",INDEX('状态价值'!$D10:$K10,MATCH(AT99,'状态价值'!$D$1:$K$1,0)))</f>
        <v/>
      </c>
      <c r="AV99" s="15">
        <f>NORM.S.INV(RAND())</f>
        <v/>
      </c>
      <c r="AW99" s="15">
        <f>IF('组合输入'!$C11="","",'组合输入'!$H11*$B99+SQRT(1-'组合输入'!$H11^2)*AV99)</f>
        <v/>
      </c>
      <c r="AX99" s="7">
        <f>IF(AW99="","",NORM.S.DIST(AW99,TRUE))</f>
        <v/>
      </c>
      <c r="AY99" s="13">
        <f>IF(AX99="","",IF(AX99&lt;='组合输入'!$K11,"AAA",IF(AX99&lt;='组合输入'!$L11,"AA",IF(AX99&lt;='组合输入'!$M11,"A",IF(AX99&lt;='组合输入'!$N11,"BBB",IF(AX99&lt;='组合输入'!$O11,"BB",IF(AX99&lt;='组合输入'!$P11,"B",IF(AX99&lt;='组合输入'!$Q11,"CCC","D")))))))</f>
        <v/>
      </c>
      <c r="AZ99" s="12">
        <f>IF(AY99="","",INDEX('状态价值'!$D11:$K11,MATCH(AY99,'状态价值'!$D$1:$K$1,0)))</f>
        <v/>
      </c>
      <c r="BA99" s="12">
        <f>G99+L99+Q99+V99+AA99+AF99+AK99+AP99+AU99+AZ99</f>
        <v/>
      </c>
      <c r="BB99" s="12">
        <f>SUM('组合输入'!$J$2:$J$11)-BA99</f>
        <v/>
      </c>
    </row>
    <row r="100">
      <c r="A100" s="11" t="n">
        <v>99</v>
      </c>
      <c r="B100" s="14">
        <f>NORM.S.INV(RAND())</f>
        <v/>
      </c>
      <c r="C100" s="14">
        <f>NORM.S.INV(RAND())</f>
        <v/>
      </c>
      <c r="D100" s="15">
        <f>IF('组合输入'!$C2="","",'组合输入'!$H2*$B100+SQRT(1-'组合输入'!$H2^2)*C100)</f>
        <v/>
      </c>
      <c r="E100" s="7">
        <f>IF(D100="","",NORM.S.DIST(D100,TRUE))</f>
        <v/>
      </c>
      <c r="F100" s="13">
        <f>IF(E100="","",IF(E100&lt;='组合输入'!$K2,"AAA",IF(E100&lt;='组合输入'!$L2,"AA",IF(E100&lt;='组合输入'!$M2,"A",IF(E100&lt;='组合输入'!$N2,"BBB",IF(E100&lt;='组合输入'!$O2,"BB",IF(E100&lt;='组合输入'!$P2,"B",IF(E100&lt;='组合输入'!$Q2,"CCC","D")))))))</f>
        <v/>
      </c>
      <c r="G100" s="12">
        <f>IF(F100="","",INDEX('状态价值'!$D2:$K2,MATCH(F100,'状态价值'!$D$1:$K$1,0)))</f>
        <v/>
      </c>
      <c r="H100" s="15">
        <f>NORM.S.INV(RAND())</f>
        <v/>
      </c>
      <c r="I100" s="15">
        <f>IF('组合输入'!$C3="","",'组合输入'!$H3*$B100+SQRT(1-'组合输入'!$H3^2)*H100)</f>
        <v/>
      </c>
      <c r="J100" s="7">
        <f>IF(I100="","",NORM.S.DIST(I100,TRUE))</f>
        <v/>
      </c>
      <c r="K100" s="13">
        <f>IF(J100="","",IF(J100&lt;='组合输入'!$K3,"AAA",IF(J100&lt;='组合输入'!$L3,"AA",IF(J100&lt;='组合输入'!$M3,"A",IF(J100&lt;='组合输入'!$N3,"BBB",IF(J100&lt;='组合输入'!$O3,"BB",IF(J100&lt;='组合输入'!$P3,"B",IF(J100&lt;='组合输入'!$Q3,"CCC","D")))))))</f>
        <v/>
      </c>
      <c r="L100" s="12">
        <f>IF(K100="","",INDEX('状态价值'!$D3:$K3,MATCH(K100,'状态价值'!$D$1:$K$1,0)))</f>
        <v/>
      </c>
      <c r="M100" s="15">
        <f>NORM.S.INV(RAND())</f>
        <v/>
      </c>
      <c r="N100" s="15">
        <f>IF('组合输入'!$C4="","",'组合输入'!$H4*$B100+SQRT(1-'组合输入'!$H4^2)*M100)</f>
        <v/>
      </c>
      <c r="O100" s="7">
        <f>IF(N100="","",NORM.S.DIST(N100,TRUE))</f>
        <v/>
      </c>
      <c r="P100" s="13">
        <f>IF(O100="","",IF(O100&lt;='组合输入'!$K4,"AAA",IF(O100&lt;='组合输入'!$L4,"AA",IF(O100&lt;='组合输入'!$M4,"A",IF(O100&lt;='组合输入'!$N4,"BBB",IF(O100&lt;='组合输入'!$O4,"BB",IF(O100&lt;='组合输入'!$P4,"B",IF(O100&lt;='组合输入'!$Q4,"CCC","D")))))))</f>
        <v/>
      </c>
      <c r="Q100" s="12">
        <f>IF(P100="","",INDEX('状态价值'!$D4:$K4,MATCH(P100,'状态价值'!$D$1:$K$1,0)))</f>
        <v/>
      </c>
      <c r="R100" s="15">
        <f>NORM.S.INV(RAND())</f>
        <v/>
      </c>
      <c r="S100" s="15">
        <f>IF('组合输入'!$C5="","",'组合输入'!$H5*$B100+SQRT(1-'组合输入'!$H5^2)*R100)</f>
        <v/>
      </c>
      <c r="T100" s="7">
        <f>IF(S100="","",NORM.S.DIST(S100,TRUE))</f>
        <v/>
      </c>
      <c r="U100" s="13">
        <f>IF(T100="","",IF(T100&lt;='组合输入'!$K5,"AAA",IF(T100&lt;='组合输入'!$L5,"AA",IF(T100&lt;='组合输入'!$M5,"A",IF(T100&lt;='组合输入'!$N5,"BBB",IF(T100&lt;='组合输入'!$O5,"BB",IF(T100&lt;='组合输入'!$P5,"B",IF(T100&lt;='组合输入'!$Q5,"CCC","D")))))))</f>
        <v/>
      </c>
      <c r="V100" s="12">
        <f>IF(U100="","",INDEX('状态价值'!$D5:$K5,MATCH(U100,'状态价值'!$D$1:$K$1,0)))</f>
        <v/>
      </c>
      <c r="W100" s="15">
        <f>NORM.S.INV(RAND())</f>
        <v/>
      </c>
      <c r="X100" s="15">
        <f>IF('组合输入'!$C6="","",'组合输入'!$H6*$B100+SQRT(1-'组合输入'!$H6^2)*W100)</f>
        <v/>
      </c>
      <c r="Y100" s="7">
        <f>IF(X100="","",NORM.S.DIST(X100,TRUE))</f>
        <v/>
      </c>
      <c r="Z100" s="13">
        <f>IF(Y100="","",IF(Y100&lt;='组合输入'!$K6,"AAA",IF(Y100&lt;='组合输入'!$L6,"AA",IF(Y100&lt;='组合输入'!$M6,"A",IF(Y100&lt;='组合输入'!$N6,"BBB",IF(Y100&lt;='组合输入'!$O6,"BB",IF(Y100&lt;='组合输入'!$P6,"B",IF(Y100&lt;='组合输入'!$Q6,"CCC","D")))))))</f>
        <v/>
      </c>
      <c r="AA100" s="12">
        <f>IF(Z100="","",INDEX('状态价值'!$D6:$K6,MATCH(Z100,'状态价值'!$D$1:$K$1,0)))</f>
        <v/>
      </c>
      <c r="AB100" s="15">
        <f>NORM.S.INV(RAND())</f>
        <v/>
      </c>
      <c r="AC100" s="15">
        <f>IF('组合输入'!$C7="","",'组合输入'!$H7*$B100+SQRT(1-'组合输入'!$H7^2)*AB100)</f>
        <v/>
      </c>
      <c r="AD100" s="7">
        <f>IF(AC100="","",NORM.S.DIST(AC100,TRUE))</f>
        <v/>
      </c>
      <c r="AE100" s="13">
        <f>IF(AD100="","",IF(AD100&lt;='组合输入'!$K7,"AAA",IF(AD100&lt;='组合输入'!$L7,"AA",IF(AD100&lt;='组合输入'!$M7,"A",IF(AD100&lt;='组合输入'!$N7,"BBB",IF(AD100&lt;='组合输入'!$O7,"BB",IF(AD100&lt;='组合输入'!$P7,"B",IF(AD100&lt;='组合输入'!$Q7,"CCC","D")))))))</f>
        <v/>
      </c>
      <c r="AF100" s="12">
        <f>IF(AE100="","",INDEX('状态价值'!$D7:$K7,MATCH(AE100,'状态价值'!$D$1:$K$1,0)))</f>
        <v/>
      </c>
      <c r="AG100" s="15">
        <f>NORM.S.INV(RAND())</f>
        <v/>
      </c>
      <c r="AH100" s="15">
        <f>IF('组合输入'!$C8="","",'组合输入'!$H8*$B100+SQRT(1-'组合输入'!$H8^2)*AG100)</f>
        <v/>
      </c>
      <c r="AI100" s="7">
        <f>IF(AH100="","",NORM.S.DIST(AH100,TRUE))</f>
        <v/>
      </c>
      <c r="AJ100" s="13">
        <f>IF(AI100="","",IF(AI100&lt;='组合输入'!$K8,"AAA",IF(AI100&lt;='组合输入'!$L8,"AA",IF(AI100&lt;='组合输入'!$M8,"A",IF(AI100&lt;='组合输入'!$N8,"BBB",IF(AI100&lt;='组合输入'!$O8,"BB",IF(AI100&lt;='组合输入'!$P8,"B",IF(AI100&lt;='组合输入'!$Q8,"CCC","D")))))))</f>
        <v/>
      </c>
      <c r="AK100" s="12">
        <f>IF(AJ100="","",INDEX('状态价值'!$D8:$K8,MATCH(AJ100,'状态价值'!$D$1:$K$1,0)))</f>
        <v/>
      </c>
      <c r="AL100" s="15">
        <f>NORM.S.INV(RAND())</f>
        <v/>
      </c>
      <c r="AM100" s="15">
        <f>IF('组合输入'!$C9="","",'组合输入'!$H9*$B100+SQRT(1-'组合输入'!$H9^2)*AL100)</f>
        <v/>
      </c>
      <c r="AN100" s="7">
        <f>IF(AM100="","",NORM.S.DIST(AM100,TRUE))</f>
        <v/>
      </c>
      <c r="AO100" s="13">
        <f>IF(AN100="","",IF(AN100&lt;='组合输入'!$K9,"AAA",IF(AN100&lt;='组合输入'!$L9,"AA",IF(AN100&lt;='组合输入'!$M9,"A",IF(AN100&lt;='组合输入'!$N9,"BBB",IF(AN100&lt;='组合输入'!$O9,"BB",IF(AN100&lt;='组合输入'!$P9,"B",IF(AN100&lt;='组合输入'!$Q9,"CCC","D")))))))</f>
        <v/>
      </c>
      <c r="AP100" s="12">
        <f>IF(AO100="","",INDEX('状态价值'!$D9:$K9,MATCH(AO100,'状态价值'!$D$1:$K$1,0)))</f>
        <v/>
      </c>
      <c r="AQ100" s="15">
        <f>NORM.S.INV(RAND())</f>
        <v/>
      </c>
      <c r="AR100" s="15">
        <f>IF('组合输入'!$C10="","",'组合输入'!$H10*$B100+SQRT(1-'组合输入'!$H10^2)*AQ100)</f>
        <v/>
      </c>
      <c r="AS100" s="7">
        <f>IF(AR100="","",NORM.S.DIST(AR100,TRUE))</f>
        <v/>
      </c>
      <c r="AT100" s="13">
        <f>IF(AS100="","",IF(AS100&lt;='组合输入'!$K10,"AAA",IF(AS100&lt;='组合输入'!$L10,"AA",IF(AS100&lt;='组合输入'!$M10,"A",IF(AS100&lt;='组合输入'!$N10,"BBB",IF(AS100&lt;='组合输入'!$O10,"BB",IF(AS100&lt;='组合输入'!$P10,"B",IF(AS100&lt;='组合输入'!$Q10,"CCC","D")))))))</f>
        <v/>
      </c>
      <c r="AU100" s="12">
        <f>IF(AT100="","",INDEX('状态价值'!$D10:$K10,MATCH(AT100,'状态价值'!$D$1:$K$1,0)))</f>
        <v/>
      </c>
      <c r="AV100" s="15">
        <f>NORM.S.INV(RAND())</f>
        <v/>
      </c>
      <c r="AW100" s="15">
        <f>IF('组合输入'!$C11="","",'组合输入'!$H11*$B100+SQRT(1-'组合输入'!$H11^2)*AV100)</f>
        <v/>
      </c>
      <c r="AX100" s="7">
        <f>IF(AW100="","",NORM.S.DIST(AW100,TRUE))</f>
        <v/>
      </c>
      <c r="AY100" s="13">
        <f>IF(AX100="","",IF(AX100&lt;='组合输入'!$K11,"AAA",IF(AX100&lt;='组合输入'!$L11,"AA",IF(AX100&lt;='组合输入'!$M11,"A",IF(AX100&lt;='组合输入'!$N11,"BBB",IF(AX100&lt;='组合输入'!$O11,"BB",IF(AX100&lt;='组合输入'!$P11,"B",IF(AX100&lt;='组合输入'!$Q11,"CCC","D")))))))</f>
        <v/>
      </c>
      <c r="AZ100" s="12">
        <f>IF(AY100="","",INDEX('状态价值'!$D11:$K11,MATCH(AY100,'状态价值'!$D$1:$K$1,0)))</f>
        <v/>
      </c>
      <c r="BA100" s="12">
        <f>G100+L100+Q100+V100+AA100+AF100+AK100+AP100+AU100+AZ100</f>
        <v/>
      </c>
      <c r="BB100" s="12">
        <f>SUM('组合输入'!$J$2:$J$11)-BA100</f>
        <v/>
      </c>
    </row>
    <row r="101">
      <c r="A101" s="11" t="n">
        <v>100</v>
      </c>
      <c r="B101" s="14">
        <f>NORM.S.INV(RAND())</f>
        <v/>
      </c>
      <c r="C101" s="14">
        <f>NORM.S.INV(RAND())</f>
        <v/>
      </c>
      <c r="D101" s="15">
        <f>IF('组合输入'!$C2="","",'组合输入'!$H2*$B101+SQRT(1-'组合输入'!$H2^2)*C101)</f>
        <v/>
      </c>
      <c r="E101" s="7">
        <f>IF(D101="","",NORM.S.DIST(D101,TRUE))</f>
        <v/>
      </c>
      <c r="F101" s="13">
        <f>IF(E101="","",IF(E101&lt;='组合输入'!$K2,"AAA",IF(E101&lt;='组合输入'!$L2,"AA",IF(E101&lt;='组合输入'!$M2,"A",IF(E101&lt;='组合输入'!$N2,"BBB",IF(E101&lt;='组合输入'!$O2,"BB",IF(E101&lt;='组合输入'!$P2,"B",IF(E101&lt;='组合输入'!$Q2,"CCC","D")))))))</f>
        <v/>
      </c>
      <c r="G101" s="12">
        <f>IF(F101="","",INDEX('状态价值'!$D2:$K2,MATCH(F101,'状态价值'!$D$1:$K$1,0)))</f>
        <v/>
      </c>
      <c r="H101" s="15">
        <f>NORM.S.INV(RAND())</f>
        <v/>
      </c>
      <c r="I101" s="15">
        <f>IF('组合输入'!$C3="","",'组合输入'!$H3*$B101+SQRT(1-'组合输入'!$H3^2)*H101)</f>
        <v/>
      </c>
      <c r="J101" s="7">
        <f>IF(I101="","",NORM.S.DIST(I101,TRUE))</f>
        <v/>
      </c>
      <c r="K101" s="13">
        <f>IF(J101="","",IF(J101&lt;='组合输入'!$K3,"AAA",IF(J101&lt;='组合输入'!$L3,"AA",IF(J101&lt;='组合输入'!$M3,"A",IF(J101&lt;='组合输入'!$N3,"BBB",IF(J101&lt;='组合输入'!$O3,"BB",IF(J101&lt;='组合输入'!$P3,"B",IF(J101&lt;='组合输入'!$Q3,"CCC","D")))))))</f>
        <v/>
      </c>
      <c r="L101" s="12">
        <f>IF(K101="","",INDEX('状态价值'!$D3:$K3,MATCH(K101,'状态价值'!$D$1:$K$1,0)))</f>
        <v/>
      </c>
      <c r="M101" s="15">
        <f>NORM.S.INV(RAND())</f>
        <v/>
      </c>
      <c r="N101" s="15">
        <f>IF('组合输入'!$C4="","",'组合输入'!$H4*$B101+SQRT(1-'组合输入'!$H4^2)*M101)</f>
        <v/>
      </c>
      <c r="O101" s="7">
        <f>IF(N101="","",NORM.S.DIST(N101,TRUE))</f>
        <v/>
      </c>
      <c r="P101" s="13">
        <f>IF(O101="","",IF(O101&lt;='组合输入'!$K4,"AAA",IF(O101&lt;='组合输入'!$L4,"AA",IF(O101&lt;='组合输入'!$M4,"A",IF(O101&lt;='组合输入'!$N4,"BBB",IF(O101&lt;='组合输入'!$O4,"BB",IF(O101&lt;='组合输入'!$P4,"B",IF(O101&lt;='组合输入'!$Q4,"CCC","D")))))))</f>
        <v/>
      </c>
      <c r="Q101" s="12">
        <f>IF(P101="","",INDEX('状态价值'!$D4:$K4,MATCH(P101,'状态价值'!$D$1:$K$1,0)))</f>
        <v/>
      </c>
      <c r="R101" s="15">
        <f>NORM.S.INV(RAND())</f>
        <v/>
      </c>
      <c r="S101" s="15">
        <f>IF('组合输入'!$C5="","",'组合输入'!$H5*$B101+SQRT(1-'组合输入'!$H5^2)*R101)</f>
        <v/>
      </c>
      <c r="T101" s="7">
        <f>IF(S101="","",NORM.S.DIST(S101,TRUE))</f>
        <v/>
      </c>
      <c r="U101" s="13">
        <f>IF(T101="","",IF(T101&lt;='组合输入'!$K5,"AAA",IF(T101&lt;='组合输入'!$L5,"AA",IF(T101&lt;='组合输入'!$M5,"A",IF(T101&lt;='组合输入'!$N5,"BBB",IF(T101&lt;='组合输入'!$O5,"BB",IF(T101&lt;='组合输入'!$P5,"B",IF(T101&lt;='组合输入'!$Q5,"CCC","D")))))))</f>
        <v/>
      </c>
      <c r="V101" s="12">
        <f>IF(U101="","",INDEX('状态价值'!$D5:$K5,MATCH(U101,'状态价值'!$D$1:$K$1,0)))</f>
        <v/>
      </c>
      <c r="W101" s="15">
        <f>NORM.S.INV(RAND())</f>
        <v/>
      </c>
      <c r="X101" s="15">
        <f>IF('组合输入'!$C6="","",'组合输入'!$H6*$B101+SQRT(1-'组合输入'!$H6^2)*W101)</f>
        <v/>
      </c>
      <c r="Y101" s="7">
        <f>IF(X101="","",NORM.S.DIST(X101,TRUE))</f>
        <v/>
      </c>
      <c r="Z101" s="13">
        <f>IF(Y101="","",IF(Y101&lt;='组合输入'!$K6,"AAA",IF(Y101&lt;='组合输入'!$L6,"AA",IF(Y101&lt;='组合输入'!$M6,"A",IF(Y101&lt;='组合输入'!$N6,"BBB",IF(Y101&lt;='组合输入'!$O6,"BB",IF(Y101&lt;='组合输入'!$P6,"B",IF(Y101&lt;='组合输入'!$Q6,"CCC","D")))))))</f>
        <v/>
      </c>
      <c r="AA101" s="12">
        <f>IF(Z101="","",INDEX('状态价值'!$D6:$K6,MATCH(Z101,'状态价值'!$D$1:$K$1,0)))</f>
        <v/>
      </c>
      <c r="AB101" s="15">
        <f>NORM.S.INV(RAND())</f>
        <v/>
      </c>
      <c r="AC101" s="15">
        <f>IF('组合输入'!$C7="","",'组合输入'!$H7*$B101+SQRT(1-'组合输入'!$H7^2)*AB101)</f>
        <v/>
      </c>
      <c r="AD101" s="7">
        <f>IF(AC101="","",NORM.S.DIST(AC101,TRUE))</f>
        <v/>
      </c>
      <c r="AE101" s="13">
        <f>IF(AD101="","",IF(AD101&lt;='组合输入'!$K7,"AAA",IF(AD101&lt;='组合输入'!$L7,"AA",IF(AD101&lt;='组合输入'!$M7,"A",IF(AD101&lt;='组合输入'!$N7,"BBB",IF(AD101&lt;='组合输入'!$O7,"BB",IF(AD101&lt;='组合输入'!$P7,"B",IF(AD101&lt;='组合输入'!$Q7,"CCC","D")))))))</f>
        <v/>
      </c>
      <c r="AF101" s="12">
        <f>IF(AE101="","",INDEX('状态价值'!$D7:$K7,MATCH(AE101,'状态价值'!$D$1:$K$1,0)))</f>
        <v/>
      </c>
      <c r="AG101" s="15">
        <f>NORM.S.INV(RAND())</f>
        <v/>
      </c>
      <c r="AH101" s="15">
        <f>IF('组合输入'!$C8="","",'组合输入'!$H8*$B101+SQRT(1-'组合输入'!$H8^2)*AG101)</f>
        <v/>
      </c>
      <c r="AI101" s="7">
        <f>IF(AH101="","",NORM.S.DIST(AH101,TRUE))</f>
        <v/>
      </c>
      <c r="AJ101" s="13">
        <f>IF(AI101="","",IF(AI101&lt;='组合输入'!$K8,"AAA",IF(AI101&lt;='组合输入'!$L8,"AA",IF(AI101&lt;='组合输入'!$M8,"A",IF(AI101&lt;='组合输入'!$N8,"BBB",IF(AI101&lt;='组合输入'!$O8,"BB",IF(AI101&lt;='组合输入'!$P8,"B",IF(AI101&lt;='组合输入'!$Q8,"CCC","D")))))))</f>
        <v/>
      </c>
      <c r="AK101" s="12">
        <f>IF(AJ101="","",INDEX('状态价值'!$D8:$K8,MATCH(AJ101,'状态价值'!$D$1:$K$1,0)))</f>
        <v/>
      </c>
      <c r="AL101" s="15">
        <f>NORM.S.INV(RAND())</f>
        <v/>
      </c>
      <c r="AM101" s="15">
        <f>IF('组合输入'!$C9="","",'组合输入'!$H9*$B101+SQRT(1-'组合输入'!$H9^2)*AL101)</f>
        <v/>
      </c>
      <c r="AN101" s="7">
        <f>IF(AM101="","",NORM.S.DIST(AM101,TRUE))</f>
        <v/>
      </c>
      <c r="AO101" s="13">
        <f>IF(AN101="","",IF(AN101&lt;='组合输入'!$K9,"AAA",IF(AN101&lt;='组合输入'!$L9,"AA",IF(AN101&lt;='组合输入'!$M9,"A",IF(AN101&lt;='组合输入'!$N9,"BBB",IF(AN101&lt;='组合输入'!$O9,"BB",IF(AN101&lt;='组合输入'!$P9,"B",IF(AN101&lt;='组合输入'!$Q9,"CCC","D")))))))</f>
        <v/>
      </c>
      <c r="AP101" s="12">
        <f>IF(AO101="","",INDEX('状态价值'!$D9:$K9,MATCH(AO101,'状态价值'!$D$1:$K$1,0)))</f>
        <v/>
      </c>
      <c r="AQ101" s="15">
        <f>NORM.S.INV(RAND())</f>
        <v/>
      </c>
      <c r="AR101" s="15">
        <f>IF('组合输入'!$C10="","",'组合输入'!$H10*$B101+SQRT(1-'组合输入'!$H10^2)*AQ101)</f>
        <v/>
      </c>
      <c r="AS101" s="7">
        <f>IF(AR101="","",NORM.S.DIST(AR101,TRUE))</f>
        <v/>
      </c>
      <c r="AT101" s="13">
        <f>IF(AS101="","",IF(AS101&lt;='组合输入'!$K10,"AAA",IF(AS101&lt;='组合输入'!$L10,"AA",IF(AS101&lt;='组合输入'!$M10,"A",IF(AS101&lt;='组合输入'!$N10,"BBB",IF(AS101&lt;='组合输入'!$O10,"BB",IF(AS101&lt;='组合输入'!$P10,"B",IF(AS101&lt;='组合输入'!$Q10,"CCC","D")))))))</f>
        <v/>
      </c>
      <c r="AU101" s="12">
        <f>IF(AT101="","",INDEX('状态价值'!$D10:$K10,MATCH(AT101,'状态价值'!$D$1:$K$1,0)))</f>
        <v/>
      </c>
      <c r="AV101" s="15">
        <f>NORM.S.INV(RAND())</f>
        <v/>
      </c>
      <c r="AW101" s="15">
        <f>IF('组合输入'!$C11="","",'组合输入'!$H11*$B101+SQRT(1-'组合输入'!$H11^2)*AV101)</f>
        <v/>
      </c>
      <c r="AX101" s="7">
        <f>IF(AW101="","",NORM.S.DIST(AW101,TRUE))</f>
        <v/>
      </c>
      <c r="AY101" s="13">
        <f>IF(AX101="","",IF(AX101&lt;='组合输入'!$K11,"AAA",IF(AX101&lt;='组合输入'!$L11,"AA",IF(AX101&lt;='组合输入'!$M11,"A",IF(AX101&lt;='组合输入'!$N11,"BBB",IF(AX101&lt;='组合输入'!$O11,"BB",IF(AX101&lt;='组合输入'!$P11,"B",IF(AX101&lt;='组合输入'!$Q11,"CCC","D")))))))</f>
        <v/>
      </c>
      <c r="AZ101" s="12">
        <f>IF(AY101="","",INDEX('状态价值'!$D11:$K11,MATCH(AY101,'状态价值'!$D$1:$K$1,0)))</f>
        <v/>
      </c>
      <c r="BA101" s="12">
        <f>G101+L101+Q101+V101+AA101+AF101+AK101+AP101+AU101+AZ101</f>
        <v/>
      </c>
      <c r="BB101" s="12">
        <f>SUM('组合输入'!$J$2:$J$11)-BA101</f>
        <v/>
      </c>
    </row>
    <row r="102">
      <c r="A102" s="11" t="n">
        <v>101</v>
      </c>
      <c r="B102" s="14">
        <f>NORM.S.INV(RAND())</f>
        <v/>
      </c>
      <c r="C102" s="14">
        <f>NORM.S.INV(RAND())</f>
        <v/>
      </c>
      <c r="D102" s="15">
        <f>IF('组合输入'!$C2="","",'组合输入'!$H2*$B102+SQRT(1-'组合输入'!$H2^2)*C102)</f>
        <v/>
      </c>
      <c r="E102" s="7">
        <f>IF(D102="","",NORM.S.DIST(D102,TRUE))</f>
        <v/>
      </c>
      <c r="F102" s="13">
        <f>IF(E102="","",IF(E102&lt;='组合输入'!$K2,"AAA",IF(E102&lt;='组合输入'!$L2,"AA",IF(E102&lt;='组合输入'!$M2,"A",IF(E102&lt;='组合输入'!$N2,"BBB",IF(E102&lt;='组合输入'!$O2,"BB",IF(E102&lt;='组合输入'!$P2,"B",IF(E102&lt;='组合输入'!$Q2,"CCC","D")))))))</f>
        <v/>
      </c>
      <c r="G102" s="12">
        <f>IF(F102="","",INDEX('状态价值'!$D2:$K2,MATCH(F102,'状态价值'!$D$1:$K$1,0)))</f>
        <v/>
      </c>
      <c r="H102" s="15">
        <f>NORM.S.INV(RAND())</f>
        <v/>
      </c>
      <c r="I102" s="15">
        <f>IF('组合输入'!$C3="","",'组合输入'!$H3*$B102+SQRT(1-'组合输入'!$H3^2)*H102)</f>
        <v/>
      </c>
      <c r="J102" s="7">
        <f>IF(I102="","",NORM.S.DIST(I102,TRUE))</f>
        <v/>
      </c>
      <c r="K102" s="13">
        <f>IF(J102="","",IF(J102&lt;='组合输入'!$K3,"AAA",IF(J102&lt;='组合输入'!$L3,"AA",IF(J102&lt;='组合输入'!$M3,"A",IF(J102&lt;='组合输入'!$N3,"BBB",IF(J102&lt;='组合输入'!$O3,"BB",IF(J102&lt;='组合输入'!$P3,"B",IF(J102&lt;='组合输入'!$Q3,"CCC","D")))))))</f>
        <v/>
      </c>
      <c r="L102" s="12">
        <f>IF(K102="","",INDEX('状态价值'!$D3:$K3,MATCH(K102,'状态价值'!$D$1:$K$1,0)))</f>
        <v/>
      </c>
      <c r="M102" s="15">
        <f>NORM.S.INV(RAND())</f>
        <v/>
      </c>
      <c r="N102" s="15">
        <f>IF('组合输入'!$C4="","",'组合输入'!$H4*$B102+SQRT(1-'组合输入'!$H4^2)*M102)</f>
        <v/>
      </c>
      <c r="O102" s="7">
        <f>IF(N102="","",NORM.S.DIST(N102,TRUE))</f>
        <v/>
      </c>
      <c r="P102" s="13">
        <f>IF(O102="","",IF(O102&lt;='组合输入'!$K4,"AAA",IF(O102&lt;='组合输入'!$L4,"AA",IF(O102&lt;='组合输入'!$M4,"A",IF(O102&lt;='组合输入'!$N4,"BBB",IF(O102&lt;='组合输入'!$O4,"BB",IF(O102&lt;='组合输入'!$P4,"B",IF(O102&lt;='组合输入'!$Q4,"CCC","D")))))))</f>
        <v/>
      </c>
      <c r="Q102" s="12">
        <f>IF(P102="","",INDEX('状态价值'!$D4:$K4,MATCH(P102,'状态价值'!$D$1:$K$1,0)))</f>
        <v/>
      </c>
      <c r="R102" s="15">
        <f>NORM.S.INV(RAND())</f>
        <v/>
      </c>
      <c r="S102" s="15">
        <f>IF('组合输入'!$C5="","",'组合输入'!$H5*$B102+SQRT(1-'组合输入'!$H5^2)*R102)</f>
        <v/>
      </c>
      <c r="T102" s="7">
        <f>IF(S102="","",NORM.S.DIST(S102,TRUE))</f>
        <v/>
      </c>
      <c r="U102" s="13">
        <f>IF(T102="","",IF(T102&lt;='组合输入'!$K5,"AAA",IF(T102&lt;='组合输入'!$L5,"AA",IF(T102&lt;='组合输入'!$M5,"A",IF(T102&lt;='组合输入'!$N5,"BBB",IF(T102&lt;='组合输入'!$O5,"BB",IF(T102&lt;='组合输入'!$P5,"B",IF(T102&lt;='组合输入'!$Q5,"CCC","D")))))))</f>
        <v/>
      </c>
      <c r="V102" s="12">
        <f>IF(U102="","",INDEX('状态价值'!$D5:$K5,MATCH(U102,'状态价值'!$D$1:$K$1,0)))</f>
        <v/>
      </c>
      <c r="W102" s="15">
        <f>NORM.S.INV(RAND())</f>
        <v/>
      </c>
      <c r="X102" s="15">
        <f>IF('组合输入'!$C6="","",'组合输入'!$H6*$B102+SQRT(1-'组合输入'!$H6^2)*W102)</f>
        <v/>
      </c>
      <c r="Y102" s="7">
        <f>IF(X102="","",NORM.S.DIST(X102,TRUE))</f>
        <v/>
      </c>
      <c r="Z102" s="13">
        <f>IF(Y102="","",IF(Y102&lt;='组合输入'!$K6,"AAA",IF(Y102&lt;='组合输入'!$L6,"AA",IF(Y102&lt;='组合输入'!$M6,"A",IF(Y102&lt;='组合输入'!$N6,"BBB",IF(Y102&lt;='组合输入'!$O6,"BB",IF(Y102&lt;='组合输入'!$P6,"B",IF(Y102&lt;='组合输入'!$Q6,"CCC","D")))))))</f>
        <v/>
      </c>
      <c r="AA102" s="12">
        <f>IF(Z102="","",INDEX('状态价值'!$D6:$K6,MATCH(Z102,'状态价值'!$D$1:$K$1,0)))</f>
        <v/>
      </c>
      <c r="AB102" s="15">
        <f>NORM.S.INV(RAND())</f>
        <v/>
      </c>
      <c r="AC102" s="15">
        <f>IF('组合输入'!$C7="","",'组合输入'!$H7*$B102+SQRT(1-'组合输入'!$H7^2)*AB102)</f>
        <v/>
      </c>
      <c r="AD102" s="7">
        <f>IF(AC102="","",NORM.S.DIST(AC102,TRUE))</f>
        <v/>
      </c>
      <c r="AE102" s="13">
        <f>IF(AD102="","",IF(AD102&lt;='组合输入'!$K7,"AAA",IF(AD102&lt;='组合输入'!$L7,"AA",IF(AD102&lt;='组合输入'!$M7,"A",IF(AD102&lt;='组合输入'!$N7,"BBB",IF(AD102&lt;='组合输入'!$O7,"BB",IF(AD102&lt;='组合输入'!$P7,"B",IF(AD102&lt;='组合输入'!$Q7,"CCC","D")))))))</f>
        <v/>
      </c>
      <c r="AF102" s="12">
        <f>IF(AE102="","",INDEX('状态价值'!$D7:$K7,MATCH(AE102,'状态价值'!$D$1:$K$1,0)))</f>
        <v/>
      </c>
      <c r="AG102" s="15">
        <f>NORM.S.INV(RAND())</f>
        <v/>
      </c>
      <c r="AH102" s="15">
        <f>IF('组合输入'!$C8="","",'组合输入'!$H8*$B102+SQRT(1-'组合输入'!$H8^2)*AG102)</f>
        <v/>
      </c>
      <c r="AI102" s="7">
        <f>IF(AH102="","",NORM.S.DIST(AH102,TRUE))</f>
        <v/>
      </c>
      <c r="AJ102" s="13">
        <f>IF(AI102="","",IF(AI102&lt;='组合输入'!$K8,"AAA",IF(AI102&lt;='组合输入'!$L8,"AA",IF(AI102&lt;='组合输入'!$M8,"A",IF(AI102&lt;='组合输入'!$N8,"BBB",IF(AI102&lt;='组合输入'!$O8,"BB",IF(AI102&lt;='组合输入'!$P8,"B",IF(AI102&lt;='组合输入'!$Q8,"CCC","D")))))))</f>
        <v/>
      </c>
      <c r="AK102" s="12">
        <f>IF(AJ102="","",INDEX('状态价值'!$D8:$K8,MATCH(AJ102,'状态价值'!$D$1:$K$1,0)))</f>
        <v/>
      </c>
      <c r="AL102" s="15">
        <f>NORM.S.INV(RAND())</f>
        <v/>
      </c>
      <c r="AM102" s="15">
        <f>IF('组合输入'!$C9="","",'组合输入'!$H9*$B102+SQRT(1-'组合输入'!$H9^2)*AL102)</f>
        <v/>
      </c>
      <c r="AN102" s="7">
        <f>IF(AM102="","",NORM.S.DIST(AM102,TRUE))</f>
        <v/>
      </c>
      <c r="AO102" s="13">
        <f>IF(AN102="","",IF(AN102&lt;='组合输入'!$K9,"AAA",IF(AN102&lt;='组合输入'!$L9,"AA",IF(AN102&lt;='组合输入'!$M9,"A",IF(AN102&lt;='组合输入'!$N9,"BBB",IF(AN102&lt;='组合输入'!$O9,"BB",IF(AN102&lt;='组合输入'!$P9,"B",IF(AN102&lt;='组合输入'!$Q9,"CCC","D")))))))</f>
        <v/>
      </c>
      <c r="AP102" s="12">
        <f>IF(AO102="","",INDEX('状态价值'!$D9:$K9,MATCH(AO102,'状态价值'!$D$1:$K$1,0)))</f>
        <v/>
      </c>
      <c r="AQ102" s="15">
        <f>NORM.S.INV(RAND())</f>
        <v/>
      </c>
      <c r="AR102" s="15">
        <f>IF('组合输入'!$C10="","",'组合输入'!$H10*$B102+SQRT(1-'组合输入'!$H10^2)*AQ102)</f>
        <v/>
      </c>
      <c r="AS102" s="7">
        <f>IF(AR102="","",NORM.S.DIST(AR102,TRUE))</f>
        <v/>
      </c>
      <c r="AT102" s="13">
        <f>IF(AS102="","",IF(AS102&lt;='组合输入'!$K10,"AAA",IF(AS102&lt;='组合输入'!$L10,"AA",IF(AS102&lt;='组合输入'!$M10,"A",IF(AS102&lt;='组合输入'!$N10,"BBB",IF(AS102&lt;='组合输入'!$O10,"BB",IF(AS102&lt;='组合输入'!$P10,"B",IF(AS102&lt;='组合输入'!$Q10,"CCC","D")))))))</f>
        <v/>
      </c>
      <c r="AU102" s="12">
        <f>IF(AT102="","",INDEX('状态价值'!$D10:$K10,MATCH(AT102,'状态价值'!$D$1:$K$1,0)))</f>
        <v/>
      </c>
      <c r="AV102" s="15">
        <f>NORM.S.INV(RAND())</f>
        <v/>
      </c>
      <c r="AW102" s="15">
        <f>IF('组合输入'!$C11="","",'组合输入'!$H11*$B102+SQRT(1-'组合输入'!$H11^2)*AV102)</f>
        <v/>
      </c>
      <c r="AX102" s="7">
        <f>IF(AW102="","",NORM.S.DIST(AW102,TRUE))</f>
        <v/>
      </c>
      <c r="AY102" s="13">
        <f>IF(AX102="","",IF(AX102&lt;='组合输入'!$K11,"AAA",IF(AX102&lt;='组合输入'!$L11,"AA",IF(AX102&lt;='组合输入'!$M11,"A",IF(AX102&lt;='组合输入'!$N11,"BBB",IF(AX102&lt;='组合输入'!$O11,"BB",IF(AX102&lt;='组合输入'!$P11,"B",IF(AX102&lt;='组合输入'!$Q11,"CCC","D")))))))</f>
        <v/>
      </c>
      <c r="AZ102" s="12">
        <f>IF(AY102="","",INDEX('状态价值'!$D11:$K11,MATCH(AY102,'状态价值'!$D$1:$K$1,0)))</f>
        <v/>
      </c>
      <c r="BA102" s="12">
        <f>G102+L102+Q102+V102+AA102+AF102+AK102+AP102+AU102+AZ102</f>
        <v/>
      </c>
      <c r="BB102" s="12">
        <f>SUM('组合输入'!$J$2:$J$11)-BA102</f>
        <v/>
      </c>
    </row>
    <row r="103">
      <c r="A103" s="11" t="n">
        <v>102</v>
      </c>
      <c r="B103" s="14">
        <f>NORM.S.INV(RAND())</f>
        <v/>
      </c>
      <c r="C103" s="14">
        <f>NORM.S.INV(RAND())</f>
        <v/>
      </c>
      <c r="D103" s="15">
        <f>IF('组合输入'!$C2="","",'组合输入'!$H2*$B103+SQRT(1-'组合输入'!$H2^2)*C103)</f>
        <v/>
      </c>
      <c r="E103" s="7">
        <f>IF(D103="","",NORM.S.DIST(D103,TRUE))</f>
        <v/>
      </c>
      <c r="F103" s="13">
        <f>IF(E103="","",IF(E103&lt;='组合输入'!$K2,"AAA",IF(E103&lt;='组合输入'!$L2,"AA",IF(E103&lt;='组合输入'!$M2,"A",IF(E103&lt;='组合输入'!$N2,"BBB",IF(E103&lt;='组合输入'!$O2,"BB",IF(E103&lt;='组合输入'!$P2,"B",IF(E103&lt;='组合输入'!$Q2,"CCC","D")))))))</f>
        <v/>
      </c>
      <c r="G103" s="12">
        <f>IF(F103="","",INDEX('状态价值'!$D2:$K2,MATCH(F103,'状态价值'!$D$1:$K$1,0)))</f>
        <v/>
      </c>
      <c r="H103" s="15">
        <f>NORM.S.INV(RAND())</f>
        <v/>
      </c>
      <c r="I103" s="15">
        <f>IF('组合输入'!$C3="","",'组合输入'!$H3*$B103+SQRT(1-'组合输入'!$H3^2)*H103)</f>
        <v/>
      </c>
      <c r="J103" s="7">
        <f>IF(I103="","",NORM.S.DIST(I103,TRUE))</f>
        <v/>
      </c>
      <c r="K103" s="13">
        <f>IF(J103="","",IF(J103&lt;='组合输入'!$K3,"AAA",IF(J103&lt;='组合输入'!$L3,"AA",IF(J103&lt;='组合输入'!$M3,"A",IF(J103&lt;='组合输入'!$N3,"BBB",IF(J103&lt;='组合输入'!$O3,"BB",IF(J103&lt;='组合输入'!$P3,"B",IF(J103&lt;='组合输入'!$Q3,"CCC","D")))))))</f>
        <v/>
      </c>
      <c r="L103" s="12">
        <f>IF(K103="","",INDEX('状态价值'!$D3:$K3,MATCH(K103,'状态价值'!$D$1:$K$1,0)))</f>
        <v/>
      </c>
      <c r="M103" s="15">
        <f>NORM.S.INV(RAND())</f>
        <v/>
      </c>
      <c r="N103" s="15">
        <f>IF('组合输入'!$C4="","",'组合输入'!$H4*$B103+SQRT(1-'组合输入'!$H4^2)*M103)</f>
        <v/>
      </c>
      <c r="O103" s="7">
        <f>IF(N103="","",NORM.S.DIST(N103,TRUE))</f>
        <v/>
      </c>
      <c r="P103" s="13">
        <f>IF(O103="","",IF(O103&lt;='组合输入'!$K4,"AAA",IF(O103&lt;='组合输入'!$L4,"AA",IF(O103&lt;='组合输入'!$M4,"A",IF(O103&lt;='组合输入'!$N4,"BBB",IF(O103&lt;='组合输入'!$O4,"BB",IF(O103&lt;='组合输入'!$P4,"B",IF(O103&lt;='组合输入'!$Q4,"CCC","D")))))))</f>
        <v/>
      </c>
      <c r="Q103" s="12">
        <f>IF(P103="","",INDEX('状态价值'!$D4:$K4,MATCH(P103,'状态价值'!$D$1:$K$1,0)))</f>
        <v/>
      </c>
      <c r="R103" s="15">
        <f>NORM.S.INV(RAND())</f>
        <v/>
      </c>
      <c r="S103" s="15">
        <f>IF('组合输入'!$C5="","",'组合输入'!$H5*$B103+SQRT(1-'组合输入'!$H5^2)*R103)</f>
        <v/>
      </c>
      <c r="T103" s="7">
        <f>IF(S103="","",NORM.S.DIST(S103,TRUE))</f>
        <v/>
      </c>
      <c r="U103" s="13">
        <f>IF(T103="","",IF(T103&lt;='组合输入'!$K5,"AAA",IF(T103&lt;='组合输入'!$L5,"AA",IF(T103&lt;='组合输入'!$M5,"A",IF(T103&lt;='组合输入'!$N5,"BBB",IF(T103&lt;='组合输入'!$O5,"BB",IF(T103&lt;='组合输入'!$P5,"B",IF(T103&lt;='组合输入'!$Q5,"CCC","D")))))))</f>
        <v/>
      </c>
      <c r="V103" s="12">
        <f>IF(U103="","",INDEX('状态价值'!$D5:$K5,MATCH(U103,'状态价值'!$D$1:$K$1,0)))</f>
        <v/>
      </c>
      <c r="W103" s="15">
        <f>NORM.S.INV(RAND())</f>
        <v/>
      </c>
      <c r="X103" s="15">
        <f>IF('组合输入'!$C6="","",'组合输入'!$H6*$B103+SQRT(1-'组合输入'!$H6^2)*W103)</f>
        <v/>
      </c>
      <c r="Y103" s="7">
        <f>IF(X103="","",NORM.S.DIST(X103,TRUE))</f>
        <v/>
      </c>
      <c r="Z103" s="13">
        <f>IF(Y103="","",IF(Y103&lt;='组合输入'!$K6,"AAA",IF(Y103&lt;='组合输入'!$L6,"AA",IF(Y103&lt;='组合输入'!$M6,"A",IF(Y103&lt;='组合输入'!$N6,"BBB",IF(Y103&lt;='组合输入'!$O6,"BB",IF(Y103&lt;='组合输入'!$P6,"B",IF(Y103&lt;='组合输入'!$Q6,"CCC","D")))))))</f>
        <v/>
      </c>
      <c r="AA103" s="12">
        <f>IF(Z103="","",INDEX('状态价值'!$D6:$K6,MATCH(Z103,'状态价值'!$D$1:$K$1,0)))</f>
        <v/>
      </c>
      <c r="AB103" s="15">
        <f>NORM.S.INV(RAND())</f>
        <v/>
      </c>
      <c r="AC103" s="15">
        <f>IF('组合输入'!$C7="","",'组合输入'!$H7*$B103+SQRT(1-'组合输入'!$H7^2)*AB103)</f>
        <v/>
      </c>
      <c r="AD103" s="7">
        <f>IF(AC103="","",NORM.S.DIST(AC103,TRUE))</f>
        <v/>
      </c>
      <c r="AE103" s="13">
        <f>IF(AD103="","",IF(AD103&lt;='组合输入'!$K7,"AAA",IF(AD103&lt;='组合输入'!$L7,"AA",IF(AD103&lt;='组合输入'!$M7,"A",IF(AD103&lt;='组合输入'!$N7,"BBB",IF(AD103&lt;='组合输入'!$O7,"BB",IF(AD103&lt;='组合输入'!$P7,"B",IF(AD103&lt;='组合输入'!$Q7,"CCC","D")))))))</f>
        <v/>
      </c>
      <c r="AF103" s="12">
        <f>IF(AE103="","",INDEX('状态价值'!$D7:$K7,MATCH(AE103,'状态价值'!$D$1:$K$1,0)))</f>
        <v/>
      </c>
      <c r="AG103" s="15">
        <f>NORM.S.INV(RAND())</f>
        <v/>
      </c>
      <c r="AH103" s="15">
        <f>IF('组合输入'!$C8="","",'组合输入'!$H8*$B103+SQRT(1-'组合输入'!$H8^2)*AG103)</f>
        <v/>
      </c>
      <c r="AI103" s="7">
        <f>IF(AH103="","",NORM.S.DIST(AH103,TRUE))</f>
        <v/>
      </c>
      <c r="AJ103" s="13">
        <f>IF(AI103="","",IF(AI103&lt;='组合输入'!$K8,"AAA",IF(AI103&lt;='组合输入'!$L8,"AA",IF(AI103&lt;='组合输入'!$M8,"A",IF(AI103&lt;='组合输入'!$N8,"BBB",IF(AI103&lt;='组合输入'!$O8,"BB",IF(AI103&lt;='组合输入'!$P8,"B",IF(AI103&lt;='组合输入'!$Q8,"CCC","D")))))))</f>
        <v/>
      </c>
      <c r="AK103" s="12">
        <f>IF(AJ103="","",INDEX('状态价值'!$D8:$K8,MATCH(AJ103,'状态价值'!$D$1:$K$1,0)))</f>
        <v/>
      </c>
      <c r="AL103" s="15">
        <f>NORM.S.INV(RAND())</f>
        <v/>
      </c>
      <c r="AM103" s="15">
        <f>IF('组合输入'!$C9="","",'组合输入'!$H9*$B103+SQRT(1-'组合输入'!$H9^2)*AL103)</f>
        <v/>
      </c>
      <c r="AN103" s="7">
        <f>IF(AM103="","",NORM.S.DIST(AM103,TRUE))</f>
        <v/>
      </c>
      <c r="AO103" s="13">
        <f>IF(AN103="","",IF(AN103&lt;='组合输入'!$K9,"AAA",IF(AN103&lt;='组合输入'!$L9,"AA",IF(AN103&lt;='组合输入'!$M9,"A",IF(AN103&lt;='组合输入'!$N9,"BBB",IF(AN103&lt;='组合输入'!$O9,"BB",IF(AN103&lt;='组合输入'!$P9,"B",IF(AN103&lt;='组合输入'!$Q9,"CCC","D")))))))</f>
        <v/>
      </c>
      <c r="AP103" s="12">
        <f>IF(AO103="","",INDEX('状态价值'!$D9:$K9,MATCH(AO103,'状态价值'!$D$1:$K$1,0)))</f>
        <v/>
      </c>
      <c r="AQ103" s="15">
        <f>NORM.S.INV(RAND())</f>
        <v/>
      </c>
      <c r="AR103" s="15">
        <f>IF('组合输入'!$C10="","",'组合输入'!$H10*$B103+SQRT(1-'组合输入'!$H10^2)*AQ103)</f>
        <v/>
      </c>
      <c r="AS103" s="7">
        <f>IF(AR103="","",NORM.S.DIST(AR103,TRUE))</f>
        <v/>
      </c>
      <c r="AT103" s="13">
        <f>IF(AS103="","",IF(AS103&lt;='组合输入'!$K10,"AAA",IF(AS103&lt;='组合输入'!$L10,"AA",IF(AS103&lt;='组合输入'!$M10,"A",IF(AS103&lt;='组合输入'!$N10,"BBB",IF(AS103&lt;='组合输入'!$O10,"BB",IF(AS103&lt;='组合输入'!$P10,"B",IF(AS103&lt;='组合输入'!$Q10,"CCC","D")))))))</f>
        <v/>
      </c>
      <c r="AU103" s="12">
        <f>IF(AT103="","",INDEX('状态价值'!$D10:$K10,MATCH(AT103,'状态价值'!$D$1:$K$1,0)))</f>
        <v/>
      </c>
      <c r="AV103" s="15">
        <f>NORM.S.INV(RAND())</f>
        <v/>
      </c>
      <c r="AW103" s="15">
        <f>IF('组合输入'!$C11="","",'组合输入'!$H11*$B103+SQRT(1-'组合输入'!$H11^2)*AV103)</f>
        <v/>
      </c>
      <c r="AX103" s="7">
        <f>IF(AW103="","",NORM.S.DIST(AW103,TRUE))</f>
        <v/>
      </c>
      <c r="AY103" s="13">
        <f>IF(AX103="","",IF(AX103&lt;='组合输入'!$K11,"AAA",IF(AX103&lt;='组合输入'!$L11,"AA",IF(AX103&lt;='组合输入'!$M11,"A",IF(AX103&lt;='组合输入'!$N11,"BBB",IF(AX103&lt;='组合输入'!$O11,"BB",IF(AX103&lt;='组合输入'!$P11,"B",IF(AX103&lt;='组合输入'!$Q11,"CCC","D")))))))</f>
        <v/>
      </c>
      <c r="AZ103" s="12">
        <f>IF(AY103="","",INDEX('状态价值'!$D11:$K11,MATCH(AY103,'状态价值'!$D$1:$K$1,0)))</f>
        <v/>
      </c>
      <c r="BA103" s="12">
        <f>G103+L103+Q103+V103+AA103+AF103+AK103+AP103+AU103+AZ103</f>
        <v/>
      </c>
      <c r="BB103" s="12">
        <f>SUM('组合输入'!$J$2:$J$11)-BA103</f>
        <v/>
      </c>
    </row>
    <row r="104">
      <c r="A104" s="11" t="n">
        <v>103</v>
      </c>
      <c r="B104" s="14">
        <f>NORM.S.INV(RAND())</f>
        <v/>
      </c>
      <c r="C104" s="14">
        <f>NORM.S.INV(RAND())</f>
        <v/>
      </c>
      <c r="D104" s="15">
        <f>IF('组合输入'!$C2="","",'组合输入'!$H2*$B104+SQRT(1-'组合输入'!$H2^2)*C104)</f>
        <v/>
      </c>
      <c r="E104" s="7">
        <f>IF(D104="","",NORM.S.DIST(D104,TRUE))</f>
        <v/>
      </c>
      <c r="F104" s="13">
        <f>IF(E104="","",IF(E104&lt;='组合输入'!$K2,"AAA",IF(E104&lt;='组合输入'!$L2,"AA",IF(E104&lt;='组合输入'!$M2,"A",IF(E104&lt;='组合输入'!$N2,"BBB",IF(E104&lt;='组合输入'!$O2,"BB",IF(E104&lt;='组合输入'!$P2,"B",IF(E104&lt;='组合输入'!$Q2,"CCC","D")))))))</f>
        <v/>
      </c>
      <c r="G104" s="12">
        <f>IF(F104="","",INDEX('状态价值'!$D2:$K2,MATCH(F104,'状态价值'!$D$1:$K$1,0)))</f>
        <v/>
      </c>
      <c r="H104" s="15">
        <f>NORM.S.INV(RAND())</f>
        <v/>
      </c>
      <c r="I104" s="15">
        <f>IF('组合输入'!$C3="","",'组合输入'!$H3*$B104+SQRT(1-'组合输入'!$H3^2)*H104)</f>
        <v/>
      </c>
      <c r="J104" s="7">
        <f>IF(I104="","",NORM.S.DIST(I104,TRUE))</f>
        <v/>
      </c>
      <c r="K104" s="13">
        <f>IF(J104="","",IF(J104&lt;='组合输入'!$K3,"AAA",IF(J104&lt;='组合输入'!$L3,"AA",IF(J104&lt;='组合输入'!$M3,"A",IF(J104&lt;='组合输入'!$N3,"BBB",IF(J104&lt;='组合输入'!$O3,"BB",IF(J104&lt;='组合输入'!$P3,"B",IF(J104&lt;='组合输入'!$Q3,"CCC","D")))))))</f>
        <v/>
      </c>
      <c r="L104" s="12">
        <f>IF(K104="","",INDEX('状态价值'!$D3:$K3,MATCH(K104,'状态价值'!$D$1:$K$1,0)))</f>
        <v/>
      </c>
      <c r="M104" s="15">
        <f>NORM.S.INV(RAND())</f>
        <v/>
      </c>
      <c r="N104" s="15">
        <f>IF('组合输入'!$C4="","",'组合输入'!$H4*$B104+SQRT(1-'组合输入'!$H4^2)*M104)</f>
        <v/>
      </c>
      <c r="O104" s="7">
        <f>IF(N104="","",NORM.S.DIST(N104,TRUE))</f>
        <v/>
      </c>
      <c r="P104" s="13">
        <f>IF(O104="","",IF(O104&lt;='组合输入'!$K4,"AAA",IF(O104&lt;='组合输入'!$L4,"AA",IF(O104&lt;='组合输入'!$M4,"A",IF(O104&lt;='组合输入'!$N4,"BBB",IF(O104&lt;='组合输入'!$O4,"BB",IF(O104&lt;='组合输入'!$P4,"B",IF(O104&lt;='组合输入'!$Q4,"CCC","D")))))))</f>
        <v/>
      </c>
      <c r="Q104" s="12">
        <f>IF(P104="","",INDEX('状态价值'!$D4:$K4,MATCH(P104,'状态价值'!$D$1:$K$1,0)))</f>
        <v/>
      </c>
      <c r="R104" s="15">
        <f>NORM.S.INV(RAND())</f>
        <v/>
      </c>
      <c r="S104" s="15">
        <f>IF('组合输入'!$C5="","",'组合输入'!$H5*$B104+SQRT(1-'组合输入'!$H5^2)*R104)</f>
        <v/>
      </c>
      <c r="T104" s="7">
        <f>IF(S104="","",NORM.S.DIST(S104,TRUE))</f>
        <v/>
      </c>
      <c r="U104" s="13">
        <f>IF(T104="","",IF(T104&lt;='组合输入'!$K5,"AAA",IF(T104&lt;='组合输入'!$L5,"AA",IF(T104&lt;='组合输入'!$M5,"A",IF(T104&lt;='组合输入'!$N5,"BBB",IF(T104&lt;='组合输入'!$O5,"BB",IF(T104&lt;='组合输入'!$P5,"B",IF(T104&lt;='组合输入'!$Q5,"CCC","D")))))))</f>
        <v/>
      </c>
      <c r="V104" s="12">
        <f>IF(U104="","",INDEX('状态价值'!$D5:$K5,MATCH(U104,'状态价值'!$D$1:$K$1,0)))</f>
        <v/>
      </c>
      <c r="W104" s="15">
        <f>NORM.S.INV(RAND())</f>
        <v/>
      </c>
      <c r="X104" s="15">
        <f>IF('组合输入'!$C6="","",'组合输入'!$H6*$B104+SQRT(1-'组合输入'!$H6^2)*W104)</f>
        <v/>
      </c>
      <c r="Y104" s="7">
        <f>IF(X104="","",NORM.S.DIST(X104,TRUE))</f>
        <v/>
      </c>
      <c r="Z104" s="13">
        <f>IF(Y104="","",IF(Y104&lt;='组合输入'!$K6,"AAA",IF(Y104&lt;='组合输入'!$L6,"AA",IF(Y104&lt;='组合输入'!$M6,"A",IF(Y104&lt;='组合输入'!$N6,"BBB",IF(Y104&lt;='组合输入'!$O6,"BB",IF(Y104&lt;='组合输入'!$P6,"B",IF(Y104&lt;='组合输入'!$Q6,"CCC","D")))))))</f>
        <v/>
      </c>
      <c r="AA104" s="12">
        <f>IF(Z104="","",INDEX('状态价值'!$D6:$K6,MATCH(Z104,'状态价值'!$D$1:$K$1,0)))</f>
        <v/>
      </c>
      <c r="AB104" s="15">
        <f>NORM.S.INV(RAND())</f>
        <v/>
      </c>
      <c r="AC104" s="15">
        <f>IF('组合输入'!$C7="","",'组合输入'!$H7*$B104+SQRT(1-'组合输入'!$H7^2)*AB104)</f>
        <v/>
      </c>
      <c r="AD104" s="7">
        <f>IF(AC104="","",NORM.S.DIST(AC104,TRUE))</f>
        <v/>
      </c>
      <c r="AE104" s="13">
        <f>IF(AD104="","",IF(AD104&lt;='组合输入'!$K7,"AAA",IF(AD104&lt;='组合输入'!$L7,"AA",IF(AD104&lt;='组合输入'!$M7,"A",IF(AD104&lt;='组合输入'!$N7,"BBB",IF(AD104&lt;='组合输入'!$O7,"BB",IF(AD104&lt;='组合输入'!$P7,"B",IF(AD104&lt;='组合输入'!$Q7,"CCC","D")))))))</f>
        <v/>
      </c>
      <c r="AF104" s="12">
        <f>IF(AE104="","",INDEX('状态价值'!$D7:$K7,MATCH(AE104,'状态价值'!$D$1:$K$1,0)))</f>
        <v/>
      </c>
      <c r="AG104" s="15">
        <f>NORM.S.INV(RAND())</f>
        <v/>
      </c>
      <c r="AH104" s="15">
        <f>IF('组合输入'!$C8="","",'组合输入'!$H8*$B104+SQRT(1-'组合输入'!$H8^2)*AG104)</f>
        <v/>
      </c>
      <c r="AI104" s="7">
        <f>IF(AH104="","",NORM.S.DIST(AH104,TRUE))</f>
        <v/>
      </c>
      <c r="AJ104" s="13">
        <f>IF(AI104="","",IF(AI104&lt;='组合输入'!$K8,"AAA",IF(AI104&lt;='组合输入'!$L8,"AA",IF(AI104&lt;='组合输入'!$M8,"A",IF(AI104&lt;='组合输入'!$N8,"BBB",IF(AI104&lt;='组合输入'!$O8,"BB",IF(AI104&lt;='组合输入'!$P8,"B",IF(AI104&lt;='组合输入'!$Q8,"CCC","D")))))))</f>
        <v/>
      </c>
      <c r="AK104" s="12">
        <f>IF(AJ104="","",INDEX('状态价值'!$D8:$K8,MATCH(AJ104,'状态价值'!$D$1:$K$1,0)))</f>
        <v/>
      </c>
      <c r="AL104" s="15">
        <f>NORM.S.INV(RAND())</f>
        <v/>
      </c>
      <c r="AM104" s="15">
        <f>IF('组合输入'!$C9="","",'组合输入'!$H9*$B104+SQRT(1-'组合输入'!$H9^2)*AL104)</f>
        <v/>
      </c>
      <c r="AN104" s="7">
        <f>IF(AM104="","",NORM.S.DIST(AM104,TRUE))</f>
        <v/>
      </c>
      <c r="AO104" s="13">
        <f>IF(AN104="","",IF(AN104&lt;='组合输入'!$K9,"AAA",IF(AN104&lt;='组合输入'!$L9,"AA",IF(AN104&lt;='组合输入'!$M9,"A",IF(AN104&lt;='组合输入'!$N9,"BBB",IF(AN104&lt;='组合输入'!$O9,"BB",IF(AN104&lt;='组合输入'!$P9,"B",IF(AN104&lt;='组合输入'!$Q9,"CCC","D")))))))</f>
        <v/>
      </c>
      <c r="AP104" s="12">
        <f>IF(AO104="","",INDEX('状态价值'!$D9:$K9,MATCH(AO104,'状态价值'!$D$1:$K$1,0)))</f>
        <v/>
      </c>
      <c r="AQ104" s="15">
        <f>NORM.S.INV(RAND())</f>
        <v/>
      </c>
      <c r="AR104" s="15">
        <f>IF('组合输入'!$C10="","",'组合输入'!$H10*$B104+SQRT(1-'组合输入'!$H10^2)*AQ104)</f>
        <v/>
      </c>
      <c r="AS104" s="7">
        <f>IF(AR104="","",NORM.S.DIST(AR104,TRUE))</f>
        <v/>
      </c>
      <c r="AT104" s="13">
        <f>IF(AS104="","",IF(AS104&lt;='组合输入'!$K10,"AAA",IF(AS104&lt;='组合输入'!$L10,"AA",IF(AS104&lt;='组合输入'!$M10,"A",IF(AS104&lt;='组合输入'!$N10,"BBB",IF(AS104&lt;='组合输入'!$O10,"BB",IF(AS104&lt;='组合输入'!$P10,"B",IF(AS104&lt;='组合输入'!$Q10,"CCC","D")))))))</f>
        <v/>
      </c>
      <c r="AU104" s="12">
        <f>IF(AT104="","",INDEX('状态价值'!$D10:$K10,MATCH(AT104,'状态价值'!$D$1:$K$1,0)))</f>
        <v/>
      </c>
      <c r="AV104" s="15">
        <f>NORM.S.INV(RAND())</f>
        <v/>
      </c>
      <c r="AW104" s="15">
        <f>IF('组合输入'!$C11="","",'组合输入'!$H11*$B104+SQRT(1-'组合输入'!$H11^2)*AV104)</f>
        <v/>
      </c>
      <c r="AX104" s="7">
        <f>IF(AW104="","",NORM.S.DIST(AW104,TRUE))</f>
        <v/>
      </c>
      <c r="AY104" s="13">
        <f>IF(AX104="","",IF(AX104&lt;='组合输入'!$K11,"AAA",IF(AX104&lt;='组合输入'!$L11,"AA",IF(AX104&lt;='组合输入'!$M11,"A",IF(AX104&lt;='组合输入'!$N11,"BBB",IF(AX104&lt;='组合输入'!$O11,"BB",IF(AX104&lt;='组合输入'!$P11,"B",IF(AX104&lt;='组合输入'!$Q11,"CCC","D")))))))</f>
        <v/>
      </c>
      <c r="AZ104" s="12">
        <f>IF(AY104="","",INDEX('状态价值'!$D11:$K11,MATCH(AY104,'状态价值'!$D$1:$K$1,0)))</f>
        <v/>
      </c>
      <c r="BA104" s="12">
        <f>G104+L104+Q104+V104+AA104+AF104+AK104+AP104+AU104+AZ104</f>
        <v/>
      </c>
      <c r="BB104" s="12">
        <f>SUM('组合输入'!$J$2:$J$11)-BA104</f>
        <v/>
      </c>
    </row>
    <row r="105">
      <c r="A105" s="11" t="n">
        <v>104</v>
      </c>
      <c r="B105" s="14">
        <f>NORM.S.INV(RAND())</f>
        <v/>
      </c>
      <c r="C105" s="14">
        <f>NORM.S.INV(RAND())</f>
        <v/>
      </c>
      <c r="D105" s="15">
        <f>IF('组合输入'!$C2="","",'组合输入'!$H2*$B105+SQRT(1-'组合输入'!$H2^2)*C105)</f>
        <v/>
      </c>
      <c r="E105" s="7">
        <f>IF(D105="","",NORM.S.DIST(D105,TRUE))</f>
        <v/>
      </c>
      <c r="F105" s="13">
        <f>IF(E105="","",IF(E105&lt;='组合输入'!$K2,"AAA",IF(E105&lt;='组合输入'!$L2,"AA",IF(E105&lt;='组合输入'!$M2,"A",IF(E105&lt;='组合输入'!$N2,"BBB",IF(E105&lt;='组合输入'!$O2,"BB",IF(E105&lt;='组合输入'!$P2,"B",IF(E105&lt;='组合输入'!$Q2,"CCC","D")))))))</f>
        <v/>
      </c>
      <c r="G105" s="12">
        <f>IF(F105="","",INDEX('状态价值'!$D2:$K2,MATCH(F105,'状态价值'!$D$1:$K$1,0)))</f>
        <v/>
      </c>
      <c r="H105" s="15">
        <f>NORM.S.INV(RAND())</f>
        <v/>
      </c>
      <c r="I105" s="15">
        <f>IF('组合输入'!$C3="","",'组合输入'!$H3*$B105+SQRT(1-'组合输入'!$H3^2)*H105)</f>
        <v/>
      </c>
      <c r="J105" s="7">
        <f>IF(I105="","",NORM.S.DIST(I105,TRUE))</f>
        <v/>
      </c>
      <c r="K105" s="13">
        <f>IF(J105="","",IF(J105&lt;='组合输入'!$K3,"AAA",IF(J105&lt;='组合输入'!$L3,"AA",IF(J105&lt;='组合输入'!$M3,"A",IF(J105&lt;='组合输入'!$N3,"BBB",IF(J105&lt;='组合输入'!$O3,"BB",IF(J105&lt;='组合输入'!$P3,"B",IF(J105&lt;='组合输入'!$Q3,"CCC","D")))))))</f>
        <v/>
      </c>
      <c r="L105" s="12">
        <f>IF(K105="","",INDEX('状态价值'!$D3:$K3,MATCH(K105,'状态价值'!$D$1:$K$1,0)))</f>
        <v/>
      </c>
      <c r="M105" s="15">
        <f>NORM.S.INV(RAND())</f>
        <v/>
      </c>
      <c r="N105" s="15">
        <f>IF('组合输入'!$C4="","",'组合输入'!$H4*$B105+SQRT(1-'组合输入'!$H4^2)*M105)</f>
        <v/>
      </c>
      <c r="O105" s="7">
        <f>IF(N105="","",NORM.S.DIST(N105,TRUE))</f>
        <v/>
      </c>
      <c r="P105" s="13">
        <f>IF(O105="","",IF(O105&lt;='组合输入'!$K4,"AAA",IF(O105&lt;='组合输入'!$L4,"AA",IF(O105&lt;='组合输入'!$M4,"A",IF(O105&lt;='组合输入'!$N4,"BBB",IF(O105&lt;='组合输入'!$O4,"BB",IF(O105&lt;='组合输入'!$P4,"B",IF(O105&lt;='组合输入'!$Q4,"CCC","D")))))))</f>
        <v/>
      </c>
      <c r="Q105" s="12">
        <f>IF(P105="","",INDEX('状态价值'!$D4:$K4,MATCH(P105,'状态价值'!$D$1:$K$1,0)))</f>
        <v/>
      </c>
      <c r="R105" s="15">
        <f>NORM.S.INV(RAND())</f>
        <v/>
      </c>
      <c r="S105" s="15">
        <f>IF('组合输入'!$C5="","",'组合输入'!$H5*$B105+SQRT(1-'组合输入'!$H5^2)*R105)</f>
        <v/>
      </c>
      <c r="T105" s="7">
        <f>IF(S105="","",NORM.S.DIST(S105,TRUE))</f>
        <v/>
      </c>
      <c r="U105" s="13">
        <f>IF(T105="","",IF(T105&lt;='组合输入'!$K5,"AAA",IF(T105&lt;='组合输入'!$L5,"AA",IF(T105&lt;='组合输入'!$M5,"A",IF(T105&lt;='组合输入'!$N5,"BBB",IF(T105&lt;='组合输入'!$O5,"BB",IF(T105&lt;='组合输入'!$P5,"B",IF(T105&lt;='组合输入'!$Q5,"CCC","D")))))))</f>
        <v/>
      </c>
      <c r="V105" s="12">
        <f>IF(U105="","",INDEX('状态价值'!$D5:$K5,MATCH(U105,'状态价值'!$D$1:$K$1,0)))</f>
        <v/>
      </c>
      <c r="W105" s="15">
        <f>NORM.S.INV(RAND())</f>
        <v/>
      </c>
      <c r="X105" s="15">
        <f>IF('组合输入'!$C6="","",'组合输入'!$H6*$B105+SQRT(1-'组合输入'!$H6^2)*W105)</f>
        <v/>
      </c>
      <c r="Y105" s="7">
        <f>IF(X105="","",NORM.S.DIST(X105,TRUE))</f>
        <v/>
      </c>
      <c r="Z105" s="13">
        <f>IF(Y105="","",IF(Y105&lt;='组合输入'!$K6,"AAA",IF(Y105&lt;='组合输入'!$L6,"AA",IF(Y105&lt;='组合输入'!$M6,"A",IF(Y105&lt;='组合输入'!$N6,"BBB",IF(Y105&lt;='组合输入'!$O6,"BB",IF(Y105&lt;='组合输入'!$P6,"B",IF(Y105&lt;='组合输入'!$Q6,"CCC","D")))))))</f>
        <v/>
      </c>
      <c r="AA105" s="12">
        <f>IF(Z105="","",INDEX('状态价值'!$D6:$K6,MATCH(Z105,'状态价值'!$D$1:$K$1,0)))</f>
        <v/>
      </c>
      <c r="AB105" s="15">
        <f>NORM.S.INV(RAND())</f>
        <v/>
      </c>
      <c r="AC105" s="15">
        <f>IF('组合输入'!$C7="","",'组合输入'!$H7*$B105+SQRT(1-'组合输入'!$H7^2)*AB105)</f>
        <v/>
      </c>
      <c r="AD105" s="7">
        <f>IF(AC105="","",NORM.S.DIST(AC105,TRUE))</f>
        <v/>
      </c>
      <c r="AE105" s="13">
        <f>IF(AD105="","",IF(AD105&lt;='组合输入'!$K7,"AAA",IF(AD105&lt;='组合输入'!$L7,"AA",IF(AD105&lt;='组合输入'!$M7,"A",IF(AD105&lt;='组合输入'!$N7,"BBB",IF(AD105&lt;='组合输入'!$O7,"BB",IF(AD105&lt;='组合输入'!$P7,"B",IF(AD105&lt;='组合输入'!$Q7,"CCC","D")))))))</f>
        <v/>
      </c>
      <c r="AF105" s="12">
        <f>IF(AE105="","",INDEX('状态价值'!$D7:$K7,MATCH(AE105,'状态价值'!$D$1:$K$1,0)))</f>
        <v/>
      </c>
      <c r="AG105" s="15">
        <f>NORM.S.INV(RAND())</f>
        <v/>
      </c>
      <c r="AH105" s="15">
        <f>IF('组合输入'!$C8="","",'组合输入'!$H8*$B105+SQRT(1-'组合输入'!$H8^2)*AG105)</f>
        <v/>
      </c>
      <c r="AI105" s="7">
        <f>IF(AH105="","",NORM.S.DIST(AH105,TRUE))</f>
        <v/>
      </c>
      <c r="AJ105" s="13">
        <f>IF(AI105="","",IF(AI105&lt;='组合输入'!$K8,"AAA",IF(AI105&lt;='组合输入'!$L8,"AA",IF(AI105&lt;='组合输入'!$M8,"A",IF(AI105&lt;='组合输入'!$N8,"BBB",IF(AI105&lt;='组合输入'!$O8,"BB",IF(AI105&lt;='组合输入'!$P8,"B",IF(AI105&lt;='组合输入'!$Q8,"CCC","D")))))))</f>
        <v/>
      </c>
      <c r="AK105" s="12">
        <f>IF(AJ105="","",INDEX('状态价值'!$D8:$K8,MATCH(AJ105,'状态价值'!$D$1:$K$1,0)))</f>
        <v/>
      </c>
      <c r="AL105" s="15">
        <f>NORM.S.INV(RAND())</f>
        <v/>
      </c>
      <c r="AM105" s="15">
        <f>IF('组合输入'!$C9="","",'组合输入'!$H9*$B105+SQRT(1-'组合输入'!$H9^2)*AL105)</f>
        <v/>
      </c>
      <c r="AN105" s="7">
        <f>IF(AM105="","",NORM.S.DIST(AM105,TRUE))</f>
        <v/>
      </c>
      <c r="AO105" s="13">
        <f>IF(AN105="","",IF(AN105&lt;='组合输入'!$K9,"AAA",IF(AN105&lt;='组合输入'!$L9,"AA",IF(AN105&lt;='组合输入'!$M9,"A",IF(AN105&lt;='组合输入'!$N9,"BBB",IF(AN105&lt;='组合输入'!$O9,"BB",IF(AN105&lt;='组合输入'!$P9,"B",IF(AN105&lt;='组合输入'!$Q9,"CCC","D")))))))</f>
        <v/>
      </c>
      <c r="AP105" s="12">
        <f>IF(AO105="","",INDEX('状态价值'!$D9:$K9,MATCH(AO105,'状态价值'!$D$1:$K$1,0)))</f>
        <v/>
      </c>
      <c r="AQ105" s="15">
        <f>NORM.S.INV(RAND())</f>
        <v/>
      </c>
      <c r="AR105" s="15">
        <f>IF('组合输入'!$C10="","",'组合输入'!$H10*$B105+SQRT(1-'组合输入'!$H10^2)*AQ105)</f>
        <v/>
      </c>
      <c r="AS105" s="7">
        <f>IF(AR105="","",NORM.S.DIST(AR105,TRUE))</f>
        <v/>
      </c>
      <c r="AT105" s="13">
        <f>IF(AS105="","",IF(AS105&lt;='组合输入'!$K10,"AAA",IF(AS105&lt;='组合输入'!$L10,"AA",IF(AS105&lt;='组合输入'!$M10,"A",IF(AS105&lt;='组合输入'!$N10,"BBB",IF(AS105&lt;='组合输入'!$O10,"BB",IF(AS105&lt;='组合输入'!$P10,"B",IF(AS105&lt;='组合输入'!$Q10,"CCC","D")))))))</f>
        <v/>
      </c>
      <c r="AU105" s="12">
        <f>IF(AT105="","",INDEX('状态价值'!$D10:$K10,MATCH(AT105,'状态价值'!$D$1:$K$1,0)))</f>
        <v/>
      </c>
      <c r="AV105" s="15">
        <f>NORM.S.INV(RAND())</f>
        <v/>
      </c>
      <c r="AW105" s="15">
        <f>IF('组合输入'!$C11="","",'组合输入'!$H11*$B105+SQRT(1-'组合输入'!$H11^2)*AV105)</f>
        <v/>
      </c>
      <c r="AX105" s="7">
        <f>IF(AW105="","",NORM.S.DIST(AW105,TRUE))</f>
        <v/>
      </c>
      <c r="AY105" s="13">
        <f>IF(AX105="","",IF(AX105&lt;='组合输入'!$K11,"AAA",IF(AX105&lt;='组合输入'!$L11,"AA",IF(AX105&lt;='组合输入'!$M11,"A",IF(AX105&lt;='组合输入'!$N11,"BBB",IF(AX105&lt;='组合输入'!$O11,"BB",IF(AX105&lt;='组合输入'!$P11,"B",IF(AX105&lt;='组合输入'!$Q11,"CCC","D")))))))</f>
        <v/>
      </c>
      <c r="AZ105" s="12">
        <f>IF(AY105="","",INDEX('状态价值'!$D11:$K11,MATCH(AY105,'状态价值'!$D$1:$K$1,0)))</f>
        <v/>
      </c>
      <c r="BA105" s="12">
        <f>G105+L105+Q105+V105+AA105+AF105+AK105+AP105+AU105+AZ105</f>
        <v/>
      </c>
      <c r="BB105" s="12">
        <f>SUM('组合输入'!$J$2:$J$11)-BA105</f>
        <v/>
      </c>
    </row>
    <row r="106">
      <c r="A106" s="11" t="n">
        <v>105</v>
      </c>
      <c r="B106" s="14">
        <f>NORM.S.INV(RAND())</f>
        <v/>
      </c>
      <c r="C106" s="14">
        <f>NORM.S.INV(RAND())</f>
        <v/>
      </c>
      <c r="D106" s="15">
        <f>IF('组合输入'!$C2="","",'组合输入'!$H2*$B106+SQRT(1-'组合输入'!$H2^2)*C106)</f>
        <v/>
      </c>
      <c r="E106" s="7">
        <f>IF(D106="","",NORM.S.DIST(D106,TRUE))</f>
        <v/>
      </c>
      <c r="F106" s="13">
        <f>IF(E106="","",IF(E106&lt;='组合输入'!$K2,"AAA",IF(E106&lt;='组合输入'!$L2,"AA",IF(E106&lt;='组合输入'!$M2,"A",IF(E106&lt;='组合输入'!$N2,"BBB",IF(E106&lt;='组合输入'!$O2,"BB",IF(E106&lt;='组合输入'!$P2,"B",IF(E106&lt;='组合输入'!$Q2,"CCC","D")))))))</f>
        <v/>
      </c>
      <c r="G106" s="12">
        <f>IF(F106="","",INDEX('状态价值'!$D2:$K2,MATCH(F106,'状态价值'!$D$1:$K$1,0)))</f>
        <v/>
      </c>
      <c r="H106" s="15">
        <f>NORM.S.INV(RAND())</f>
        <v/>
      </c>
      <c r="I106" s="15">
        <f>IF('组合输入'!$C3="","",'组合输入'!$H3*$B106+SQRT(1-'组合输入'!$H3^2)*H106)</f>
        <v/>
      </c>
      <c r="J106" s="7">
        <f>IF(I106="","",NORM.S.DIST(I106,TRUE))</f>
        <v/>
      </c>
      <c r="K106" s="13">
        <f>IF(J106="","",IF(J106&lt;='组合输入'!$K3,"AAA",IF(J106&lt;='组合输入'!$L3,"AA",IF(J106&lt;='组合输入'!$M3,"A",IF(J106&lt;='组合输入'!$N3,"BBB",IF(J106&lt;='组合输入'!$O3,"BB",IF(J106&lt;='组合输入'!$P3,"B",IF(J106&lt;='组合输入'!$Q3,"CCC","D")))))))</f>
        <v/>
      </c>
      <c r="L106" s="12">
        <f>IF(K106="","",INDEX('状态价值'!$D3:$K3,MATCH(K106,'状态价值'!$D$1:$K$1,0)))</f>
        <v/>
      </c>
      <c r="M106" s="15">
        <f>NORM.S.INV(RAND())</f>
        <v/>
      </c>
      <c r="N106" s="15">
        <f>IF('组合输入'!$C4="","",'组合输入'!$H4*$B106+SQRT(1-'组合输入'!$H4^2)*M106)</f>
        <v/>
      </c>
      <c r="O106" s="7">
        <f>IF(N106="","",NORM.S.DIST(N106,TRUE))</f>
        <v/>
      </c>
      <c r="P106" s="13">
        <f>IF(O106="","",IF(O106&lt;='组合输入'!$K4,"AAA",IF(O106&lt;='组合输入'!$L4,"AA",IF(O106&lt;='组合输入'!$M4,"A",IF(O106&lt;='组合输入'!$N4,"BBB",IF(O106&lt;='组合输入'!$O4,"BB",IF(O106&lt;='组合输入'!$P4,"B",IF(O106&lt;='组合输入'!$Q4,"CCC","D")))))))</f>
        <v/>
      </c>
      <c r="Q106" s="12">
        <f>IF(P106="","",INDEX('状态价值'!$D4:$K4,MATCH(P106,'状态价值'!$D$1:$K$1,0)))</f>
        <v/>
      </c>
      <c r="R106" s="15">
        <f>NORM.S.INV(RAND())</f>
        <v/>
      </c>
      <c r="S106" s="15">
        <f>IF('组合输入'!$C5="","",'组合输入'!$H5*$B106+SQRT(1-'组合输入'!$H5^2)*R106)</f>
        <v/>
      </c>
      <c r="T106" s="7">
        <f>IF(S106="","",NORM.S.DIST(S106,TRUE))</f>
        <v/>
      </c>
      <c r="U106" s="13">
        <f>IF(T106="","",IF(T106&lt;='组合输入'!$K5,"AAA",IF(T106&lt;='组合输入'!$L5,"AA",IF(T106&lt;='组合输入'!$M5,"A",IF(T106&lt;='组合输入'!$N5,"BBB",IF(T106&lt;='组合输入'!$O5,"BB",IF(T106&lt;='组合输入'!$P5,"B",IF(T106&lt;='组合输入'!$Q5,"CCC","D")))))))</f>
        <v/>
      </c>
      <c r="V106" s="12">
        <f>IF(U106="","",INDEX('状态价值'!$D5:$K5,MATCH(U106,'状态价值'!$D$1:$K$1,0)))</f>
        <v/>
      </c>
      <c r="W106" s="15">
        <f>NORM.S.INV(RAND())</f>
        <v/>
      </c>
      <c r="X106" s="15">
        <f>IF('组合输入'!$C6="","",'组合输入'!$H6*$B106+SQRT(1-'组合输入'!$H6^2)*W106)</f>
        <v/>
      </c>
      <c r="Y106" s="7">
        <f>IF(X106="","",NORM.S.DIST(X106,TRUE))</f>
        <v/>
      </c>
      <c r="Z106" s="13">
        <f>IF(Y106="","",IF(Y106&lt;='组合输入'!$K6,"AAA",IF(Y106&lt;='组合输入'!$L6,"AA",IF(Y106&lt;='组合输入'!$M6,"A",IF(Y106&lt;='组合输入'!$N6,"BBB",IF(Y106&lt;='组合输入'!$O6,"BB",IF(Y106&lt;='组合输入'!$P6,"B",IF(Y106&lt;='组合输入'!$Q6,"CCC","D")))))))</f>
        <v/>
      </c>
      <c r="AA106" s="12">
        <f>IF(Z106="","",INDEX('状态价值'!$D6:$K6,MATCH(Z106,'状态价值'!$D$1:$K$1,0)))</f>
        <v/>
      </c>
      <c r="AB106" s="15">
        <f>NORM.S.INV(RAND())</f>
        <v/>
      </c>
      <c r="AC106" s="15">
        <f>IF('组合输入'!$C7="","",'组合输入'!$H7*$B106+SQRT(1-'组合输入'!$H7^2)*AB106)</f>
        <v/>
      </c>
      <c r="AD106" s="7">
        <f>IF(AC106="","",NORM.S.DIST(AC106,TRUE))</f>
        <v/>
      </c>
      <c r="AE106" s="13">
        <f>IF(AD106="","",IF(AD106&lt;='组合输入'!$K7,"AAA",IF(AD106&lt;='组合输入'!$L7,"AA",IF(AD106&lt;='组合输入'!$M7,"A",IF(AD106&lt;='组合输入'!$N7,"BBB",IF(AD106&lt;='组合输入'!$O7,"BB",IF(AD106&lt;='组合输入'!$P7,"B",IF(AD106&lt;='组合输入'!$Q7,"CCC","D")))))))</f>
        <v/>
      </c>
      <c r="AF106" s="12">
        <f>IF(AE106="","",INDEX('状态价值'!$D7:$K7,MATCH(AE106,'状态价值'!$D$1:$K$1,0)))</f>
        <v/>
      </c>
      <c r="AG106" s="15">
        <f>NORM.S.INV(RAND())</f>
        <v/>
      </c>
      <c r="AH106" s="15">
        <f>IF('组合输入'!$C8="","",'组合输入'!$H8*$B106+SQRT(1-'组合输入'!$H8^2)*AG106)</f>
        <v/>
      </c>
      <c r="AI106" s="7">
        <f>IF(AH106="","",NORM.S.DIST(AH106,TRUE))</f>
        <v/>
      </c>
      <c r="AJ106" s="13">
        <f>IF(AI106="","",IF(AI106&lt;='组合输入'!$K8,"AAA",IF(AI106&lt;='组合输入'!$L8,"AA",IF(AI106&lt;='组合输入'!$M8,"A",IF(AI106&lt;='组合输入'!$N8,"BBB",IF(AI106&lt;='组合输入'!$O8,"BB",IF(AI106&lt;='组合输入'!$P8,"B",IF(AI106&lt;='组合输入'!$Q8,"CCC","D")))))))</f>
        <v/>
      </c>
      <c r="AK106" s="12">
        <f>IF(AJ106="","",INDEX('状态价值'!$D8:$K8,MATCH(AJ106,'状态价值'!$D$1:$K$1,0)))</f>
        <v/>
      </c>
      <c r="AL106" s="15">
        <f>NORM.S.INV(RAND())</f>
        <v/>
      </c>
      <c r="AM106" s="15">
        <f>IF('组合输入'!$C9="","",'组合输入'!$H9*$B106+SQRT(1-'组合输入'!$H9^2)*AL106)</f>
        <v/>
      </c>
      <c r="AN106" s="7">
        <f>IF(AM106="","",NORM.S.DIST(AM106,TRUE))</f>
        <v/>
      </c>
      <c r="AO106" s="13">
        <f>IF(AN106="","",IF(AN106&lt;='组合输入'!$K9,"AAA",IF(AN106&lt;='组合输入'!$L9,"AA",IF(AN106&lt;='组合输入'!$M9,"A",IF(AN106&lt;='组合输入'!$N9,"BBB",IF(AN106&lt;='组合输入'!$O9,"BB",IF(AN106&lt;='组合输入'!$P9,"B",IF(AN106&lt;='组合输入'!$Q9,"CCC","D")))))))</f>
        <v/>
      </c>
      <c r="AP106" s="12">
        <f>IF(AO106="","",INDEX('状态价值'!$D9:$K9,MATCH(AO106,'状态价值'!$D$1:$K$1,0)))</f>
        <v/>
      </c>
      <c r="AQ106" s="15">
        <f>NORM.S.INV(RAND())</f>
        <v/>
      </c>
      <c r="AR106" s="15">
        <f>IF('组合输入'!$C10="","",'组合输入'!$H10*$B106+SQRT(1-'组合输入'!$H10^2)*AQ106)</f>
        <v/>
      </c>
      <c r="AS106" s="7">
        <f>IF(AR106="","",NORM.S.DIST(AR106,TRUE))</f>
        <v/>
      </c>
      <c r="AT106" s="13">
        <f>IF(AS106="","",IF(AS106&lt;='组合输入'!$K10,"AAA",IF(AS106&lt;='组合输入'!$L10,"AA",IF(AS106&lt;='组合输入'!$M10,"A",IF(AS106&lt;='组合输入'!$N10,"BBB",IF(AS106&lt;='组合输入'!$O10,"BB",IF(AS106&lt;='组合输入'!$P10,"B",IF(AS106&lt;='组合输入'!$Q10,"CCC","D")))))))</f>
        <v/>
      </c>
      <c r="AU106" s="12">
        <f>IF(AT106="","",INDEX('状态价值'!$D10:$K10,MATCH(AT106,'状态价值'!$D$1:$K$1,0)))</f>
        <v/>
      </c>
      <c r="AV106" s="15">
        <f>NORM.S.INV(RAND())</f>
        <v/>
      </c>
      <c r="AW106" s="15">
        <f>IF('组合输入'!$C11="","",'组合输入'!$H11*$B106+SQRT(1-'组合输入'!$H11^2)*AV106)</f>
        <v/>
      </c>
      <c r="AX106" s="7">
        <f>IF(AW106="","",NORM.S.DIST(AW106,TRUE))</f>
        <v/>
      </c>
      <c r="AY106" s="13">
        <f>IF(AX106="","",IF(AX106&lt;='组合输入'!$K11,"AAA",IF(AX106&lt;='组合输入'!$L11,"AA",IF(AX106&lt;='组合输入'!$M11,"A",IF(AX106&lt;='组合输入'!$N11,"BBB",IF(AX106&lt;='组合输入'!$O11,"BB",IF(AX106&lt;='组合输入'!$P11,"B",IF(AX106&lt;='组合输入'!$Q11,"CCC","D")))))))</f>
        <v/>
      </c>
      <c r="AZ106" s="12">
        <f>IF(AY106="","",INDEX('状态价值'!$D11:$K11,MATCH(AY106,'状态价值'!$D$1:$K$1,0)))</f>
        <v/>
      </c>
      <c r="BA106" s="12">
        <f>G106+L106+Q106+V106+AA106+AF106+AK106+AP106+AU106+AZ106</f>
        <v/>
      </c>
      <c r="BB106" s="12">
        <f>SUM('组合输入'!$J$2:$J$11)-BA106</f>
        <v/>
      </c>
    </row>
    <row r="107">
      <c r="A107" s="11" t="n">
        <v>106</v>
      </c>
      <c r="B107" s="14">
        <f>NORM.S.INV(RAND())</f>
        <v/>
      </c>
      <c r="C107" s="14">
        <f>NORM.S.INV(RAND())</f>
        <v/>
      </c>
      <c r="D107" s="15">
        <f>IF('组合输入'!$C2="","",'组合输入'!$H2*$B107+SQRT(1-'组合输入'!$H2^2)*C107)</f>
        <v/>
      </c>
      <c r="E107" s="7">
        <f>IF(D107="","",NORM.S.DIST(D107,TRUE))</f>
        <v/>
      </c>
      <c r="F107" s="13">
        <f>IF(E107="","",IF(E107&lt;='组合输入'!$K2,"AAA",IF(E107&lt;='组合输入'!$L2,"AA",IF(E107&lt;='组合输入'!$M2,"A",IF(E107&lt;='组合输入'!$N2,"BBB",IF(E107&lt;='组合输入'!$O2,"BB",IF(E107&lt;='组合输入'!$P2,"B",IF(E107&lt;='组合输入'!$Q2,"CCC","D")))))))</f>
        <v/>
      </c>
      <c r="G107" s="12">
        <f>IF(F107="","",INDEX('状态价值'!$D2:$K2,MATCH(F107,'状态价值'!$D$1:$K$1,0)))</f>
        <v/>
      </c>
      <c r="H107" s="15">
        <f>NORM.S.INV(RAND())</f>
        <v/>
      </c>
      <c r="I107" s="15">
        <f>IF('组合输入'!$C3="","",'组合输入'!$H3*$B107+SQRT(1-'组合输入'!$H3^2)*H107)</f>
        <v/>
      </c>
      <c r="J107" s="7">
        <f>IF(I107="","",NORM.S.DIST(I107,TRUE))</f>
        <v/>
      </c>
      <c r="K107" s="13">
        <f>IF(J107="","",IF(J107&lt;='组合输入'!$K3,"AAA",IF(J107&lt;='组合输入'!$L3,"AA",IF(J107&lt;='组合输入'!$M3,"A",IF(J107&lt;='组合输入'!$N3,"BBB",IF(J107&lt;='组合输入'!$O3,"BB",IF(J107&lt;='组合输入'!$P3,"B",IF(J107&lt;='组合输入'!$Q3,"CCC","D")))))))</f>
        <v/>
      </c>
      <c r="L107" s="12">
        <f>IF(K107="","",INDEX('状态价值'!$D3:$K3,MATCH(K107,'状态价值'!$D$1:$K$1,0)))</f>
        <v/>
      </c>
      <c r="M107" s="15">
        <f>NORM.S.INV(RAND())</f>
        <v/>
      </c>
      <c r="N107" s="15">
        <f>IF('组合输入'!$C4="","",'组合输入'!$H4*$B107+SQRT(1-'组合输入'!$H4^2)*M107)</f>
        <v/>
      </c>
      <c r="O107" s="7">
        <f>IF(N107="","",NORM.S.DIST(N107,TRUE))</f>
        <v/>
      </c>
      <c r="P107" s="13">
        <f>IF(O107="","",IF(O107&lt;='组合输入'!$K4,"AAA",IF(O107&lt;='组合输入'!$L4,"AA",IF(O107&lt;='组合输入'!$M4,"A",IF(O107&lt;='组合输入'!$N4,"BBB",IF(O107&lt;='组合输入'!$O4,"BB",IF(O107&lt;='组合输入'!$P4,"B",IF(O107&lt;='组合输入'!$Q4,"CCC","D")))))))</f>
        <v/>
      </c>
      <c r="Q107" s="12">
        <f>IF(P107="","",INDEX('状态价值'!$D4:$K4,MATCH(P107,'状态价值'!$D$1:$K$1,0)))</f>
        <v/>
      </c>
      <c r="R107" s="15">
        <f>NORM.S.INV(RAND())</f>
        <v/>
      </c>
      <c r="S107" s="15">
        <f>IF('组合输入'!$C5="","",'组合输入'!$H5*$B107+SQRT(1-'组合输入'!$H5^2)*R107)</f>
        <v/>
      </c>
      <c r="T107" s="7">
        <f>IF(S107="","",NORM.S.DIST(S107,TRUE))</f>
        <v/>
      </c>
      <c r="U107" s="13">
        <f>IF(T107="","",IF(T107&lt;='组合输入'!$K5,"AAA",IF(T107&lt;='组合输入'!$L5,"AA",IF(T107&lt;='组合输入'!$M5,"A",IF(T107&lt;='组合输入'!$N5,"BBB",IF(T107&lt;='组合输入'!$O5,"BB",IF(T107&lt;='组合输入'!$P5,"B",IF(T107&lt;='组合输入'!$Q5,"CCC","D")))))))</f>
        <v/>
      </c>
      <c r="V107" s="12">
        <f>IF(U107="","",INDEX('状态价值'!$D5:$K5,MATCH(U107,'状态价值'!$D$1:$K$1,0)))</f>
        <v/>
      </c>
      <c r="W107" s="15">
        <f>NORM.S.INV(RAND())</f>
        <v/>
      </c>
      <c r="X107" s="15">
        <f>IF('组合输入'!$C6="","",'组合输入'!$H6*$B107+SQRT(1-'组合输入'!$H6^2)*W107)</f>
        <v/>
      </c>
      <c r="Y107" s="7">
        <f>IF(X107="","",NORM.S.DIST(X107,TRUE))</f>
        <v/>
      </c>
      <c r="Z107" s="13">
        <f>IF(Y107="","",IF(Y107&lt;='组合输入'!$K6,"AAA",IF(Y107&lt;='组合输入'!$L6,"AA",IF(Y107&lt;='组合输入'!$M6,"A",IF(Y107&lt;='组合输入'!$N6,"BBB",IF(Y107&lt;='组合输入'!$O6,"BB",IF(Y107&lt;='组合输入'!$P6,"B",IF(Y107&lt;='组合输入'!$Q6,"CCC","D")))))))</f>
        <v/>
      </c>
      <c r="AA107" s="12">
        <f>IF(Z107="","",INDEX('状态价值'!$D6:$K6,MATCH(Z107,'状态价值'!$D$1:$K$1,0)))</f>
        <v/>
      </c>
      <c r="AB107" s="15">
        <f>NORM.S.INV(RAND())</f>
        <v/>
      </c>
      <c r="AC107" s="15">
        <f>IF('组合输入'!$C7="","",'组合输入'!$H7*$B107+SQRT(1-'组合输入'!$H7^2)*AB107)</f>
        <v/>
      </c>
      <c r="AD107" s="7">
        <f>IF(AC107="","",NORM.S.DIST(AC107,TRUE))</f>
        <v/>
      </c>
      <c r="AE107" s="13">
        <f>IF(AD107="","",IF(AD107&lt;='组合输入'!$K7,"AAA",IF(AD107&lt;='组合输入'!$L7,"AA",IF(AD107&lt;='组合输入'!$M7,"A",IF(AD107&lt;='组合输入'!$N7,"BBB",IF(AD107&lt;='组合输入'!$O7,"BB",IF(AD107&lt;='组合输入'!$P7,"B",IF(AD107&lt;='组合输入'!$Q7,"CCC","D")))))))</f>
        <v/>
      </c>
      <c r="AF107" s="12">
        <f>IF(AE107="","",INDEX('状态价值'!$D7:$K7,MATCH(AE107,'状态价值'!$D$1:$K$1,0)))</f>
        <v/>
      </c>
      <c r="AG107" s="15">
        <f>NORM.S.INV(RAND())</f>
        <v/>
      </c>
      <c r="AH107" s="15">
        <f>IF('组合输入'!$C8="","",'组合输入'!$H8*$B107+SQRT(1-'组合输入'!$H8^2)*AG107)</f>
        <v/>
      </c>
      <c r="AI107" s="7">
        <f>IF(AH107="","",NORM.S.DIST(AH107,TRUE))</f>
        <v/>
      </c>
      <c r="AJ107" s="13">
        <f>IF(AI107="","",IF(AI107&lt;='组合输入'!$K8,"AAA",IF(AI107&lt;='组合输入'!$L8,"AA",IF(AI107&lt;='组合输入'!$M8,"A",IF(AI107&lt;='组合输入'!$N8,"BBB",IF(AI107&lt;='组合输入'!$O8,"BB",IF(AI107&lt;='组合输入'!$P8,"B",IF(AI107&lt;='组合输入'!$Q8,"CCC","D")))))))</f>
        <v/>
      </c>
      <c r="AK107" s="12">
        <f>IF(AJ107="","",INDEX('状态价值'!$D8:$K8,MATCH(AJ107,'状态价值'!$D$1:$K$1,0)))</f>
        <v/>
      </c>
      <c r="AL107" s="15">
        <f>NORM.S.INV(RAND())</f>
        <v/>
      </c>
      <c r="AM107" s="15">
        <f>IF('组合输入'!$C9="","",'组合输入'!$H9*$B107+SQRT(1-'组合输入'!$H9^2)*AL107)</f>
        <v/>
      </c>
      <c r="AN107" s="7">
        <f>IF(AM107="","",NORM.S.DIST(AM107,TRUE))</f>
        <v/>
      </c>
      <c r="AO107" s="13">
        <f>IF(AN107="","",IF(AN107&lt;='组合输入'!$K9,"AAA",IF(AN107&lt;='组合输入'!$L9,"AA",IF(AN107&lt;='组合输入'!$M9,"A",IF(AN107&lt;='组合输入'!$N9,"BBB",IF(AN107&lt;='组合输入'!$O9,"BB",IF(AN107&lt;='组合输入'!$P9,"B",IF(AN107&lt;='组合输入'!$Q9,"CCC","D")))))))</f>
        <v/>
      </c>
      <c r="AP107" s="12">
        <f>IF(AO107="","",INDEX('状态价值'!$D9:$K9,MATCH(AO107,'状态价值'!$D$1:$K$1,0)))</f>
        <v/>
      </c>
      <c r="AQ107" s="15">
        <f>NORM.S.INV(RAND())</f>
        <v/>
      </c>
      <c r="AR107" s="15">
        <f>IF('组合输入'!$C10="","",'组合输入'!$H10*$B107+SQRT(1-'组合输入'!$H10^2)*AQ107)</f>
        <v/>
      </c>
      <c r="AS107" s="7">
        <f>IF(AR107="","",NORM.S.DIST(AR107,TRUE))</f>
        <v/>
      </c>
      <c r="AT107" s="13">
        <f>IF(AS107="","",IF(AS107&lt;='组合输入'!$K10,"AAA",IF(AS107&lt;='组合输入'!$L10,"AA",IF(AS107&lt;='组合输入'!$M10,"A",IF(AS107&lt;='组合输入'!$N10,"BBB",IF(AS107&lt;='组合输入'!$O10,"BB",IF(AS107&lt;='组合输入'!$P10,"B",IF(AS107&lt;='组合输入'!$Q10,"CCC","D")))))))</f>
        <v/>
      </c>
      <c r="AU107" s="12">
        <f>IF(AT107="","",INDEX('状态价值'!$D10:$K10,MATCH(AT107,'状态价值'!$D$1:$K$1,0)))</f>
        <v/>
      </c>
      <c r="AV107" s="15">
        <f>NORM.S.INV(RAND())</f>
        <v/>
      </c>
      <c r="AW107" s="15">
        <f>IF('组合输入'!$C11="","",'组合输入'!$H11*$B107+SQRT(1-'组合输入'!$H11^2)*AV107)</f>
        <v/>
      </c>
      <c r="AX107" s="7">
        <f>IF(AW107="","",NORM.S.DIST(AW107,TRUE))</f>
        <v/>
      </c>
      <c r="AY107" s="13">
        <f>IF(AX107="","",IF(AX107&lt;='组合输入'!$K11,"AAA",IF(AX107&lt;='组合输入'!$L11,"AA",IF(AX107&lt;='组合输入'!$M11,"A",IF(AX107&lt;='组合输入'!$N11,"BBB",IF(AX107&lt;='组合输入'!$O11,"BB",IF(AX107&lt;='组合输入'!$P11,"B",IF(AX107&lt;='组合输入'!$Q11,"CCC","D")))))))</f>
        <v/>
      </c>
      <c r="AZ107" s="12">
        <f>IF(AY107="","",INDEX('状态价值'!$D11:$K11,MATCH(AY107,'状态价值'!$D$1:$K$1,0)))</f>
        <v/>
      </c>
      <c r="BA107" s="12">
        <f>G107+L107+Q107+V107+AA107+AF107+AK107+AP107+AU107+AZ107</f>
        <v/>
      </c>
      <c r="BB107" s="12">
        <f>SUM('组合输入'!$J$2:$J$11)-BA107</f>
        <v/>
      </c>
    </row>
    <row r="108">
      <c r="A108" s="11" t="n">
        <v>107</v>
      </c>
      <c r="B108" s="14">
        <f>NORM.S.INV(RAND())</f>
        <v/>
      </c>
      <c r="C108" s="14">
        <f>NORM.S.INV(RAND())</f>
        <v/>
      </c>
      <c r="D108" s="15">
        <f>IF('组合输入'!$C2="","",'组合输入'!$H2*$B108+SQRT(1-'组合输入'!$H2^2)*C108)</f>
        <v/>
      </c>
      <c r="E108" s="7">
        <f>IF(D108="","",NORM.S.DIST(D108,TRUE))</f>
        <v/>
      </c>
      <c r="F108" s="13">
        <f>IF(E108="","",IF(E108&lt;='组合输入'!$K2,"AAA",IF(E108&lt;='组合输入'!$L2,"AA",IF(E108&lt;='组合输入'!$M2,"A",IF(E108&lt;='组合输入'!$N2,"BBB",IF(E108&lt;='组合输入'!$O2,"BB",IF(E108&lt;='组合输入'!$P2,"B",IF(E108&lt;='组合输入'!$Q2,"CCC","D")))))))</f>
        <v/>
      </c>
      <c r="G108" s="12">
        <f>IF(F108="","",INDEX('状态价值'!$D2:$K2,MATCH(F108,'状态价值'!$D$1:$K$1,0)))</f>
        <v/>
      </c>
      <c r="H108" s="15">
        <f>NORM.S.INV(RAND())</f>
        <v/>
      </c>
      <c r="I108" s="15">
        <f>IF('组合输入'!$C3="","",'组合输入'!$H3*$B108+SQRT(1-'组合输入'!$H3^2)*H108)</f>
        <v/>
      </c>
      <c r="J108" s="7">
        <f>IF(I108="","",NORM.S.DIST(I108,TRUE))</f>
        <v/>
      </c>
      <c r="K108" s="13">
        <f>IF(J108="","",IF(J108&lt;='组合输入'!$K3,"AAA",IF(J108&lt;='组合输入'!$L3,"AA",IF(J108&lt;='组合输入'!$M3,"A",IF(J108&lt;='组合输入'!$N3,"BBB",IF(J108&lt;='组合输入'!$O3,"BB",IF(J108&lt;='组合输入'!$P3,"B",IF(J108&lt;='组合输入'!$Q3,"CCC","D")))))))</f>
        <v/>
      </c>
      <c r="L108" s="12">
        <f>IF(K108="","",INDEX('状态价值'!$D3:$K3,MATCH(K108,'状态价值'!$D$1:$K$1,0)))</f>
        <v/>
      </c>
      <c r="M108" s="15">
        <f>NORM.S.INV(RAND())</f>
        <v/>
      </c>
      <c r="N108" s="15">
        <f>IF('组合输入'!$C4="","",'组合输入'!$H4*$B108+SQRT(1-'组合输入'!$H4^2)*M108)</f>
        <v/>
      </c>
      <c r="O108" s="7">
        <f>IF(N108="","",NORM.S.DIST(N108,TRUE))</f>
        <v/>
      </c>
      <c r="P108" s="13">
        <f>IF(O108="","",IF(O108&lt;='组合输入'!$K4,"AAA",IF(O108&lt;='组合输入'!$L4,"AA",IF(O108&lt;='组合输入'!$M4,"A",IF(O108&lt;='组合输入'!$N4,"BBB",IF(O108&lt;='组合输入'!$O4,"BB",IF(O108&lt;='组合输入'!$P4,"B",IF(O108&lt;='组合输入'!$Q4,"CCC","D")))))))</f>
        <v/>
      </c>
      <c r="Q108" s="12">
        <f>IF(P108="","",INDEX('状态价值'!$D4:$K4,MATCH(P108,'状态价值'!$D$1:$K$1,0)))</f>
        <v/>
      </c>
      <c r="R108" s="15">
        <f>NORM.S.INV(RAND())</f>
        <v/>
      </c>
      <c r="S108" s="15">
        <f>IF('组合输入'!$C5="","",'组合输入'!$H5*$B108+SQRT(1-'组合输入'!$H5^2)*R108)</f>
        <v/>
      </c>
      <c r="T108" s="7">
        <f>IF(S108="","",NORM.S.DIST(S108,TRUE))</f>
        <v/>
      </c>
      <c r="U108" s="13">
        <f>IF(T108="","",IF(T108&lt;='组合输入'!$K5,"AAA",IF(T108&lt;='组合输入'!$L5,"AA",IF(T108&lt;='组合输入'!$M5,"A",IF(T108&lt;='组合输入'!$N5,"BBB",IF(T108&lt;='组合输入'!$O5,"BB",IF(T108&lt;='组合输入'!$P5,"B",IF(T108&lt;='组合输入'!$Q5,"CCC","D")))))))</f>
        <v/>
      </c>
      <c r="V108" s="12">
        <f>IF(U108="","",INDEX('状态价值'!$D5:$K5,MATCH(U108,'状态价值'!$D$1:$K$1,0)))</f>
        <v/>
      </c>
      <c r="W108" s="15">
        <f>NORM.S.INV(RAND())</f>
        <v/>
      </c>
      <c r="X108" s="15">
        <f>IF('组合输入'!$C6="","",'组合输入'!$H6*$B108+SQRT(1-'组合输入'!$H6^2)*W108)</f>
        <v/>
      </c>
      <c r="Y108" s="7">
        <f>IF(X108="","",NORM.S.DIST(X108,TRUE))</f>
        <v/>
      </c>
      <c r="Z108" s="13">
        <f>IF(Y108="","",IF(Y108&lt;='组合输入'!$K6,"AAA",IF(Y108&lt;='组合输入'!$L6,"AA",IF(Y108&lt;='组合输入'!$M6,"A",IF(Y108&lt;='组合输入'!$N6,"BBB",IF(Y108&lt;='组合输入'!$O6,"BB",IF(Y108&lt;='组合输入'!$P6,"B",IF(Y108&lt;='组合输入'!$Q6,"CCC","D")))))))</f>
        <v/>
      </c>
      <c r="AA108" s="12">
        <f>IF(Z108="","",INDEX('状态价值'!$D6:$K6,MATCH(Z108,'状态价值'!$D$1:$K$1,0)))</f>
        <v/>
      </c>
      <c r="AB108" s="15">
        <f>NORM.S.INV(RAND())</f>
        <v/>
      </c>
      <c r="AC108" s="15">
        <f>IF('组合输入'!$C7="","",'组合输入'!$H7*$B108+SQRT(1-'组合输入'!$H7^2)*AB108)</f>
        <v/>
      </c>
      <c r="AD108" s="7">
        <f>IF(AC108="","",NORM.S.DIST(AC108,TRUE))</f>
        <v/>
      </c>
      <c r="AE108" s="13">
        <f>IF(AD108="","",IF(AD108&lt;='组合输入'!$K7,"AAA",IF(AD108&lt;='组合输入'!$L7,"AA",IF(AD108&lt;='组合输入'!$M7,"A",IF(AD108&lt;='组合输入'!$N7,"BBB",IF(AD108&lt;='组合输入'!$O7,"BB",IF(AD108&lt;='组合输入'!$P7,"B",IF(AD108&lt;='组合输入'!$Q7,"CCC","D")))))))</f>
        <v/>
      </c>
      <c r="AF108" s="12">
        <f>IF(AE108="","",INDEX('状态价值'!$D7:$K7,MATCH(AE108,'状态价值'!$D$1:$K$1,0)))</f>
        <v/>
      </c>
      <c r="AG108" s="15">
        <f>NORM.S.INV(RAND())</f>
        <v/>
      </c>
      <c r="AH108" s="15">
        <f>IF('组合输入'!$C8="","",'组合输入'!$H8*$B108+SQRT(1-'组合输入'!$H8^2)*AG108)</f>
        <v/>
      </c>
      <c r="AI108" s="7">
        <f>IF(AH108="","",NORM.S.DIST(AH108,TRUE))</f>
        <v/>
      </c>
      <c r="AJ108" s="13">
        <f>IF(AI108="","",IF(AI108&lt;='组合输入'!$K8,"AAA",IF(AI108&lt;='组合输入'!$L8,"AA",IF(AI108&lt;='组合输入'!$M8,"A",IF(AI108&lt;='组合输入'!$N8,"BBB",IF(AI108&lt;='组合输入'!$O8,"BB",IF(AI108&lt;='组合输入'!$P8,"B",IF(AI108&lt;='组合输入'!$Q8,"CCC","D")))))))</f>
        <v/>
      </c>
      <c r="AK108" s="12">
        <f>IF(AJ108="","",INDEX('状态价值'!$D8:$K8,MATCH(AJ108,'状态价值'!$D$1:$K$1,0)))</f>
        <v/>
      </c>
      <c r="AL108" s="15">
        <f>NORM.S.INV(RAND())</f>
        <v/>
      </c>
      <c r="AM108" s="15">
        <f>IF('组合输入'!$C9="","",'组合输入'!$H9*$B108+SQRT(1-'组合输入'!$H9^2)*AL108)</f>
        <v/>
      </c>
      <c r="AN108" s="7">
        <f>IF(AM108="","",NORM.S.DIST(AM108,TRUE))</f>
        <v/>
      </c>
      <c r="AO108" s="13">
        <f>IF(AN108="","",IF(AN108&lt;='组合输入'!$K9,"AAA",IF(AN108&lt;='组合输入'!$L9,"AA",IF(AN108&lt;='组合输入'!$M9,"A",IF(AN108&lt;='组合输入'!$N9,"BBB",IF(AN108&lt;='组合输入'!$O9,"BB",IF(AN108&lt;='组合输入'!$P9,"B",IF(AN108&lt;='组合输入'!$Q9,"CCC","D")))))))</f>
        <v/>
      </c>
      <c r="AP108" s="12">
        <f>IF(AO108="","",INDEX('状态价值'!$D9:$K9,MATCH(AO108,'状态价值'!$D$1:$K$1,0)))</f>
        <v/>
      </c>
      <c r="AQ108" s="15">
        <f>NORM.S.INV(RAND())</f>
        <v/>
      </c>
      <c r="AR108" s="15">
        <f>IF('组合输入'!$C10="","",'组合输入'!$H10*$B108+SQRT(1-'组合输入'!$H10^2)*AQ108)</f>
        <v/>
      </c>
      <c r="AS108" s="7">
        <f>IF(AR108="","",NORM.S.DIST(AR108,TRUE))</f>
        <v/>
      </c>
      <c r="AT108" s="13">
        <f>IF(AS108="","",IF(AS108&lt;='组合输入'!$K10,"AAA",IF(AS108&lt;='组合输入'!$L10,"AA",IF(AS108&lt;='组合输入'!$M10,"A",IF(AS108&lt;='组合输入'!$N10,"BBB",IF(AS108&lt;='组合输入'!$O10,"BB",IF(AS108&lt;='组合输入'!$P10,"B",IF(AS108&lt;='组合输入'!$Q10,"CCC","D")))))))</f>
        <v/>
      </c>
      <c r="AU108" s="12">
        <f>IF(AT108="","",INDEX('状态价值'!$D10:$K10,MATCH(AT108,'状态价值'!$D$1:$K$1,0)))</f>
        <v/>
      </c>
      <c r="AV108" s="15">
        <f>NORM.S.INV(RAND())</f>
        <v/>
      </c>
      <c r="AW108" s="15">
        <f>IF('组合输入'!$C11="","",'组合输入'!$H11*$B108+SQRT(1-'组合输入'!$H11^2)*AV108)</f>
        <v/>
      </c>
      <c r="AX108" s="7">
        <f>IF(AW108="","",NORM.S.DIST(AW108,TRUE))</f>
        <v/>
      </c>
      <c r="AY108" s="13">
        <f>IF(AX108="","",IF(AX108&lt;='组合输入'!$K11,"AAA",IF(AX108&lt;='组合输入'!$L11,"AA",IF(AX108&lt;='组合输入'!$M11,"A",IF(AX108&lt;='组合输入'!$N11,"BBB",IF(AX108&lt;='组合输入'!$O11,"BB",IF(AX108&lt;='组合输入'!$P11,"B",IF(AX108&lt;='组合输入'!$Q11,"CCC","D")))))))</f>
        <v/>
      </c>
      <c r="AZ108" s="12">
        <f>IF(AY108="","",INDEX('状态价值'!$D11:$K11,MATCH(AY108,'状态价值'!$D$1:$K$1,0)))</f>
        <v/>
      </c>
      <c r="BA108" s="12">
        <f>G108+L108+Q108+V108+AA108+AF108+AK108+AP108+AU108+AZ108</f>
        <v/>
      </c>
      <c r="BB108" s="12">
        <f>SUM('组合输入'!$J$2:$J$11)-BA108</f>
        <v/>
      </c>
    </row>
    <row r="109">
      <c r="A109" s="11" t="n">
        <v>108</v>
      </c>
      <c r="B109" s="14">
        <f>NORM.S.INV(RAND())</f>
        <v/>
      </c>
      <c r="C109" s="14">
        <f>NORM.S.INV(RAND())</f>
        <v/>
      </c>
      <c r="D109" s="15">
        <f>IF('组合输入'!$C2="","",'组合输入'!$H2*$B109+SQRT(1-'组合输入'!$H2^2)*C109)</f>
        <v/>
      </c>
      <c r="E109" s="7">
        <f>IF(D109="","",NORM.S.DIST(D109,TRUE))</f>
        <v/>
      </c>
      <c r="F109" s="13">
        <f>IF(E109="","",IF(E109&lt;='组合输入'!$K2,"AAA",IF(E109&lt;='组合输入'!$L2,"AA",IF(E109&lt;='组合输入'!$M2,"A",IF(E109&lt;='组合输入'!$N2,"BBB",IF(E109&lt;='组合输入'!$O2,"BB",IF(E109&lt;='组合输入'!$P2,"B",IF(E109&lt;='组合输入'!$Q2,"CCC","D")))))))</f>
        <v/>
      </c>
      <c r="G109" s="12">
        <f>IF(F109="","",INDEX('状态价值'!$D2:$K2,MATCH(F109,'状态价值'!$D$1:$K$1,0)))</f>
        <v/>
      </c>
      <c r="H109" s="15">
        <f>NORM.S.INV(RAND())</f>
        <v/>
      </c>
      <c r="I109" s="15">
        <f>IF('组合输入'!$C3="","",'组合输入'!$H3*$B109+SQRT(1-'组合输入'!$H3^2)*H109)</f>
        <v/>
      </c>
      <c r="J109" s="7">
        <f>IF(I109="","",NORM.S.DIST(I109,TRUE))</f>
        <v/>
      </c>
      <c r="K109" s="13">
        <f>IF(J109="","",IF(J109&lt;='组合输入'!$K3,"AAA",IF(J109&lt;='组合输入'!$L3,"AA",IF(J109&lt;='组合输入'!$M3,"A",IF(J109&lt;='组合输入'!$N3,"BBB",IF(J109&lt;='组合输入'!$O3,"BB",IF(J109&lt;='组合输入'!$P3,"B",IF(J109&lt;='组合输入'!$Q3,"CCC","D")))))))</f>
        <v/>
      </c>
      <c r="L109" s="12">
        <f>IF(K109="","",INDEX('状态价值'!$D3:$K3,MATCH(K109,'状态价值'!$D$1:$K$1,0)))</f>
        <v/>
      </c>
      <c r="M109" s="15">
        <f>NORM.S.INV(RAND())</f>
        <v/>
      </c>
      <c r="N109" s="15">
        <f>IF('组合输入'!$C4="","",'组合输入'!$H4*$B109+SQRT(1-'组合输入'!$H4^2)*M109)</f>
        <v/>
      </c>
      <c r="O109" s="7">
        <f>IF(N109="","",NORM.S.DIST(N109,TRUE))</f>
        <v/>
      </c>
      <c r="P109" s="13">
        <f>IF(O109="","",IF(O109&lt;='组合输入'!$K4,"AAA",IF(O109&lt;='组合输入'!$L4,"AA",IF(O109&lt;='组合输入'!$M4,"A",IF(O109&lt;='组合输入'!$N4,"BBB",IF(O109&lt;='组合输入'!$O4,"BB",IF(O109&lt;='组合输入'!$P4,"B",IF(O109&lt;='组合输入'!$Q4,"CCC","D")))))))</f>
        <v/>
      </c>
      <c r="Q109" s="12">
        <f>IF(P109="","",INDEX('状态价值'!$D4:$K4,MATCH(P109,'状态价值'!$D$1:$K$1,0)))</f>
        <v/>
      </c>
      <c r="R109" s="15">
        <f>NORM.S.INV(RAND())</f>
        <v/>
      </c>
      <c r="S109" s="15">
        <f>IF('组合输入'!$C5="","",'组合输入'!$H5*$B109+SQRT(1-'组合输入'!$H5^2)*R109)</f>
        <v/>
      </c>
      <c r="T109" s="7">
        <f>IF(S109="","",NORM.S.DIST(S109,TRUE))</f>
        <v/>
      </c>
      <c r="U109" s="13">
        <f>IF(T109="","",IF(T109&lt;='组合输入'!$K5,"AAA",IF(T109&lt;='组合输入'!$L5,"AA",IF(T109&lt;='组合输入'!$M5,"A",IF(T109&lt;='组合输入'!$N5,"BBB",IF(T109&lt;='组合输入'!$O5,"BB",IF(T109&lt;='组合输入'!$P5,"B",IF(T109&lt;='组合输入'!$Q5,"CCC","D")))))))</f>
        <v/>
      </c>
      <c r="V109" s="12">
        <f>IF(U109="","",INDEX('状态价值'!$D5:$K5,MATCH(U109,'状态价值'!$D$1:$K$1,0)))</f>
        <v/>
      </c>
      <c r="W109" s="15">
        <f>NORM.S.INV(RAND())</f>
        <v/>
      </c>
      <c r="X109" s="15">
        <f>IF('组合输入'!$C6="","",'组合输入'!$H6*$B109+SQRT(1-'组合输入'!$H6^2)*W109)</f>
        <v/>
      </c>
      <c r="Y109" s="7">
        <f>IF(X109="","",NORM.S.DIST(X109,TRUE))</f>
        <v/>
      </c>
      <c r="Z109" s="13">
        <f>IF(Y109="","",IF(Y109&lt;='组合输入'!$K6,"AAA",IF(Y109&lt;='组合输入'!$L6,"AA",IF(Y109&lt;='组合输入'!$M6,"A",IF(Y109&lt;='组合输入'!$N6,"BBB",IF(Y109&lt;='组合输入'!$O6,"BB",IF(Y109&lt;='组合输入'!$P6,"B",IF(Y109&lt;='组合输入'!$Q6,"CCC","D")))))))</f>
        <v/>
      </c>
      <c r="AA109" s="12">
        <f>IF(Z109="","",INDEX('状态价值'!$D6:$K6,MATCH(Z109,'状态价值'!$D$1:$K$1,0)))</f>
        <v/>
      </c>
      <c r="AB109" s="15">
        <f>NORM.S.INV(RAND())</f>
        <v/>
      </c>
      <c r="AC109" s="15">
        <f>IF('组合输入'!$C7="","",'组合输入'!$H7*$B109+SQRT(1-'组合输入'!$H7^2)*AB109)</f>
        <v/>
      </c>
      <c r="AD109" s="7">
        <f>IF(AC109="","",NORM.S.DIST(AC109,TRUE))</f>
        <v/>
      </c>
      <c r="AE109" s="13">
        <f>IF(AD109="","",IF(AD109&lt;='组合输入'!$K7,"AAA",IF(AD109&lt;='组合输入'!$L7,"AA",IF(AD109&lt;='组合输入'!$M7,"A",IF(AD109&lt;='组合输入'!$N7,"BBB",IF(AD109&lt;='组合输入'!$O7,"BB",IF(AD109&lt;='组合输入'!$P7,"B",IF(AD109&lt;='组合输入'!$Q7,"CCC","D")))))))</f>
        <v/>
      </c>
      <c r="AF109" s="12">
        <f>IF(AE109="","",INDEX('状态价值'!$D7:$K7,MATCH(AE109,'状态价值'!$D$1:$K$1,0)))</f>
        <v/>
      </c>
      <c r="AG109" s="15">
        <f>NORM.S.INV(RAND())</f>
        <v/>
      </c>
      <c r="AH109" s="15">
        <f>IF('组合输入'!$C8="","",'组合输入'!$H8*$B109+SQRT(1-'组合输入'!$H8^2)*AG109)</f>
        <v/>
      </c>
      <c r="AI109" s="7">
        <f>IF(AH109="","",NORM.S.DIST(AH109,TRUE))</f>
        <v/>
      </c>
      <c r="AJ109" s="13">
        <f>IF(AI109="","",IF(AI109&lt;='组合输入'!$K8,"AAA",IF(AI109&lt;='组合输入'!$L8,"AA",IF(AI109&lt;='组合输入'!$M8,"A",IF(AI109&lt;='组合输入'!$N8,"BBB",IF(AI109&lt;='组合输入'!$O8,"BB",IF(AI109&lt;='组合输入'!$P8,"B",IF(AI109&lt;='组合输入'!$Q8,"CCC","D")))))))</f>
        <v/>
      </c>
      <c r="AK109" s="12">
        <f>IF(AJ109="","",INDEX('状态价值'!$D8:$K8,MATCH(AJ109,'状态价值'!$D$1:$K$1,0)))</f>
        <v/>
      </c>
      <c r="AL109" s="15">
        <f>NORM.S.INV(RAND())</f>
        <v/>
      </c>
      <c r="AM109" s="15">
        <f>IF('组合输入'!$C9="","",'组合输入'!$H9*$B109+SQRT(1-'组合输入'!$H9^2)*AL109)</f>
        <v/>
      </c>
      <c r="AN109" s="7">
        <f>IF(AM109="","",NORM.S.DIST(AM109,TRUE))</f>
        <v/>
      </c>
      <c r="AO109" s="13">
        <f>IF(AN109="","",IF(AN109&lt;='组合输入'!$K9,"AAA",IF(AN109&lt;='组合输入'!$L9,"AA",IF(AN109&lt;='组合输入'!$M9,"A",IF(AN109&lt;='组合输入'!$N9,"BBB",IF(AN109&lt;='组合输入'!$O9,"BB",IF(AN109&lt;='组合输入'!$P9,"B",IF(AN109&lt;='组合输入'!$Q9,"CCC","D")))))))</f>
        <v/>
      </c>
      <c r="AP109" s="12">
        <f>IF(AO109="","",INDEX('状态价值'!$D9:$K9,MATCH(AO109,'状态价值'!$D$1:$K$1,0)))</f>
        <v/>
      </c>
      <c r="AQ109" s="15">
        <f>NORM.S.INV(RAND())</f>
        <v/>
      </c>
      <c r="AR109" s="15">
        <f>IF('组合输入'!$C10="","",'组合输入'!$H10*$B109+SQRT(1-'组合输入'!$H10^2)*AQ109)</f>
        <v/>
      </c>
      <c r="AS109" s="7">
        <f>IF(AR109="","",NORM.S.DIST(AR109,TRUE))</f>
        <v/>
      </c>
      <c r="AT109" s="13">
        <f>IF(AS109="","",IF(AS109&lt;='组合输入'!$K10,"AAA",IF(AS109&lt;='组合输入'!$L10,"AA",IF(AS109&lt;='组合输入'!$M10,"A",IF(AS109&lt;='组合输入'!$N10,"BBB",IF(AS109&lt;='组合输入'!$O10,"BB",IF(AS109&lt;='组合输入'!$P10,"B",IF(AS109&lt;='组合输入'!$Q10,"CCC","D")))))))</f>
        <v/>
      </c>
      <c r="AU109" s="12">
        <f>IF(AT109="","",INDEX('状态价值'!$D10:$K10,MATCH(AT109,'状态价值'!$D$1:$K$1,0)))</f>
        <v/>
      </c>
      <c r="AV109" s="15">
        <f>NORM.S.INV(RAND())</f>
        <v/>
      </c>
      <c r="AW109" s="15">
        <f>IF('组合输入'!$C11="","",'组合输入'!$H11*$B109+SQRT(1-'组合输入'!$H11^2)*AV109)</f>
        <v/>
      </c>
      <c r="AX109" s="7">
        <f>IF(AW109="","",NORM.S.DIST(AW109,TRUE))</f>
        <v/>
      </c>
      <c r="AY109" s="13">
        <f>IF(AX109="","",IF(AX109&lt;='组合输入'!$K11,"AAA",IF(AX109&lt;='组合输入'!$L11,"AA",IF(AX109&lt;='组合输入'!$M11,"A",IF(AX109&lt;='组合输入'!$N11,"BBB",IF(AX109&lt;='组合输入'!$O11,"BB",IF(AX109&lt;='组合输入'!$P11,"B",IF(AX109&lt;='组合输入'!$Q11,"CCC","D")))))))</f>
        <v/>
      </c>
      <c r="AZ109" s="12">
        <f>IF(AY109="","",INDEX('状态价值'!$D11:$K11,MATCH(AY109,'状态价值'!$D$1:$K$1,0)))</f>
        <v/>
      </c>
      <c r="BA109" s="12">
        <f>G109+L109+Q109+V109+AA109+AF109+AK109+AP109+AU109+AZ109</f>
        <v/>
      </c>
      <c r="BB109" s="12">
        <f>SUM('组合输入'!$J$2:$J$11)-BA109</f>
        <v/>
      </c>
    </row>
    <row r="110">
      <c r="A110" s="11" t="n">
        <v>109</v>
      </c>
      <c r="B110" s="14">
        <f>NORM.S.INV(RAND())</f>
        <v/>
      </c>
      <c r="C110" s="14">
        <f>NORM.S.INV(RAND())</f>
        <v/>
      </c>
      <c r="D110" s="15">
        <f>IF('组合输入'!$C2="","",'组合输入'!$H2*$B110+SQRT(1-'组合输入'!$H2^2)*C110)</f>
        <v/>
      </c>
      <c r="E110" s="7">
        <f>IF(D110="","",NORM.S.DIST(D110,TRUE))</f>
        <v/>
      </c>
      <c r="F110" s="13">
        <f>IF(E110="","",IF(E110&lt;='组合输入'!$K2,"AAA",IF(E110&lt;='组合输入'!$L2,"AA",IF(E110&lt;='组合输入'!$M2,"A",IF(E110&lt;='组合输入'!$N2,"BBB",IF(E110&lt;='组合输入'!$O2,"BB",IF(E110&lt;='组合输入'!$P2,"B",IF(E110&lt;='组合输入'!$Q2,"CCC","D")))))))</f>
        <v/>
      </c>
      <c r="G110" s="12">
        <f>IF(F110="","",INDEX('状态价值'!$D2:$K2,MATCH(F110,'状态价值'!$D$1:$K$1,0)))</f>
        <v/>
      </c>
      <c r="H110" s="15">
        <f>NORM.S.INV(RAND())</f>
        <v/>
      </c>
      <c r="I110" s="15">
        <f>IF('组合输入'!$C3="","",'组合输入'!$H3*$B110+SQRT(1-'组合输入'!$H3^2)*H110)</f>
        <v/>
      </c>
      <c r="J110" s="7">
        <f>IF(I110="","",NORM.S.DIST(I110,TRUE))</f>
        <v/>
      </c>
      <c r="K110" s="13">
        <f>IF(J110="","",IF(J110&lt;='组合输入'!$K3,"AAA",IF(J110&lt;='组合输入'!$L3,"AA",IF(J110&lt;='组合输入'!$M3,"A",IF(J110&lt;='组合输入'!$N3,"BBB",IF(J110&lt;='组合输入'!$O3,"BB",IF(J110&lt;='组合输入'!$P3,"B",IF(J110&lt;='组合输入'!$Q3,"CCC","D")))))))</f>
        <v/>
      </c>
      <c r="L110" s="12">
        <f>IF(K110="","",INDEX('状态价值'!$D3:$K3,MATCH(K110,'状态价值'!$D$1:$K$1,0)))</f>
        <v/>
      </c>
      <c r="M110" s="15">
        <f>NORM.S.INV(RAND())</f>
        <v/>
      </c>
      <c r="N110" s="15">
        <f>IF('组合输入'!$C4="","",'组合输入'!$H4*$B110+SQRT(1-'组合输入'!$H4^2)*M110)</f>
        <v/>
      </c>
      <c r="O110" s="7">
        <f>IF(N110="","",NORM.S.DIST(N110,TRUE))</f>
        <v/>
      </c>
      <c r="P110" s="13">
        <f>IF(O110="","",IF(O110&lt;='组合输入'!$K4,"AAA",IF(O110&lt;='组合输入'!$L4,"AA",IF(O110&lt;='组合输入'!$M4,"A",IF(O110&lt;='组合输入'!$N4,"BBB",IF(O110&lt;='组合输入'!$O4,"BB",IF(O110&lt;='组合输入'!$P4,"B",IF(O110&lt;='组合输入'!$Q4,"CCC","D")))))))</f>
        <v/>
      </c>
      <c r="Q110" s="12">
        <f>IF(P110="","",INDEX('状态价值'!$D4:$K4,MATCH(P110,'状态价值'!$D$1:$K$1,0)))</f>
        <v/>
      </c>
      <c r="R110" s="15">
        <f>NORM.S.INV(RAND())</f>
        <v/>
      </c>
      <c r="S110" s="15">
        <f>IF('组合输入'!$C5="","",'组合输入'!$H5*$B110+SQRT(1-'组合输入'!$H5^2)*R110)</f>
        <v/>
      </c>
      <c r="T110" s="7">
        <f>IF(S110="","",NORM.S.DIST(S110,TRUE))</f>
        <v/>
      </c>
      <c r="U110" s="13">
        <f>IF(T110="","",IF(T110&lt;='组合输入'!$K5,"AAA",IF(T110&lt;='组合输入'!$L5,"AA",IF(T110&lt;='组合输入'!$M5,"A",IF(T110&lt;='组合输入'!$N5,"BBB",IF(T110&lt;='组合输入'!$O5,"BB",IF(T110&lt;='组合输入'!$P5,"B",IF(T110&lt;='组合输入'!$Q5,"CCC","D")))))))</f>
        <v/>
      </c>
      <c r="V110" s="12">
        <f>IF(U110="","",INDEX('状态价值'!$D5:$K5,MATCH(U110,'状态价值'!$D$1:$K$1,0)))</f>
        <v/>
      </c>
      <c r="W110" s="15">
        <f>NORM.S.INV(RAND())</f>
        <v/>
      </c>
      <c r="X110" s="15">
        <f>IF('组合输入'!$C6="","",'组合输入'!$H6*$B110+SQRT(1-'组合输入'!$H6^2)*W110)</f>
        <v/>
      </c>
      <c r="Y110" s="7">
        <f>IF(X110="","",NORM.S.DIST(X110,TRUE))</f>
        <v/>
      </c>
      <c r="Z110" s="13">
        <f>IF(Y110="","",IF(Y110&lt;='组合输入'!$K6,"AAA",IF(Y110&lt;='组合输入'!$L6,"AA",IF(Y110&lt;='组合输入'!$M6,"A",IF(Y110&lt;='组合输入'!$N6,"BBB",IF(Y110&lt;='组合输入'!$O6,"BB",IF(Y110&lt;='组合输入'!$P6,"B",IF(Y110&lt;='组合输入'!$Q6,"CCC","D")))))))</f>
        <v/>
      </c>
      <c r="AA110" s="12">
        <f>IF(Z110="","",INDEX('状态价值'!$D6:$K6,MATCH(Z110,'状态价值'!$D$1:$K$1,0)))</f>
        <v/>
      </c>
      <c r="AB110" s="15">
        <f>NORM.S.INV(RAND())</f>
        <v/>
      </c>
      <c r="AC110" s="15">
        <f>IF('组合输入'!$C7="","",'组合输入'!$H7*$B110+SQRT(1-'组合输入'!$H7^2)*AB110)</f>
        <v/>
      </c>
      <c r="AD110" s="7">
        <f>IF(AC110="","",NORM.S.DIST(AC110,TRUE))</f>
        <v/>
      </c>
      <c r="AE110" s="13">
        <f>IF(AD110="","",IF(AD110&lt;='组合输入'!$K7,"AAA",IF(AD110&lt;='组合输入'!$L7,"AA",IF(AD110&lt;='组合输入'!$M7,"A",IF(AD110&lt;='组合输入'!$N7,"BBB",IF(AD110&lt;='组合输入'!$O7,"BB",IF(AD110&lt;='组合输入'!$P7,"B",IF(AD110&lt;='组合输入'!$Q7,"CCC","D")))))))</f>
        <v/>
      </c>
      <c r="AF110" s="12">
        <f>IF(AE110="","",INDEX('状态价值'!$D7:$K7,MATCH(AE110,'状态价值'!$D$1:$K$1,0)))</f>
        <v/>
      </c>
      <c r="AG110" s="15">
        <f>NORM.S.INV(RAND())</f>
        <v/>
      </c>
      <c r="AH110" s="15">
        <f>IF('组合输入'!$C8="","",'组合输入'!$H8*$B110+SQRT(1-'组合输入'!$H8^2)*AG110)</f>
        <v/>
      </c>
      <c r="AI110" s="7">
        <f>IF(AH110="","",NORM.S.DIST(AH110,TRUE))</f>
        <v/>
      </c>
      <c r="AJ110" s="13">
        <f>IF(AI110="","",IF(AI110&lt;='组合输入'!$K8,"AAA",IF(AI110&lt;='组合输入'!$L8,"AA",IF(AI110&lt;='组合输入'!$M8,"A",IF(AI110&lt;='组合输入'!$N8,"BBB",IF(AI110&lt;='组合输入'!$O8,"BB",IF(AI110&lt;='组合输入'!$P8,"B",IF(AI110&lt;='组合输入'!$Q8,"CCC","D")))))))</f>
        <v/>
      </c>
      <c r="AK110" s="12">
        <f>IF(AJ110="","",INDEX('状态价值'!$D8:$K8,MATCH(AJ110,'状态价值'!$D$1:$K$1,0)))</f>
        <v/>
      </c>
      <c r="AL110" s="15">
        <f>NORM.S.INV(RAND())</f>
        <v/>
      </c>
      <c r="AM110" s="15">
        <f>IF('组合输入'!$C9="","",'组合输入'!$H9*$B110+SQRT(1-'组合输入'!$H9^2)*AL110)</f>
        <v/>
      </c>
      <c r="AN110" s="7">
        <f>IF(AM110="","",NORM.S.DIST(AM110,TRUE))</f>
        <v/>
      </c>
      <c r="AO110" s="13">
        <f>IF(AN110="","",IF(AN110&lt;='组合输入'!$K9,"AAA",IF(AN110&lt;='组合输入'!$L9,"AA",IF(AN110&lt;='组合输入'!$M9,"A",IF(AN110&lt;='组合输入'!$N9,"BBB",IF(AN110&lt;='组合输入'!$O9,"BB",IF(AN110&lt;='组合输入'!$P9,"B",IF(AN110&lt;='组合输入'!$Q9,"CCC","D")))))))</f>
        <v/>
      </c>
      <c r="AP110" s="12">
        <f>IF(AO110="","",INDEX('状态价值'!$D9:$K9,MATCH(AO110,'状态价值'!$D$1:$K$1,0)))</f>
        <v/>
      </c>
      <c r="AQ110" s="15">
        <f>NORM.S.INV(RAND())</f>
        <v/>
      </c>
      <c r="AR110" s="15">
        <f>IF('组合输入'!$C10="","",'组合输入'!$H10*$B110+SQRT(1-'组合输入'!$H10^2)*AQ110)</f>
        <v/>
      </c>
      <c r="AS110" s="7">
        <f>IF(AR110="","",NORM.S.DIST(AR110,TRUE))</f>
        <v/>
      </c>
      <c r="AT110" s="13">
        <f>IF(AS110="","",IF(AS110&lt;='组合输入'!$K10,"AAA",IF(AS110&lt;='组合输入'!$L10,"AA",IF(AS110&lt;='组合输入'!$M10,"A",IF(AS110&lt;='组合输入'!$N10,"BBB",IF(AS110&lt;='组合输入'!$O10,"BB",IF(AS110&lt;='组合输入'!$P10,"B",IF(AS110&lt;='组合输入'!$Q10,"CCC","D")))))))</f>
        <v/>
      </c>
      <c r="AU110" s="12">
        <f>IF(AT110="","",INDEX('状态价值'!$D10:$K10,MATCH(AT110,'状态价值'!$D$1:$K$1,0)))</f>
        <v/>
      </c>
      <c r="AV110" s="15">
        <f>NORM.S.INV(RAND())</f>
        <v/>
      </c>
      <c r="AW110" s="15">
        <f>IF('组合输入'!$C11="","",'组合输入'!$H11*$B110+SQRT(1-'组合输入'!$H11^2)*AV110)</f>
        <v/>
      </c>
      <c r="AX110" s="7">
        <f>IF(AW110="","",NORM.S.DIST(AW110,TRUE))</f>
        <v/>
      </c>
      <c r="AY110" s="13">
        <f>IF(AX110="","",IF(AX110&lt;='组合输入'!$K11,"AAA",IF(AX110&lt;='组合输入'!$L11,"AA",IF(AX110&lt;='组合输入'!$M11,"A",IF(AX110&lt;='组合输入'!$N11,"BBB",IF(AX110&lt;='组合输入'!$O11,"BB",IF(AX110&lt;='组合输入'!$P11,"B",IF(AX110&lt;='组合输入'!$Q11,"CCC","D")))))))</f>
        <v/>
      </c>
      <c r="AZ110" s="12">
        <f>IF(AY110="","",INDEX('状态价值'!$D11:$K11,MATCH(AY110,'状态价值'!$D$1:$K$1,0)))</f>
        <v/>
      </c>
      <c r="BA110" s="12">
        <f>G110+L110+Q110+V110+AA110+AF110+AK110+AP110+AU110+AZ110</f>
        <v/>
      </c>
      <c r="BB110" s="12">
        <f>SUM('组合输入'!$J$2:$J$11)-BA110</f>
        <v/>
      </c>
    </row>
    <row r="111">
      <c r="A111" s="11" t="n">
        <v>110</v>
      </c>
      <c r="B111" s="14">
        <f>NORM.S.INV(RAND())</f>
        <v/>
      </c>
      <c r="C111" s="14">
        <f>NORM.S.INV(RAND())</f>
        <v/>
      </c>
      <c r="D111" s="15">
        <f>IF('组合输入'!$C2="","",'组合输入'!$H2*$B111+SQRT(1-'组合输入'!$H2^2)*C111)</f>
        <v/>
      </c>
      <c r="E111" s="7">
        <f>IF(D111="","",NORM.S.DIST(D111,TRUE))</f>
        <v/>
      </c>
      <c r="F111" s="13">
        <f>IF(E111="","",IF(E111&lt;='组合输入'!$K2,"AAA",IF(E111&lt;='组合输入'!$L2,"AA",IF(E111&lt;='组合输入'!$M2,"A",IF(E111&lt;='组合输入'!$N2,"BBB",IF(E111&lt;='组合输入'!$O2,"BB",IF(E111&lt;='组合输入'!$P2,"B",IF(E111&lt;='组合输入'!$Q2,"CCC","D")))))))</f>
        <v/>
      </c>
      <c r="G111" s="12">
        <f>IF(F111="","",INDEX('状态价值'!$D2:$K2,MATCH(F111,'状态价值'!$D$1:$K$1,0)))</f>
        <v/>
      </c>
      <c r="H111" s="15">
        <f>NORM.S.INV(RAND())</f>
        <v/>
      </c>
      <c r="I111" s="15">
        <f>IF('组合输入'!$C3="","",'组合输入'!$H3*$B111+SQRT(1-'组合输入'!$H3^2)*H111)</f>
        <v/>
      </c>
      <c r="J111" s="7">
        <f>IF(I111="","",NORM.S.DIST(I111,TRUE))</f>
        <v/>
      </c>
      <c r="K111" s="13">
        <f>IF(J111="","",IF(J111&lt;='组合输入'!$K3,"AAA",IF(J111&lt;='组合输入'!$L3,"AA",IF(J111&lt;='组合输入'!$M3,"A",IF(J111&lt;='组合输入'!$N3,"BBB",IF(J111&lt;='组合输入'!$O3,"BB",IF(J111&lt;='组合输入'!$P3,"B",IF(J111&lt;='组合输入'!$Q3,"CCC","D")))))))</f>
        <v/>
      </c>
      <c r="L111" s="12">
        <f>IF(K111="","",INDEX('状态价值'!$D3:$K3,MATCH(K111,'状态价值'!$D$1:$K$1,0)))</f>
        <v/>
      </c>
      <c r="M111" s="15">
        <f>NORM.S.INV(RAND())</f>
        <v/>
      </c>
      <c r="N111" s="15">
        <f>IF('组合输入'!$C4="","",'组合输入'!$H4*$B111+SQRT(1-'组合输入'!$H4^2)*M111)</f>
        <v/>
      </c>
      <c r="O111" s="7">
        <f>IF(N111="","",NORM.S.DIST(N111,TRUE))</f>
        <v/>
      </c>
      <c r="P111" s="13">
        <f>IF(O111="","",IF(O111&lt;='组合输入'!$K4,"AAA",IF(O111&lt;='组合输入'!$L4,"AA",IF(O111&lt;='组合输入'!$M4,"A",IF(O111&lt;='组合输入'!$N4,"BBB",IF(O111&lt;='组合输入'!$O4,"BB",IF(O111&lt;='组合输入'!$P4,"B",IF(O111&lt;='组合输入'!$Q4,"CCC","D")))))))</f>
        <v/>
      </c>
      <c r="Q111" s="12">
        <f>IF(P111="","",INDEX('状态价值'!$D4:$K4,MATCH(P111,'状态价值'!$D$1:$K$1,0)))</f>
        <v/>
      </c>
      <c r="R111" s="15">
        <f>NORM.S.INV(RAND())</f>
        <v/>
      </c>
      <c r="S111" s="15">
        <f>IF('组合输入'!$C5="","",'组合输入'!$H5*$B111+SQRT(1-'组合输入'!$H5^2)*R111)</f>
        <v/>
      </c>
      <c r="T111" s="7">
        <f>IF(S111="","",NORM.S.DIST(S111,TRUE))</f>
        <v/>
      </c>
      <c r="U111" s="13">
        <f>IF(T111="","",IF(T111&lt;='组合输入'!$K5,"AAA",IF(T111&lt;='组合输入'!$L5,"AA",IF(T111&lt;='组合输入'!$M5,"A",IF(T111&lt;='组合输入'!$N5,"BBB",IF(T111&lt;='组合输入'!$O5,"BB",IF(T111&lt;='组合输入'!$P5,"B",IF(T111&lt;='组合输入'!$Q5,"CCC","D")))))))</f>
        <v/>
      </c>
      <c r="V111" s="12">
        <f>IF(U111="","",INDEX('状态价值'!$D5:$K5,MATCH(U111,'状态价值'!$D$1:$K$1,0)))</f>
        <v/>
      </c>
      <c r="W111" s="15">
        <f>NORM.S.INV(RAND())</f>
        <v/>
      </c>
      <c r="X111" s="15">
        <f>IF('组合输入'!$C6="","",'组合输入'!$H6*$B111+SQRT(1-'组合输入'!$H6^2)*W111)</f>
        <v/>
      </c>
      <c r="Y111" s="7">
        <f>IF(X111="","",NORM.S.DIST(X111,TRUE))</f>
        <v/>
      </c>
      <c r="Z111" s="13">
        <f>IF(Y111="","",IF(Y111&lt;='组合输入'!$K6,"AAA",IF(Y111&lt;='组合输入'!$L6,"AA",IF(Y111&lt;='组合输入'!$M6,"A",IF(Y111&lt;='组合输入'!$N6,"BBB",IF(Y111&lt;='组合输入'!$O6,"BB",IF(Y111&lt;='组合输入'!$P6,"B",IF(Y111&lt;='组合输入'!$Q6,"CCC","D")))))))</f>
        <v/>
      </c>
      <c r="AA111" s="12">
        <f>IF(Z111="","",INDEX('状态价值'!$D6:$K6,MATCH(Z111,'状态价值'!$D$1:$K$1,0)))</f>
        <v/>
      </c>
      <c r="AB111" s="15">
        <f>NORM.S.INV(RAND())</f>
        <v/>
      </c>
      <c r="AC111" s="15">
        <f>IF('组合输入'!$C7="","",'组合输入'!$H7*$B111+SQRT(1-'组合输入'!$H7^2)*AB111)</f>
        <v/>
      </c>
      <c r="AD111" s="7">
        <f>IF(AC111="","",NORM.S.DIST(AC111,TRUE))</f>
        <v/>
      </c>
      <c r="AE111" s="13">
        <f>IF(AD111="","",IF(AD111&lt;='组合输入'!$K7,"AAA",IF(AD111&lt;='组合输入'!$L7,"AA",IF(AD111&lt;='组合输入'!$M7,"A",IF(AD111&lt;='组合输入'!$N7,"BBB",IF(AD111&lt;='组合输入'!$O7,"BB",IF(AD111&lt;='组合输入'!$P7,"B",IF(AD111&lt;='组合输入'!$Q7,"CCC","D")))))))</f>
        <v/>
      </c>
      <c r="AF111" s="12">
        <f>IF(AE111="","",INDEX('状态价值'!$D7:$K7,MATCH(AE111,'状态价值'!$D$1:$K$1,0)))</f>
        <v/>
      </c>
      <c r="AG111" s="15">
        <f>NORM.S.INV(RAND())</f>
        <v/>
      </c>
      <c r="AH111" s="15">
        <f>IF('组合输入'!$C8="","",'组合输入'!$H8*$B111+SQRT(1-'组合输入'!$H8^2)*AG111)</f>
        <v/>
      </c>
      <c r="AI111" s="7">
        <f>IF(AH111="","",NORM.S.DIST(AH111,TRUE))</f>
        <v/>
      </c>
      <c r="AJ111" s="13">
        <f>IF(AI111="","",IF(AI111&lt;='组合输入'!$K8,"AAA",IF(AI111&lt;='组合输入'!$L8,"AA",IF(AI111&lt;='组合输入'!$M8,"A",IF(AI111&lt;='组合输入'!$N8,"BBB",IF(AI111&lt;='组合输入'!$O8,"BB",IF(AI111&lt;='组合输入'!$P8,"B",IF(AI111&lt;='组合输入'!$Q8,"CCC","D")))))))</f>
        <v/>
      </c>
      <c r="AK111" s="12">
        <f>IF(AJ111="","",INDEX('状态价值'!$D8:$K8,MATCH(AJ111,'状态价值'!$D$1:$K$1,0)))</f>
        <v/>
      </c>
      <c r="AL111" s="15">
        <f>NORM.S.INV(RAND())</f>
        <v/>
      </c>
      <c r="AM111" s="15">
        <f>IF('组合输入'!$C9="","",'组合输入'!$H9*$B111+SQRT(1-'组合输入'!$H9^2)*AL111)</f>
        <v/>
      </c>
      <c r="AN111" s="7">
        <f>IF(AM111="","",NORM.S.DIST(AM111,TRUE))</f>
        <v/>
      </c>
      <c r="AO111" s="13">
        <f>IF(AN111="","",IF(AN111&lt;='组合输入'!$K9,"AAA",IF(AN111&lt;='组合输入'!$L9,"AA",IF(AN111&lt;='组合输入'!$M9,"A",IF(AN111&lt;='组合输入'!$N9,"BBB",IF(AN111&lt;='组合输入'!$O9,"BB",IF(AN111&lt;='组合输入'!$P9,"B",IF(AN111&lt;='组合输入'!$Q9,"CCC","D")))))))</f>
        <v/>
      </c>
      <c r="AP111" s="12">
        <f>IF(AO111="","",INDEX('状态价值'!$D9:$K9,MATCH(AO111,'状态价值'!$D$1:$K$1,0)))</f>
        <v/>
      </c>
      <c r="AQ111" s="15">
        <f>NORM.S.INV(RAND())</f>
        <v/>
      </c>
      <c r="AR111" s="15">
        <f>IF('组合输入'!$C10="","",'组合输入'!$H10*$B111+SQRT(1-'组合输入'!$H10^2)*AQ111)</f>
        <v/>
      </c>
      <c r="AS111" s="7">
        <f>IF(AR111="","",NORM.S.DIST(AR111,TRUE))</f>
        <v/>
      </c>
      <c r="AT111" s="13">
        <f>IF(AS111="","",IF(AS111&lt;='组合输入'!$K10,"AAA",IF(AS111&lt;='组合输入'!$L10,"AA",IF(AS111&lt;='组合输入'!$M10,"A",IF(AS111&lt;='组合输入'!$N10,"BBB",IF(AS111&lt;='组合输入'!$O10,"BB",IF(AS111&lt;='组合输入'!$P10,"B",IF(AS111&lt;='组合输入'!$Q10,"CCC","D")))))))</f>
        <v/>
      </c>
      <c r="AU111" s="12">
        <f>IF(AT111="","",INDEX('状态价值'!$D10:$K10,MATCH(AT111,'状态价值'!$D$1:$K$1,0)))</f>
        <v/>
      </c>
      <c r="AV111" s="15">
        <f>NORM.S.INV(RAND())</f>
        <v/>
      </c>
      <c r="AW111" s="15">
        <f>IF('组合输入'!$C11="","",'组合输入'!$H11*$B111+SQRT(1-'组合输入'!$H11^2)*AV111)</f>
        <v/>
      </c>
      <c r="AX111" s="7">
        <f>IF(AW111="","",NORM.S.DIST(AW111,TRUE))</f>
        <v/>
      </c>
      <c r="AY111" s="13">
        <f>IF(AX111="","",IF(AX111&lt;='组合输入'!$K11,"AAA",IF(AX111&lt;='组合输入'!$L11,"AA",IF(AX111&lt;='组合输入'!$M11,"A",IF(AX111&lt;='组合输入'!$N11,"BBB",IF(AX111&lt;='组合输入'!$O11,"BB",IF(AX111&lt;='组合输入'!$P11,"B",IF(AX111&lt;='组合输入'!$Q11,"CCC","D")))))))</f>
        <v/>
      </c>
      <c r="AZ111" s="12">
        <f>IF(AY111="","",INDEX('状态价值'!$D11:$K11,MATCH(AY111,'状态价值'!$D$1:$K$1,0)))</f>
        <v/>
      </c>
      <c r="BA111" s="12">
        <f>G111+L111+Q111+V111+AA111+AF111+AK111+AP111+AU111+AZ111</f>
        <v/>
      </c>
      <c r="BB111" s="12">
        <f>SUM('组合输入'!$J$2:$J$11)-BA111</f>
        <v/>
      </c>
    </row>
    <row r="112">
      <c r="A112" s="11" t="n">
        <v>111</v>
      </c>
      <c r="B112" s="14">
        <f>NORM.S.INV(RAND())</f>
        <v/>
      </c>
      <c r="C112" s="14">
        <f>NORM.S.INV(RAND())</f>
        <v/>
      </c>
      <c r="D112" s="15">
        <f>IF('组合输入'!$C2="","",'组合输入'!$H2*$B112+SQRT(1-'组合输入'!$H2^2)*C112)</f>
        <v/>
      </c>
      <c r="E112" s="7">
        <f>IF(D112="","",NORM.S.DIST(D112,TRUE))</f>
        <v/>
      </c>
      <c r="F112" s="13">
        <f>IF(E112="","",IF(E112&lt;='组合输入'!$K2,"AAA",IF(E112&lt;='组合输入'!$L2,"AA",IF(E112&lt;='组合输入'!$M2,"A",IF(E112&lt;='组合输入'!$N2,"BBB",IF(E112&lt;='组合输入'!$O2,"BB",IF(E112&lt;='组合输入'!$P2,"B",IF(E112&lt;='组合输入'!$Q2,"CCC","D")))))))</f>
        <v/>
      </c>
      <c r="G112" s="12">
        <f>IF(F112="","",INDEX('状态价值'!$D2:$K2,MATCH(F112,'状态价值'!$D$1:$K$1,0)))</f>
        <v/>
      </c>
      <c r="H112" s="15">
        <f>NORM.S.INV(RAND())</f>
        <v/>
      </c>
      <c r="I112" s="15">
        <f>IF('组合输入'!$C3="","",'组合输入'!$H3*$B112+SQRT(1-'组合输入'!$H3^2)*H112)</f>
        <v/>
      </c>
      <c r="J112" s="7">
        <f>IF(I112="","",NORM.S.DIST(I112,TRUE))</f>
        <v/>
      </c>
      <c r="K112" s="13">
        <f>IF(J112="","",IF(J112&lt;='组合输入'!$K3,"AAA",IF(J112&lt;='组合输入'!$L3,"AA",IF(J112&lt;='组合输入'!$M3,"A",IF(J112&lt;='组合输入'!$N3,"BBB",IF(J112&lt;='组合输入'!$O3,"BB",IF(J112&lt;='组合输入'!$P3,"B",IF(J112&lt;='组合输入'!$Q3,"CCC","D")))))))</f>
        <v/>
      </c>
      <c r="L112" s="12">
        <f>IF(K112="","",INDEX('状态价值'!$D3:$K3,MATCH(K112,'状态价值'!$D$1:$K$1,0)))</f>
        <v/>
      </c>
      <c r="M112" s="15">
        <f>NORM.S.INV(RAND())</f>
        <v/>
      </c>
      <c r="N112" s="15">
        <f>IF('组合输入'!$C4="","",'组合输入'!$H4*$B112+SQRT(1-'组合输入'!$H4^2)*M112)</f>
        <v/>
      </c>
      <c r="O112" s="7">
        <f>IF(N112="","",NORM.S.DIST(N112,TRUE))</f>
        <v/>
      </c>
      <c r="P112" s="13">
        <f>IF(O112="","",IF(O112&lt;='组合输入'!$K4,"AAA",IF(O112&lt;='组合输入'!$L4,"AA",IF(O112&lt;='组合输入'!$M4,"A",IF(O112&lt;='组合输入'!$N4,"BBB",IF(O112&lt;='组合输入'!$O4,"BB",IF(O112&lt;='组合输入'!$P4,"B",IF(O112&lt;='组合输入'!$Q4,"CCC","D")))))))</f>
        <v/>
      </c>
      <c r="Q112" s="12">
        <f>IF(P112="","",INDEX('状态价值'!$D4:$K4,MATCH(P112,'状态价值'!$D$1:$K$1,0)))</f>
        <v/>
      </c>
      <c r="R112" s="15">
        <f>NORM.S.INV(RAND())</f>
        <v/>
      </c>
      <c r="S112" s="15">
        <f>IF('组合输入'!$C5="","",'组合输入'!$H5*$B112+SQRT(1-'组合输入'!$H5^2)*R112)</f>
        <v/>
      </c>
      <c r="T112" s="7">
        <f>IF(S112="","",NORM.S.DIST(S112,TRUE))</f>
        <v/>
      </c>
      <c r="U112" s="13">
        <f>IF(T112="","",IF(T112&lt;='组合输入'!$K5,"AAA",IF(T112&lt;='组合输入'!$L5,"AA",IF(T112&lt;='组合输入'!$M5,"A",IF(T112&lt;='组合输入'!$N5,"BBB",IF(T112&lt;='组合输入'!$O5,"BB",IF(T112&lt;='组合输入'!$P5,"B",IF(T112&lt;='组合输入'!$Q5,"CCC","D")))))))</f>
        <v/>
      </c>
      <c r="V112" s="12">
        <f>IF(U112="","",INDEX('状态价值'!$D5:$K5,MATCH(U112,'状态价值'!$D$1:$K$1,0)))</f>
        <v/>
      </c>
      <c r="W112" s="15">
        <f>NORM.S.INV(RAND())</f>
        <v/>
      </c>
      <c r="X112" s="15">
        <f>IF('组合输入'!$C6="","",'组合输入'!$H6*$B112+SQRT(1-'组合输入'!$H6^2)*W112)</f>
        <v/>
      </c>
      <c r="Y112" s="7">
        <f>IF(X112="","",NORM.S.DIST(X112,TRUE))</f>
        <v/>
      </c>
      <c r="Z112" s="13">
        <f>IF(Y112="","",IF(Y112&lt;='组合输入'!$K6,"AAA",IF(Y112&lt;='组合输入'!$L6,"AA",IF(Y112&lt;='组合输入'!$M6,"A",IF(Y112&lt;='组合输入'!$N6,"BBB",IF(Y112&lt;='组合输入'!$O6,"BB",IF(Y112&lt;='组合输入'!$P6,"B",IF(Y112&lt;='组合输入'!$Q6,"CCC","D")))))))</f>
        <v/>
      </c>
      <c r="AA112" s="12">
        <f>IF(Z112="","",INDEX('状态价值'!$D6:$K6,MATCH(Z112,'状态价值'!$D$1:$K$1,0)))</f>
        <v/>
      </c>
      <c r="AB112" s="15">
        <f>NORM.S.INV(RAND())</f>
        <v/>
      </c>
      <c r="AC112" s="15">
        <f>IF('组合输入'!$C7="","",'组合输入'!$H7*$B112+SQRT(1-'组合输入'!$H7^2)*AB112)</f>
        <v/>
      </c>
      <c r="AD112" s="7">
        <f>IF(AC112="","",NORM.S.DIST(AC112,TRUE))</f>
        <v/>
      </c>
      <c r="AE112" s="13">
        <f>IF(AD112="","",IF(AD112&lt;='组合输入'!$K7,"AAA",IF(AD112&lt;='组合输入'!$L7,"AA",IF(AD112&lt;='组合输入'!$M7,"A",IF(AD112&lt;='组合输入'!$N7,"BBB",IF(AD112&lt;='组合输入'!$O7,"BB",IF(AD112&lt;='组合输入'!$P7,"B",IF(AD112&lt;='组合输入'!$Q7,"CCC","D")))))))</f>
        <v/>
      </c>
      <c r="AF112" s="12">
        <f>IF(AE112="","",INDEX('状态价值'!$D7:$K7,MATCH(AE112,'状态价值'!$D$1:$K$1,0)))</f>
        <v/>
      </c>
      <c r="AG112" s="15">
        <f>NORM.S.INV(RAND())</f>
        <v/>
      </c>
      <c r="AH112" s="15">
        <f>IF('组合输入'!$C8="","",'组合输入'!$H8*$B112+SQRT(1-'组合输入'!$H8^2)*AG112)</f>
        <v/>
      </c>
      <c r="AI112" s="7">
        <f>IF(AH112="","",NORM.S.DIST(AH112,TRUE))</f>
        <v/>
      </c>
      <c r="AJ112" s="13">
        <f>IF(AI112="","",IF(AI112&lt;='组合输入'!$K8,"AAA",IF(AI112&lt;='组合输入'!$L8,"AA",IF(AI112&lt;='组合输入'!$M8,"A",IF(AI112&lt;='组合输入'!$N8,"BBB",IF(AI112&lt;='组合输入'!$O8,"BB",IF(AI112&lt;='组合输入'!$P8,"B",IF(AI112&lt;='组合输入'!$Q8,"CCC","D")))))))</f>
        <v/>
      </c>
      <c r="AK112" s="12">
        <f>IF(AJ112="","",INDEX('状态价值'!$D8:$K8,MATCH(AJ112,'状态价值'!$D$1:$K$1,0)))</f>
        <v/>
      </c>
      <c r="AL112" s="15">
        <f>NORM.S.INV(RAND())</f>
        <v/>
      </c>
      <c r="AM112" s="15">
        <f>IF('组合输入'!$C9="","",'组合输入'!$H9*$B112+SQRT(1-'组合输入'!$H9^2)*AL112)</f>
        <v/>
      </c>
      <c r="AN112" s="7">
        <f>IF(AM112="","",NORM.S.DIST(AM112,TRUE))</f>
        <v/>
      </c>
      <c r="AO112" s="13">
        <f>IF(AN112="","",IF(AN112&lt;='组合输入'!$K9,"AAA",IF(AN112&lt;='组合输入'!$L9,"AA",IF(AN112&lt;='组合输入'!$M9,"A",IF(AN112&lt;='组合输入'!$N9,"BBB",IF(AN112&lt;='组合输入'!$O9,"BB",IF(AN112&lt;='组合输入'!$P9,"B",IF(AN112&lt;='组合输入'!$Q9,"CCC","D")))))))</f>
        <v/>
      </c>
      <c r="AP112" s="12">
        <f>IF(AO112="","",INDEX('状态价值'!$D9:$K9,MATCH(AO112,'状态价值'!$D$1:$K$1,0)))</f>
        <v/>
      </c>
      <c r="AQ112" s="15">
        <f>NORM.S.INV(RAND())</f>
        <v/>
      </c>
      <c r="AR112" s="15">
        <f>IF('组合输入'!$C10="","",'组合输入'!$H10*$B112+SQRT(1-'组合输入'!$H10^2)*AQ112)</f>
        <v/>
      </c>
      <c r="AS112" s="7">
        <f>IF(AR112="","",NORM.S.DIST(AR112,TRUE))</f>
        <v/>
      </c>
      <c r="AT112" s="13">
        <f>IF(AS112="","",IF(AS112&lt;='组合输入'!$K10,"AAA",IF(AS112&lt;='组合输入'!$L10,"AA",IF(AS112&lt;='组合输入'!$M10,"A",IF(AS112&lt;='组合输入'!$N10,"BBB",IF(AS112&lt;='组合输入'!$O10,"BB",IF(AS112&lt;='组合输入'!$P10,"B",IF(AS112&lt;='组合输入'!$Q10,"CCC","D")))))))</f>
        <v/>
      </c>
      <c r="AU112" s="12">
        <f>IF(AT112="","",INDEX('状态价值'!$D10:$K10,MATCH(AT112,'状态价值'!$D$1:$K$1,0)))</f>
        <v/>
      </c>
      <c r="AV112" s="15">
        <f>NORM.S.INV(RAND())</f>
        <v/>
      </c>
      <c r="AW112" s="15">
        <f>IF('组合输入'!$C11="","",'组合输入'!$H11*$B112+SQRT(1-'组合输入'!$H11^2)*AV112)</f>
        <v/>
      </c>
      <c r="AX112" s="7">
        <f>IF(AW112="","",NORM.S.DIST(AW112,TRUE))</f>
        <v/>
      </c>
      <c r="AY112" s="13">
        <f>IF(AX112="","",IF(AX112&lt;='组合输入'!$K11,"AAA",IF(AX112&lt;='组合输入'!$L11,"AA",IF(AX112&lt;='组合输入'!$M11,"A",IF(AX112&lt;='组合输入'!$N11,"BBB",IF(AX112&lt;='组合输入'!$O11,"BB",IF(AX112&lt;='组合输入'!$P11,"B",IF(AX112&lt;='组合输入'!$Q11,"CCC","D")))))))</f>
        <v/>
      </c>
      <c r="AZ112" s="12">
        <f>IF(AY112="","",INDEX('状态价值'!$D11:$K11,MATCH(AY112,'状态价值'!$D$1:$K$1,0)))</f>
        <v/>
      </c>
      <c r="BA112" s="12">
        <f>G112+L112+Q112+V112+AA112+AF112+AK112+AP112+AU112+AZ112</f>
        <v/>
      </c>
      <c r="BB112" s="12">
        <f>SUM('组合输入'!$J$2:$J$11)-BA112</f>
        <v/>
      </c>
    </row>
    <row r="113">
      <c r="A113" s="11" t="n">
        <v>112</v>
      </c>
      <c r="B113" s="14">
        <f>NORM.S.INV(RAND())</f>
        <v/>
      </c>
      <c r="C113" s="14">
        <f>NORM.S.INV(RAND())</f>
        <v/>
      </c>
      <c r="D113" s="15">
        <f>IF('组合输入'!$C2="","",'组合输入'!$H2*$B113+SQRT(1-'组合输入'!$H2^2)*C113)</f>
        <v/>
      </c>
      <c r="E113" s="7">
        <f>IF(D113="","",NORM.S.DIST(D113,TRUE))</f>
        <v/>
      </c>
      <c r="F113" s="13">
        <f>IF(E113="","",IF(E113&lt;='组合输入'!$K2,"AAA",IF(E113&lt;='组合输入'!$L2,"AA",IF(E113&lt;='组合输入'!$M2,"A",IF(E113&lt;='组合输入'!$N2,"BBB",IF(E113&lt;='组合输入'!$O2,"BB",IF(E113&lt;='组合输入'!$P2,"B",IF(E113&lt;='组合输入'!$Q2,"CCC","D")))))))</f>
        <v/>
      </c>
      <c r="G113" s="12">
        <f>IF(F113="","",INDEX('状态价值'!$D2:$K2,MATCH(F113,'状态价值'!$D$1:$K$1,0)))</f>
        <v/>
      </c>
      <c r="H113" s="15">
        <f>NORM.S.INV(RAND())</f>
        <v/>
      </c>
      <c r="I113" s="15">
        <f>IF('组合输入'!$C3="","",'组合输入'!$H3*$B113+SQRT(1-'组合输入'!$H3^2)*H113)</f>
        <v/>
      </c>
      <c r="J113" s="7">
        <f>IF(I113="","",NORM.S.DIST(I113,TRUE))</f>
        <v/>
      </c>
      <c r="K113" s="13">
        <f>IF(J113="","",IF(J113&lt;='组合输入'!$K3,"AAA",IF(J113&lt;='组合输入'!$L3,"AA",IF(J113&lt;='组合输入'!$M3,"A",IF(J113&lt;='组合输入'!$N3,"BBB",IF(J113&lt;='组合输入'!$O3,"BB",IF(J113&lt;='组合输入'!$P3,"B",IF(J113&lt;='组合输入'!$Q3,"CCC","D")))))))</f>
        <v/>
      </c>
      <c r="L113" s="12">
        <f>IF(K113="","",INDEX('状态价值'!$D3:$K3,MATCH(K113,'状态价值'!$D$1:$K$1,0)))</f>
        <v/>
      </c>
      <c r="M113" s="15">
        <f>NORM.S.INV(RAND())</f>
        <v/>
      </c>
      <c r="N113" s="15">
        <f>IF('组合输入'!$C4="","",'组合输入'!$H4*$B113+SQRT(1-'组合输入'!$H4^2)*M113)</f>
        <v/>
      </c>
      <c r="O113" s="7">
        <f>IF(N113="","",NORM.S.DIST(N113,TRUE))</f>
        <v/>
      </c>
      <c r="P113" s="13">
        <f>IF(O113="","",IF(O113&lt;='组合输入'!$K4,"AAA",IF(O113&lt;='组合输入'!$L4,"AA",IF(O113&lt;='组合输入'!$M4,"A",IF(O113&lt;='组合输入'!$N4,"BBB",IF(O113&lt;='组合输入'!$O4,"BB",IF(O113&lt;='组合输入'!$P4,"B",IF(O113&lt;='组合输入'!$Q4,"CCC","D")))))))</f>
        <v/>
      </c>
      <c r="Q113" s="12">
        <f>IF(P113="","",INDEX('状态价值'!$D4:$K4,MATCH(P113,'状态价值'!$D$1:$K$1,0)))</f>
        <v/>
      </c>
      <c r="R113" s="15">
        <f>NORM.S.INV(RAND())</f>
        <v/>
      </c>
      <c r="S113" s="15">
        <f>IF('组合输入'!$C5="","",'组合输入'!$H5*$B113+SQRT(1-'组合输入'!$H5^2)*R113)</f>
        <v/>
      </c>
      <c r="T113" s="7">
        <f>IF(S113="","",NORM.S.DIST(S113,TRUE))</f>
        <v/>
      </c>
      <c r="U113" s="13">
        <f>IF(T113="","",IF(T113&lt;='组合输入'!$K5,"AAA",IF(T113&lt;='组合输入'!$L5,"AA",IF(T113&lt;='组合输入'!$M5,"A",IF(T113&lt;='组合输入'!$N5,"BBB",IF(T113&lt;='组合输入'!$O5,"BB",IF(T113&lt;='组合输入'!$P5,"B",IF(T113&lt;='组合输入'!$Q5,"CCC","D")))))))</f>
        <v/>
      </c>
      <c r="V113" s="12">
        <f>IF(U113="","",INDEX('状态价值'!$D5:$K5,MATCH(U113,'状态价值'!$D$1:$K$1,0)))</f>
        <v/>
      </c>
      <c r="W113" s="15">
        <f>NORM.S.INV(RAND())</f>
        <v/>
      </c>
      <c r="X113" s="15">
        <f>IF('组合输入'!$C6="","",'组合输入'!$H6*$B113+SQRT(1-'组合输入'!$H6^2)*W113)</f>
        <v/>
      </c>
      <c r="Y113" s="7">
        <f>IF(X113="","",NORM.S.DIST(X113,TRUE))</f>
        <v/>
      </c>
      <c r="Z113" s="13">
        <f>IF(Y113="","",IF(Y113&lt;='组合输入'!$K6,"AAA",IF(Y113&lt;='组合输入'!$L6,"AA",IF(Y113&lt;='组合输入'!$M6,"A",IF(Y113&lt;='组合输入'!$N6,"BBB",IF(Y113&lt;='组合输入'!$O6,"BB",IF(Y113&lt;='组合输入'!$P6,"B",IF(Y113&lt;='组合输入'!$Q6,"CCC","D")))))))</f>
        <v/>
      </c>
      <c r="AA113" s="12">
        <f>IF(Z113="","",INDEX('状态价值'!$D6:$K6,MATCH(Z113,'状态价值'!$D$1:$K$1,0)))</f>
        <v/>
      </c>
      <c r="AB113" s="15">
        <f>NORM.S.INV(RAND())</f>
        <v/>
      </c>
      <c r="AC113" s="15">
        <f>IF('组合输入'!$C7="","",'组合输入'!$H7*$B113+SQRT(1-'组合输入'!$H7^2)*AB113)</f>
        <v/>
      </c>
      <c r="AD113" s="7">
        <f>IF(AC113="","",NORM.S.DIST(AC113,TRUE))</f>
        <v/>
      </c>
      <c r="AE113" s="13">
        <f>IF(AD113="","",IF(AD113&lt;='组合输入'!$K7,"AAA",IF(AD113&lt;='组合输入'!$L7,"AA",IF(AD113&lt;='组合输入'!$M7,"A",IF(AD113&lt;='组合输入'!$N7,"BBB",IF(AD113&lt;='组合输入'!$O7,"BB",IF(AD113&lt;='组合输入'!$P7,"B",IF(AD113&lt;='组合输入'!$Q7,"CCC","D")))))))</f>
        <v/>
      </c>
      <c r="AF113" s="12">
        <f>IF(AE113="","",INDEX('状态价值'!$D7:$K7,MATCH(AE113,'状态价值'!$D$1:$K$1,0)))</f>
        <v/>
      </c>
      <c r="AG113" s="15">
        <f>NORM.S.INV(RAND())</f>
        <v/>
      </c>
      <c r="AH113" s="15">
        <f>IF('组合输入'!$C8="","",'组合输入'!$H8*$B113+SQRT(1-'组合输入'!$H8^2)*AG113)</f>
        <v/>
      </c>
      <c r="AI113" s="7">
        <f>IF(AH113="","",NORM.S.DIST(AH113,TRUE))</f>
        <v/>
      </c>
      <c r="AJ113" s="13">
        <f>IF(AI113="","",IF(AI113&lt;='组合输入'!$K8,"AAA",IF(AI113&lt;='组合输入'!$L8,"AA",IF(AI113&lt;='组合输入'!$M8,"A",IF(AI113&lt;='组合输入'!$N8,"BBB",IF(AI113&lt;='组合输入'!$O8,"BB",IF(AI113&lt;='组合输入'!$P8,"B",IF(AI113&lt;='组合输入'!$Q8,"CCC","D")))))))</f>
        <v/>
      </c>
      <c r="AK113" s="12">
        <f>IF(AJ113="","",INDEX('状态价值'!$D8:$K8,MATCH(AJ113,'状态价值'!$D$1:$K$1,0)))</f>
        <v/>
      </c>
      <c r="AL113" s="15">
        <f>NORM.S.INV(RAND())</f>
        <v/>
      </c>
      <c r="AM113" s="15">
        <f>IF('组合输入'!$C9="","",'组合输入'!$H9*$B113+SQRT(1-'组合输入'!$H9^2)*AL113)</f>
        <v/>
      </c>
      <c r="AN113" s="7">
        <f>IF(AM113="","",NORM.S.DIST(AM113,TRUE))</f>
        <v/>
      </c>
      <c r="AO113" s="13">
        <f>IF(AN113="","",IF(AN113&lt;='组合输入'!$K9,"AAA",IF(AN113&lt;='组合输入'!$L9,"AA",IF(AN113&lt;='组合输入'!$M9,"A",IF(AN113&lt;='组合输入'!$N9,"BBB",IF(AN113&lt;='组合输入'!$O9,"BB",IF(AN113&lt;='组合输入'!$P9,"B",IF(AN113&lt;='组合输入'!$Q9,"CCC","D")))))))</f>
        <v/>
      </c>
      <c r="AP113" s="12">
        <f>IF(AO113="","",INDEX('状态价值'!$D9:$K9,MATCH(AO113,'状态价值'!$D$1:$K$1,0)))</f>
        <v/>
      </c>
      <c r="AQ113" s="15">
        <f>NORM.S.INV(RAND())</f>
        <v/>
      </c>
      <c r="AR113" s="15">
        <f>IF('组合输入'!$C10="","",'组合输入'!$H10*$B113+SQRT(1-'组合输入'!$H10^2)*AQ113)</f>
        <v/>
      </c>
      <c r="AS113" s="7">
        <f>IF(AR113="","",NORM.S.DIST(AR113,TRUE))</f>
        <v/>
      </c>
      <c r="AT113" s="13">
        <f>IF(AS113="","",IF(AS113&lt;='组合输入'!$K10,"AAA",IF(AS113&lt;='组合输入'!$L10,"AA",IF(AS113&lt;='组合输入'!$M10,"A",IF(AS113&lt;='组合输入'!$N10,"BBB",IF(AS113&lt;='组合输入'!$O10,"BB",IF(AS113&lt;='组合输入'!$P10,"B",IF(AS113&lt;='组合输入'!$Q10,"CCC","D")))))))</f>
        <v/>
      </c>
      <c r="AU113" s="12">
        <f>IF(AT113="","",INDEX('状态价值'!$D10:$K10,MATCH(AT113,'状态价值'!$D$1:$K$1,0)))</f>
        <v/>
      </c>
      <c r="AV113" s="15">
        <f>NORM.S.INV(RAND())</f>
        <v/>
      </c>
      <c r="AW113" s="15">
        <f>IF('组合输入'!$C11="","",'组合输入'!$H11*$B113+SQRT(1-'组合输入'!$H11^2)*AV113)</f>
        <v/>
      </c>
      <c r="AX113" s="7">
        <f>IF(AW113="","",NORM.S.DIST(AW113,TRUE))</f>
        <v/>
      </c>
      <c r="AY113" s="13">
        <f>IF(AX113="","",IF(AX113&lt;='组合输入'!$K11,"AAA",IF(AX113&lt;='组合输入'!$L11,"AA",IF(AX113&lt;='组合输入'!$M11,"A",IF(AX113&lt;='组合输入'!$N11,"BBB",IF(AX113&lt;='组合输入'!$O11,"BB",IF(AX113&lt;='组合输入'!$P11,"B",IF(AX113&lt;='组合输入'!$Q11,"CCC","D")))))))</f>
        <v/>
      </c>
      <c r="AZ113" s="12">
        <f>IF(AY113="","",INDEX('状态价值'!$D11:$K11,MATCH(AY113,'状态价值'!$D$1:$K$1,0)))</f>
        <v/>
      </c>
      <c r="BA113" s="12">
        <f>G113+L113+Q113+V113+AA113+AF113+AK113+AP113+AU113+AZ113</f>
        <v/>
      </c>
      <c r="BB113" s="12">
        <f>SUM('组合输入'!$J$2:$J$11)-BA113</f>
        <v/>
      </c>
    </row>
    <row r="114">
      <c r="A114" s="11" t="n">
        <v>113</v>
      </c>
      <c r="B114" s="14">
        <f>NORM.S.INV(RAND())</f>
        <v/>
      </c>
      <c r="C114" s="14">
        <f>NORM.S.INV(RAND())</f>
        <v/>
      </c>
      <c r="D114" s="15">
        <f>IF('组合输入'!$C2="","",'组合输入'!$H2*$B114+SQRT(1-'组合输入'!$H2^2)*C114)</f>
        <v/>
      </c>
      <c r="E114" s="7">
        <f>IF(D114="","",NORM.S.DIST(D114,TRUE))</f>
        <v/>
      </c>
      <c r="F114" s="13">
        <f>IF(E114="","",IF(E114&lt;='组合输入'!$K2,"AAA",IF(E114&lt;='组合输入'!$L2,"AA",IF(E114&lt;='组合输入'!$M2,"A",IF(E114&lt;='组合输入'!$N2,"BBB",IF(E114&lt;='组合输入'!$O2,"BB",IF(E114&lt;='组合输入'!$P2,"B",IF(E114&lt;='组合输入'!$Q2,"CCC","D")))))))</f>
        <v/>
      </c>
      <c r="G114" s="12">
        <f>IF(F114="","",INDEX('状态价值'!$D2:$K2,MATCH(F114,'状态价值'!$D$1:$K$1,0)))</f>
        <v/>
      </c>
      <c r="H114" s="15">
        <f>NORM.S.INV(RAND())</f>
        <v/>
      </c>
      <c r="I114" s="15">
        <f>IF('组合输入'!$C3="","",'组合输入'!$H3*$B114+SQRT(1-'组合输入'!$H3^2)*H114)</f>
        <v/>
      </c>
      <c r="J114" s="7">
        <f>IF(I114="","",NORM.S.DIST(I114,TRUE))</f>
        <v/>
      </c>
      <c r="K114" s="13">
        <f>IF(J114="","",IF(J114&lt;='组合输入'!$K3,"AAA",IF(J114&lt;='组合输入'!$L3,"AA",IF(J114&lt;='组合输入'!$M3,"A",IF(J114&lt;='组合输入'!$N3,"BBB",IF(J114&lt;='组合输入'!$O3,"BB",IF(J114&lt;='组合输入'!$P3,"B",IF(J114&lt;='组合输入'!$Q3,"CCC","D")))))))</f>
        <v/>
      </c>
      <c r="L114" s="12">
        <f>IF(K114="","",INDEX('状态价值'!$D3:$K3,MATCH(K114,'状态价值'!$D$1:$K$1,0)))</f>
        <v/>
      </c>
      <c r="M114" s="15">
        <f>NORM.S.INV(RAND())</f>
        <v/>
      </c>
      <c r="N114" s="15">
        <f>IF('组合输入'!$C4="","",'组合输入'!$H4*$B114+SQRT(1-'组合输入'!$H4^2)*M114)</f>
        <v/>
      </c>
      <c r="O114" s="7">
        <f>IF(N114="","",NORM.S.DIST(N114,TRUE))</f>
        <v/>
      </c>
      <c r="P114" s="13">
        <f>IF(O114="","",IF(O114&lt;='组合输入'!$K4,"AAA",IF(O114&lt;='组合输入'!$L4,"AA",IF(O114&lt;='组合输入'!$M4,"A",IF(O114&lt;='组合输入'!$N4,"BBB",IF(O114&lt;='组合输入'!$O4,"BB",IF(O114&lt;='组合输入'!$P4,"B",IF(O114&lt;='组合输入'!$Q4,"CCC","D")))))))</f>
        <v/>
      </c>
      <c r="Q114" s="12">
        <f>IF(P114="","",INDEX('状态价值'!$D4:$K4,MATCH(P114,'状态价值'!$D$1:$K$1,0)))</f>
        <v/>
      </c>
      <c r="R114" s="15">
        <f>NORM.S.INV(RAND())</f>
        <v/>
      </c>
      <c r="S114" s="15">
        <f>IF('组合输入'!$C5="","",'组合输入'!$H5*$B114+SQRT(1-'组合输入'!$H5^2)*R114)</f>
        <v/>
      </c>
      <c r="T114" s="7">
        <f>IF(S114="","",NORM.S.DIST(S114,TRUE))</f>
        <v/>
      </c>
      <c r="U114" s="13">
        <f>IF(T114="","",IF(T114&lt;='组合输入'!$K5,"AAA",IF(T114&lt;='组合输入'!$L5,"AA",IF(T114&lt;='组合输入'!$M5,"A",IF(T114&lt;='组合输入'!$N5,"BBB",IF(T114&lt;='组合输入'!$O5,"BB",IF(T114&lt;='组合输入'!$P5,"B",IF(T114&lt;='组合输入'!$Q5,"CCC","D")))))))</f>
        <v/>
      </c>
      <c r="V114" s="12">
        <f>IF(U114="","",INDEX('状态价值'!$D5:$K5,MATCH(U114,'状态价值'!$D$1:$K$1,0)))</f>
        <v/>
      </c>
      <c r="W114" s="15">
        <f>NORM.S.INV(RAND())</f>
        <v/>
      </c>
      <c r="X114" s="15">
        <f>IF('组合输入'!$C6="","",'组合输入'!$H6*$B114+SQRT(1-'组合输入'!$H6^2)*W114)</f>
        <v/>
      </c>
      <c r="Y114" s="7">
        <f>IF(X114="","",NORM.S.DIST(X114,TRUE))</f>
        <v/>
      </c>
      <c r="Z114" s="13">
        <f>IF(Y114="","",IF(Y114&lt;='组合输入'!$K6,"AAA",IF(Y114&lt;='组合输入'!$L6,"AA",IF(Y114&lt;='组合输入'!$M6,"A",IF(Y114&lt;='组合输入'!$N6,"BBB",IF(Y114&lt;='组合输入'!$O6,"BB",IF(Y114&lt;='组合输入'!$P6,"B",IF(Y114&lt;='组合输入'!$Q6,"CCC","D")))))))</f>
        <v/>
      </c>
      <c r="AA114" s="12">
        <f>IF(Z114="","",INDEX('状态价值'!$D6:$K6,MATCH(Z114,'状态价值'!$D$1:$K$1,0)))</f>
        <v/>
      </c>
      <c r="AB114" s="15">
        <f>NORM.S.INV(RAND())</f>
        <v/>
      </c>
      <c r="AC114" s="15">
        <f>IF('组合输入'!$C7="","",'组合输入'!$H7*$B114+SQRT(1-'组合输入'!$H7^2)*AB114)</f>
        <v/>
      </c>
      <c r="AD114" s="7">
        <f>IF(AC114="","",NORM.S.DIST(AC114,TRUE))</f>
        <v/>
      </c>
      <c r="AE114" s="13">
        <f>IF(AD114="","",IF(AD114&lt;='组合输入'!$K7,"AAA",IF(AD114&lt;='组合输入'!$L7,"AA",IF(AD114&lt;='组合输入'!$M7,"A",IF(AD114&lt;='组合输入'!$N7,"BBB",IF(AD114&lt;='组合输入'!$O7,"BB",IF(AD114&lt;='组合输入'!$P7,"B",IF(AD114&lt;='组合输入'!$Q7,"CCC","D")))))))</f>
        <v/>
      </c>
      <c r="AF114" s="12">
        <f>IF(AE114="","",INDEX('状态价值'!$D7:$K7,MATCH(AE114,'状态价值'!$D$1:$K$1,0)))</f>
        <v/>
      </c>
      <c r="AG114" s="15">
        <f>NORM.S.INV(RAND())</f>
        <v/>
      </c>
      <c r="AH114" s="15">
        <f>IF('组合输入'!$C8="","",'组合输入'!$H8*$B114+SQRT(1-'组合输入'!$H8^2)*AG114)</f>
        <v/>
      </c>
      <c r="AI114" s="7">
        <f>IF(AH114="","",NORM.S.DIST(AH114,TRUE))</f>
        <v/>
      </c>
      <c r="AJ114" s="13">
        <f>IF(AI114="","",IF(AI114&lt;='组合输入'!$K8,"AAA",IF(AI114&lt;='组合输入'!$L8,"AA",IF(AI114&lt;='组合输入'!$M8,"A",IF(AI114&lt;='组合输入'!$N8,"BBB",IF(AI114&lt;='组合输入'!$O8,"BB",IF(AI114&lt;='组合输入'!$P8,"B",IF(AI114&lt;='组合输入'!$Q8,"CCC","D")))))))</f>
        <v/>
      </c>
      <c r="AK114" s="12">
        <f>IF(AJ114="","",INDEX('状态价值'!$D8:$K8,MATCH(AJ114,'状态价值'!$D$1:$K$1,0)))</f>
        <v/>
      </c>
      <c r="AL114" s="15">
        <f>NORM.S.INV(RAND())</f>
        <v/>
      </c>
      <c r="AM114" s="15">
        <f>IF('组合输入'!$C9="","",'组合输入'!$H9*$B114+SQRT(1-'组合输入'!$H9^2)*AL114)</f>
        <v/>
      </c>
      <c r="AN114" s="7">
        <f>IF(AM114="","",NORM.S.DIST(AM114,TRUE))</f>
        <v/>
      </c>
      <c r="AO114" s="13">
        <f>IF(AN114="","",IF(AN114&lt;='组合输入'!$K9,"AAA",IF(AN114&lt;='组合输入'!$L9,"AA",IF(AN114&lt;='组合输入'!$M9,"A",IF(AN114&lt;='组合输入'!$N9,"BBB",IF(AN114&lt;='组合输入'!$O9,"BB",IF(AN114&lt;='组合输入'!$P9,"B",IF(AN114&lt;='组合输入'!$Q9,"CCC","D")))))))</f>
        <v/>
      </c>
      <c r="AP114" s="12">
        <f>IF(AO114="","",INDEX('状态价值'!$D9:$K9,MATCH(AO114,'状态价值'!$D$1:$K$1,0)))</f>
        <v/>
      </c>
      <c r="AQ114" s="15">
        <f>NORM.S.INV(RAND())</f>
        <v/>
      </c>
      <c r="AR114" s="15">
        <f>IF('组合输入'!$C10="","",'组合输入'!$H10*$B114+SQRT(1-'组合输入'!$H10^2)*AQ114)</f>
        <v/>
      </c>
      <c r="AS114" s="7">
        <f>IF(AR114="","",NORM.S.DIST(AR114,TRUE))</f>
        <v/>
      </c>
      <c r="AT114" s="13">
        <f>IF(AS114="","",IF(AS114&lt;='组合输入'!$K10,"AAA",IF(AS114&lt;='组合输入'!$L10,"AA",IF(AS114&lt;='组合输入'!$M10,"A",IF(AS114&lt;='组合输入'!$N10,"BBB",IF(AS114&lt;='组合输入'!$O10,"BB",IF(AS114&lt;='组合输入'!$P10,"B",IF(AS114&lt;='组合输入'!$Q10,"CCC","D")))))))</f>
        <v/>
      </c>
      <c r="AU114" s="12">
        <f>IF(AT114="","",INDEX('状态价值'!$D10:$K10,MATCH(AT114,'状态价值'!$D$1:$K$1,0)))</f>
        <v/>
      </c>
      <c r="AV114" s="15">
        <f>NORM.S.INV(RAND())</f>
        <v/>
      </c>
      <c r="AW114" s="15">
        <f>IF('组合输入'!$C11="","",'组合输入'!$H11*$B114+SQRT(1-'组合输入'!$H11^2)*AV114)</f>
        <v/>
      </c>
      <c r="AX114" s="7">
        <f>IF(AW114="","",NORM.S.DIST(AW114,TRUE))</f>
        <v/>
      </c>
      <c r="AY114" s="13">
        <f>IF(AX114="","",IF(AX114&lt;='组合输入'!$K11,"AAA",IF(AX114&lt;='组合输入'!$L11,"AA",IF(AX114&lt;='组合输入'!$M11,"A",IF(AX114&lt;='组合输入'!$N11,"BBB",IF(AX114&lt;='组合输入'!$O11,"BB",IF(AX114&lt;='组合输入'!$P11,"B",IF(AX114&lt;='组合输入'!$Q11,"CCC","D")))))))</f>
        <v/>
      </c>
      <c r="AZ114" s="12">
        <f>IF(AY114="","",INDEX('状态价值'!$D11:$K11,MATCH(AY114,'状态价值'!$D$1:$K$1,0)))</f>
        <v/>
      </c>
      <c r="BA114" s="12">
        <f>G114+L114+Q114+V114+AA114+AF114+AK114+AP114+AU114+AZ114</f>
        <v/>
      </c>
      <c r="BB114" s="12">
        <f>SUM('组合输入'!$J$2:$J$11)-BA114</f>
        <v/>
      </c>
    </row>
    <row r="115">
      <c r="A115" s="11" t="n">
        <v>114</v>
      </c>
      <c r="B115" s="14">
        <f>NORM.S.INV(RAND())</f>
        <v/>
      </c>
      <c r="C115" s="14">
        <f>NORM.S.INV(RAND())</f>
        <v/>
      </c>
      <c r="D115" s="15">
        <f>IF('组合输入'!$C2="","",'组合输入'!$H2*$B115+SQRT(1-'组合输入'!$H2^2)*C115)</f>
        <v/>
      </c>
      <c r="E115" s="7">
        <f>IF(D115="","",NORM.S.DIST(D115,TRUE))</f>
        <v/>
      </c>
      <c r="F115" s="13">
        <f>IF(E115="","",IF(E115&lt;='组合输入'!$K2,"AAA",IF(E115&lt;='组合输入'!$L2,"AA",IF(E115&lt;='组合输入'!$M2,"A",IF(E115&lt;='组合输入'!$N2,"BBB",IF(E115&lt;='组合输入'!$O2,"BB",IF(E115&lt;='组合输入'!$P2,"B",IF(E115&lt;='组合输入'!$Q2,"CCC","D")))))))</f>
        <v/>
      </c>
      <c r="G115" s="12">
        <f>IF(F115="","",INDEX('状态价值'!$D2:$K2,MATCH(F115,'状态价值'!$D$1:$K$1,0)))</f>
        <v/>
      </c>
      <c r="H115" s="15">
        <f>NORM.S.INV(RAND())</f>
        <v/>
      </c>
      <c r="I115" s="15">
        <f>IF('组合输入'!$C3="","",'组合输入'!$H3*$B115+SQRT(1-'组合输入'!$H3^2)*H115)</f>
        <v/>
      </c>
      <c r="J115" s="7">
        <f>IF(I115="","",NORM.S.DIST(I115,TRUE))</f>
        <v/>
      </c>
      <c r="K115" s="13">
        <f>IF(J115="","",IF(J115&lt;='组合输入'!$K3,"AAA",IF(J115&lt;='组合输入'!$L3,"AA",IF(J115&lt;='组合输入'!$M3,"A",IF(J115&lt;='组合输入'!$N3,"BBB",IF(J115&lt;='组合输入'!$O3,"BB",IF(J115&lt;='组合输入'!$P3,"B",IF(J115&lt;='组合输入'!$Q3,"CCC","D")))))))</f>
        <v/>
      </c>
      <c r="L115" s="12">
        <f>IF(K115="","",INDEX('状态价值'!$D3:$K3,MATCH(K115,'状态价值'!$D$1:$K$1,0)))</f>
        <v/>
      </c>
      <c r="M115" s="15">
        <f>NORM.S.INV(RAND())</f>
        <v/>
      </c>
      <c r="N115" s="15">
        <f>IF('组合输入'!$C4="","",'组合输入'!$H4*$B115+SQRT(1-'组合输入'!$H4^2)*M115)</f>
        <v/>
      </c>
      <c r="O115" s="7">
        <f>IF(N115="","",NORM.S.DIST(N115,TRUE))</f>
        <v/>
      </c>
      <c r="P115" s="13">
        <f>IF(O115="","",IF(O115&lt;='组合输入'!$K4,"AAA",IF(O115&lt;='组合输入'!$L4,"AA",IF(O115&lt;='组合输入'!$M4,"A",IF(O115&lt;='组合输入'!$N4,"BBB",IF(O115&lt;='组合输入'!$O4,"BB",IF(O115&lt;='组合输入'!$P4,"B",IF(O115&lt;='组合输入'!$Q4,"CCC","D")))))))</f>
        <v/>
      </c>
      <c r="Q115" s="12">
        <f>IF(P115="","",INDEX('状态价值'!$D4:$K4,MATCH(P115,'状态价值'!$D$1:$K$1,0)))</f>
        <v/>
      </c>
      <c r="R115" s="15">
        <f>NORM.S.INV(RAND())</f>
        <v/>
      </c>
      <c r="S115" s="15">
        <f>IF('组合输入'!$C5="","",'组合输入'!$H5*$B115+SQRT(1-'组合输入'!$H5^2)*R115)</f>
        <v/>
      </c>
      <c r="T115" s="7">
        <f>IF(S115="","",NORM.S.DIST(S115,TRUE))</f>
        <v/>
      </c>
      <c r="U115" s="13">
        <f>IF(T115="","",IF(T115&lt;='组合输入'!$K5,"AAA",IF(T115&lt;='组合输入'!$L5,"AA",IF(T115&lt;='组合输入'!$M5,"A",IF(T115&lt;='组合输入'!$N5,"BBB",IF(T115&lt;='组合输入'!$O5,"BB",IF(T115&lt;='组合输入'!$P5,"B",IF(T115&lt;='组合输入'!$Q5,"CCC","D")))))))</f>
        <v/>
      </c>
      <c r="V115" s="12">
        <f>IF(U115="","",INDEX('状态价值'!$D5:$K5,MATCH(U115,'状态价值'!$D$1:$K$1,0)))</f>
        <v/>
      </c>
      <c r="W115" s="15">
        <f>NORM.S.INV(RAND())</f>
        <v/>
      </c>
      <c r="X115" s="15">
        <f>IF('组合输入'!$C6="","",'组合输入'!$H6*$B115+SQRT(1-'组合输入'!$H6^2)*W115)</f>
        <v/>
      </c>
      <c r="Y115" s="7">
        <f>IF(X115="","",NORM.S.DIST(X115,TRUE))</f>
        <v/>
      </c>
      <c r="Z115" s="13">
        <f>IF(Y115="","",IF(Y115&lt;='组合输入'!$K6,"AAA",IF(Y115&lt;='组合输入'!$L6,"AA",IF(Y115&lt;='组合输入'!$M6,"A",IF(Y115&lt;='组合输入'!$N6,"BBB",IF(Y115&lt;='组合输入'!$O6,"BB",IF(Y115&lt;='组合输入'!$P6,"B",IF(Y115&lt;='组合输入'!$Q6,"CCC","D")))))))</f>
        <v/>
      </c>
      <c r="AA115" s="12">
        <f>IF(Z115="","",INDEX('状态价值'!$D6:$K6,MATCH(Z115,'状态价值'!$D$1:$K$1,0)))</f>
        <v/>
      </c>
      <c r="AB115" s="15">
        <f>NORM.S.INV(RAND())</f>
        <v/>
      </c>
      <c r="AC115" s="15">
        <f>IF('组合输入'!$C7="","",'组合输入'!$H7*$B115+SQRT(1-'组合输入'!$H7^2)*AB115)</f>
        <v/>
      </c>
      <c r="AD115" s="7">
        <f>IF(AC115="","",NORM.S.DIST(AC115,TRUE))</f>
        <v/>
      </c>
      <c r="AE115" s="13">
        <f>IF(AD115="","",IF(AD115&lt;='组合输入'!$K7,"AAA",IF(AD115&lt;='组合输入'!$L7,"AA",IF(AD115&lt;='组合输入'!$M7,"A",IF(AD115&lt;='组合输入'!$N7,"BBB",IF(AD115&lt;='组合输入'!$O7,"BB",IF(AD115&lt;='组合输入'!$P7,"B",IF(AD115&lt;='组合输入'!$Q7,"CCC","D")))))))</f>
        <v/>
      </c>
      <c r="AF115" s="12">
        <f>IF(AE115="","",INDEX('状态价值'!$D7:$K7,MATCH(AE115,'状态价值'!$D$1:$K$1,0)))</f>
        <v/>
      </c>
      <c r="AG115" s="15">
        <f>NORM.S.INV(RAND())</f>
        <v/>
      </c>
      <c r="AH115" s="15">
        <f>IF('组合输入'!$C8="","",'组合输入'!$H8*$B115+SQRT(1-'组合输入'!$H8^2)*AG115)</f>
        <v/>
      </c>
      <c r="AI115" s="7">
        <f>IF(AH115="","",NORM.S.DIST(AH115,TRUE))</f>
        <v/>
      </c>
      <c r="AJ115" s="13">
        <f>IF(AI115="","",IF(AI115&lt;='组合输入'!$K8,"AAA",IF(AI115&lt;='组合输入'!$L8,"AA",IF(AI115&lt;='组合输入'!$M8,"A",IF(AI115&lt;='组合输入'!$N8,"BBB",IF(AI115&lt;='组合输入'!$O8,"BB",IF(AI115&lt;='组合输入'!$P8,"B",IF(AI115&lt;='组合输入'!$Q8,"CCC","D")))))))</f>
        <v/>
      </c>
      <c r="AK115" s="12">
        <f>IF(AJ115="","",INDEX('状态价值'!$D8:$K8,MATCH(AJ115,'状态价值'!$D$1:$K$1,0)))</f>
        <v/>
      </c>
      <c r="AL115" s="15">
        <f>NORM.S.INV(RAND())</f>
        <v/>
      </c>
      <c r="AM115" s="15">
        <f>IF('组合输入'!$C9="","",'组合输入'!$H9*$B115+SQRT(1-'组合输入'!$H9^2)*AL115)</f>
        <v/>
      </c>
      <c r="AN115" s="7">
        <f>IF(AM115="","",NORM.S.DIST(AM115,TRUE))</f>
        <v/>
      </c>
      <c r="AO115" s="13">
        <f>IF(AN115="","",IF(AN115&lt;='组合输入'!$K9,"AAA",IF(AN115&lt;='组合输入'!$L9,"AA",IF(AN115&lt;='组合输入'!$M9,"A",IF(AN115&lt;='组合输入'!$N9,"BBB",IF(AN115&lt;='组合输入'!$O9,"BB",IF(AN115&lt;='组合输入'!$P9,"B",IF(AN115&lt;='组合输入'!$Q9,"CCC","D")))))))</f>
        <v/>
      </c>
      <c r="AP115" s="12">
        <f>IF(AO115="","",INDEX('状态价值'!$D9:$K9,MATCH(AO115,'状态价值'!$D$1:$K$1,0)))</f>
        <v/>
      </c>
      <c r="AQ115" s="15">
        <f>NORM.S.INV(RAND())</f>
        <v/>
      </c>
      <c r="AR115" s="15">
        <f>IF('组合输入'!$C10="","",'组合输入'!$H10*$B115+SQRT(1-'组合输入'!$H10^2)*AQ115)</f>
        <v/>
      </c>
      <c r="AS115" s="7">
        <f>IF(AR115="","",NORM.S.DIST(AR115,TRUE))</f>
        <v/>
      </c>
      <c r="AT115" s="13">
        <f>IF(AS115="","",IF(AS115&lt;='组合输入'!$K10,"AAA",IF(AS115&lt;='组合输入'!$L10,"AA",IF(AS115&lt;='组合输入'!$M10,"A",IF(AS115&lt;='组合输入'!$N10,"BBB",IF(AS115&lt;='组合输入'!$O10,"BB",IF(AS115&lt;='组合输入'!$P10,"B",IF(AS115&lt;='组合输入'!$Q10,"CCC","D")))))))</f>
        <v/>
      </c>
      <c r="AU115" s="12">
        <f>IF(AT115="","",INDEX('状态价值'!$D10:$K10,MATCH(AT115,'状态价值'!$D$1:$K$1,0)))</f>
        <v/>
      </c>
      <c r="AV115" s="15">
        <f>NORM.S.INV(RAND())</f>
        <v/>
      </c>
      <c r="AW115" s="15">
        <f>IF('组合输入'!$C11="","",'组合输入'!$H11*$B115+SQRT(1-'组合输入'!$H11^2)*AV115)</f>
        <v/>
      </c>
      <c r="AX115" s="7">
        <f>IF(AW115="","",NORM.S.DIST(AW115,TRUE))</f>
        <v/>
      </c>
      <c r="AY115" s="13">
        <f>IF(AX115="","",IF(AX115&lt;='组合输入'!$K11,"AAA",IF(AX115&lt;='组合输入'!$L11,"AA",IF(AX115&lt;='组合输入'!$M11,"A",IF(AX115&lt;='组合输入'!$N11,"BBB",IF(AX115&lt;='组合输入'!$O11,"BB",IF(AX115&lt;='组合输入'!$P11,"B",IF(AX115&lt;='组合输入'!$Q11,"CCC","D")))))))</f>
        <v/>
      </c>
      <c r="AZ115" s="12">
        <f>IF(AY115="","",INDEX('状态价值'!$D11:$K11,MATCH(AY115,'状态价值'!$D$1:$K$1,0)))</f>
        <v/>
      </c>
      <c r="BA115" s="12">
        <f>G115+L115+Q115+V115+AA115+AF115+AK115+AP115+AU115+AZ115</f>
        <v/>
      </c>
      <c r="BB115" s="12">
        <f>SUM('组合输入'!$J$2:$J$11)-BA115</f>
        <v/>
      </c>
    </row>
    <row r="116">
      <c r="A116" s="11" t="n">
        <v>115</v>
      </c>
      <c r="B116" s="14">
        <f>NORM.S.INV(RAND())</f>
        <v/>
      </c>
      <c r="C116" s="14">
        <f>NORM.S.INV(RAND())</f>
        <v/>
      </c>
      <c r="D116" s="15">
        <f>IF('组合输入'!$C2="","",'组合输入'!$H2*$B116+SQRT(1-'组合输入'!$H2^2)*C116)</f>
        <v/>
      </c>
      <c r="E116" s="7">
        <f>IF(D116="","",NORM.S.DIST(D116,TRUE))</f>
        <v/>
      </c>
      <c r="F116" s="13">
        <f>IF(E116="","",IF(E116&lt;='组合输入'!$K2,"AAA",IF(E116&lt;='组合输入'!$L2,"AA",IF(E116&lt;='组合输入'!$M2,"A",IF(E116&lt;='组合输入'!$N2,"BBB",IF(E116&lt;='组合输入'!$O2,"BB",IF(E116&lt;='组合输入'!$P2,"B",IF(E116&lt;='组合输入'!$Q2,"CCC","D")))))))</f>
        <v/>
      </c>
      <c r="G116" s="12">
        <f>IF(F116="","",INDEX('状态价值'!$D2:$K2,MATCH(F116,'状态价值'!$D$1:$K$1,0)))</f>
        <v/>
      </c>
      <c r="H116" s="15">
        <f>NORM.S.INV(RAND())</f>
        <v/>
      </c>
      <c r="I116" s="15">
        <f>IF('组合输入'!$C3="","",'组合输入'!$H3*$B116+SQRT(1-'组合输入'!$H3^2)*H116)</f>
        <v/>
      </c>
      <c r="J116" s="7">
        <f>IF(I116="","",NORM.S.DIST(I116,TRUE))</f>
        <v/>
      </c>
      <c r="K116" s="13">
        <f>IF(J116="","",IF(J116&lt;='组合输入'!$K3,"AAA",IF(J116&lt;='组合输入'!$L3,"AA",IF(J116&lt;='组合输入'!$M3,"A",IF(J116&lt;='组合输入'!$N3,"BBB",IF(J116&lt;='组合输入'!$O3,"BB",IF(J116&lt;='组合输入'!$P3,"B",IF(J116&lt;='组合输入'!$Q3,"CCC","D")))))))</f>
        <v/>
      </c>
      <c r="L116" s="12">
        <f>IF(K116="","",INDEX('状态价值'!$D3:$K3,MATCH(K116,'状态价值'!$D$1:$K$1,0)))</f>
        <v/>
      </c>
      <c r="M116" s="15">
        <f>NORM.S.INV(RAND())</f>
        <v/>
      </c>
      <c r="N116" s="15">
        <f>IF('组合输入'!$C4="","",'组合输入'!$H4*$B116+SQRT(1-'组合输入'!$H4^2)*M116)</f>
        <v/>
      </c>
      <c r="O116" s="7">
        <f>IF(N116="","",NORM.S.DIST(N116,TRUE))</f>
        <v/>
      </c>
      <c r="P116" s="13">
        <f>IF(O116="","",IF(O116&lt;='组合输入'!$K4,"AAA",IF(O116&lt;='组合输入'!$L4,"AA",IF(O116&lt;='组合输入'!$M4,"A",IF(O116&lt;='组合输入'!$N4,"BBB",IF(O116&lt;='组合输入'!$O4,"BB",IF(O116&lt;='组合输入'!$P4,"B",IF(O116&lt;='组合输入'!$Q4,"CCC","D")))))))</f>
        <v/>
      </c>
      <c r="Q116" s="12">
        <f>IF(P116="","",INDEX('状态价值'!$D4:$K4,MATCH(P116,'状态价值'!$D$1:$K$1,0)))</f>
        <v/>
      </c>
      <c r="R116" s="15">
        <f>NORM.S.INV(RAND())</f>
        <v/>
      </c>
      <c r="S116" s="15">
        <f>IF('组合输入'!$C5="","",'组合输入'!$H5*$B116+SQRT(1-'组合输入'!$H5^2)*R116)</f>
        <v/>
      </c>
      <c r="T116" s="7">
        <f>IF(S116="","",NORM.S.DIST(S116,TRUE))</f>
        <v/>
      </c>
      <c r="U116" s="13">
        <f>IF(T116="","",IF(T116&lt;='组合输入'!$K5,"AAA",IF(T116&lt;='组合输入'!$L5,"AA",IF(T116&lt;='组合输入'!$M5,"A",IF(T116&lt;='组合输入'!$N5,"BBB",IF(T116&lt;='组合输入'!$O5,"BB",IF(T116&lt;='组合输入'!$P5,"B",IF(T116&lt;='组合输入'!$Q5,"CCC","D")))))))</f>
        <v/>
      </c>
      <c r="V116" s="12">
        <f>IF(U116="","",INDEX('状态价值'!$D5:$K5,MATCH(U116,'状态价值'!$D$1:$K$1,0)))</f>
        <v/>
      </c>
      <c r="W116" s="15">
        <f>NORM.S.INV(RAND())</f>
        <v/>
      </c>
      <c r="X116" s="15">
        <f>IF('组合输入'!$C6="","",'组合输入'!$H6*$B116+SQRT(1-'组合输入'!$H6^2)*W116)</f>
        <v/>
      </c>
      <c r="Y116" s="7">
        <f>IF(X116="","",NORM.S.DIST(X116,TRUE))</f>
        <v/>
      </c>
      <c r="Z116" s="13">
        <f>IF(Y116="","",IF(Y116&lt;='组合输入'!$K6,"AAA",IF(Y116&lt;='组合输入'!$L6,"AA",IF(Y116&lt;='组合输入'!$M6,"A",IF(Y116&lt;='组合输入'!$N6,"BBB",IF(Y116&lt;='组合输入'!$O6,"BB",IF(Y116&lt;='组合输入'!$P6,"B",IF(Y116&lt;='组合输入'!$Q6,"CCC","D")))))))</f>
        <v/>
      </c>
      <c r="AA116" s="12">
        <f>IF(Z116="","",INDEX('状态价值'!$D6:$K6,MATCH(Z116,'状态价值'!$D$1:$K$1,0)))</f>
        <v/>
      </c>
      <c r="AB116" s="15">
        <f>NORM.S.INV(RAND())</f>
        <v/>
      </c>
      <c r="AC116" s="15">
        <f>IF('组合输入'!$C7="","",'组合输入'!$H7*$B116+SQRT(1-'组合输入'!$H7^2)*AB116)</f>
        <v/>
      </c>
      <c r="AD116" s="7">
        <f>IF(AC116="","",NORM.S.DIST(AC116,TRUE))</f>
        <v/>
      </c>
      <c r="AE116" s="13">
        <f>IF(AD116="","",IF(AD116&lt;='组合输入'!$K7,"AAA",IF(AD116&lt;='组合输入'!$L7,"AA",IF(AD116&lt;='组合输入'!$M7,"A",IF(AD116&lt;='组合输入'!$N7,"BBB",IF(AD116&lt;='组合输入'!$O7,"BB",IF(AD116&lt;='组合输入'!$P7,"B",IF(AD116&lt;='组合输入'!$Q7,"CCC","D")))))))</f>
        <v/>
      </c>
      <c r="AF116" s="12">
        <f>IF(AE116="","",INDEX('状态价值'!$D7:$K7,MATCH(AE116,'状态价值'!$D$1:$K$1,0)))</f>
        <v/>
      </c>
      <c r="AG116" s="15">
        <f>NORM.S.INV(RAND())</f>
        <v/>
      </c>
      <c r="AH116" s="15">
        <f>IF('组合输入'!$C8="","",'组合输入'!$H8*$B116+SQRT(1-'组合输入'!$H8^2)*AG116)</f>
        <v/>
      </c>
      <c r="AI116" s="7">
        <f>IF(AH116="","",NORM.S.DIST(AH116,TRUE))</f>
        <v/>
      </c>
      <c r="AJ116" s="13">
        <f>IF(AI116="","",IF(AI116&lt;='组合输入'!$K8,"AAA",IF(AI116&lt;='组合输入'!$L8,"AA",IF(AI116&lt;='组合输入'!$M8,"A",IF(AI116&lt;='组合输入'!$N8,"BBB",IF(AI116&lt;='组合输入'!$O8,"BB",IF(AI116&lt;='组合输入'!$P8,"B",IF(AI116&lt;='组合输入'!$Q8,"CCC","D")))))))</f>
        <v/>
      </c>
      <c r="AK116" s="12">
        <f>IF(AJ116="","",INDEX('状态价值'!$D8:$K8,MATCH(AJ116,'状态价值'!$D$1:$K$1,0)))</f>
        <v/>
      </c>
      <c r="AL116" s="15">
        <f>NORM.S.INV(RAND())</f>
        <v/>
      </c>
      <c r="AM116" s="15">
        <f>IF('组合输入'!$C9="","",'组合输入'!$H9*$B116+SQRT(1-'组合输入'!$H9^2)*AL116)</f>
        <v/>
      </c>
      <c r="AN116" s="7">
        <f>IF(AM116="","",NORM.S.DIST(AM116,TRUE))</f>
        <v/>
      </c>
      <c r="AO116" s="13">
        <f>IF(AN116="","",IF(AN116&lt;='组合输入'!$K9,"AAA",IF(AN116&lt;='组合输入'!$L9,"AA",IF(AN116&lt;='组合输入'!$M9,"A",IF(AN116&lt;='组合输入'!$N9,"BBB",IF(AN116&lt;='组合输入'!$O9,"BB",IF(AN116&lt;='组合输入'!$P9,"B",IF(AN116&lt;='组合输入'!$Q9,"CCC","D")))))))</f>
        <v/>
      </c>
      <c r="AP116" s="12">
        <f>IF(AO116="","",INDEX('状态价值'!$D9:$K9,MATCH(AO116,'状态价值'!$D$1:$K$1,0)))</f>
        <v/>
      </c>
      <c r="AQ116" s="15">
        <f>NORM.S.INV(RAND())</f>
        <v/>
      </c>
      <c r="AR116" s="15">
        <f>IF('组合输入'!$C10="","",'组合输入'!$H10*$B116+SQRT(1-'组合输入'!$H10^2)*AQ116)</f>
        <v/>
      </c>
      <c r="AS116" s="7">
        <f>IF(AR116="","",NORM.S.DIST(AR116,TRUE))</f>
        <v/>
      </c>
      <c r="AT116" s="13">
        <f>IF(AS116="","",IF(AS116&lt;='组合输入'!$K10,"AAA",IF(AS116&lt;='组合输入'!$L10,"AA",IF(AS116&lt;='组合输入'!$M10,"A",IF(AS116&lt;='组合输入'!$N10,"BBB",IF(AS116&lt;='组合输入'!$O10,"BB",IF(AS116&lt;='组合输入'!$P10,"B",IF(AS116&lt;='组合输入'!$Q10,"CCC","D")))))))</f>
        <v/>
      </c>
      <c r="AU116" s="12">
        <f>IF(AT116="","",INDEX('状态价值'!$D10:$K10,MATCH(AT116,'状态价值'!$D$1:$K$1,0)))</f>
        <v/>
      </c>
      <c r="AV116" s="15">
        <f>NORM.S.INV(RAND())</f>
        <v/>
      </c>
      <c r="AW116" s="15">
        <f>IF('组合输入'!$C11="","",'组合输入'!$H11*$B116+SQRT(1-'组合输入'!$H11^2)*AV116)</f>
        <v/>
      </c>
      <c r="AX116" s="7">
        <f>IF(AW116="","",NORM.S.DIST(AW116,TRUE))</f>
        <v/>
      </c>
      <c r="AY116" s="13">
        <f>IF(AX116="","",IF(AX116&lt;='组合输入'!$K11,"AAA",IF(AX116&lt;='组合输入'!$L11,"AA",IF(AX116&lt;='组合输入'!$M11,"A",IF(AX116&lt;='组合输入'!$N11,"BBB",IF(AX116&lt;='组合输入'!$O11,"BB",IF(AX116&lt;='组合输入'!$P11,"B",IF(AX116&lt;='组合输入'!$Q11,"CCC","D")))))))</f>
        <v/>
      </c>
      <c r="AZ116" s="12">
        <f>IF(AY116="","",INDEX('状态价值'!$D11:$K11,MATCH(AY116,'状态价值'!$D$1:$K$1,0)))</f>
        <v/>
      </c>
      <c r="BA116" s="12">
        <f>G116+L116+Q116+V116+AA116+AF116+AK116+AP116+AU116+AZ116</f>
        <v/>
      </c>
      <c r="BB116" s="12">
        <f>SUM('组合输入'!$J$2:$J$11)-BA116</f>
        <v/>
      </c>
    </row>
    <row r="117">
      <c r="A117" s="11" t="n">
        <v>116</v>
      </c>
      <c r="B117" s="14">
        <f>NORM.S.INV(RAND())</f>
        <v/>
      </c>
      <c r="C117" s="14">
        <f>NORM.S.INV(RAND())</f>
        <v/>
      </c>
      <c r="D117" s="15">
        <f>IF('组合输入'!$C2="","",'组合输入'!$H2*$B117+SQRT(1-'组合输入'!$H2^2)*C117)</f>
        <v/>
      </c>
      <c r="E117" s="7">
        <f>IF(D117="","",NORM.S.DIST(D117,TRUE))</f>
        <v/>
      </c>
      <c r="F117" s="13">
        <f>IF(E117="","",IF(E117&lt;='组合输入'!$K2,"AAA",IF(E117&lt;='组合输入'!$L2,"AA",IF(E117&lt;='组合输入'!$M2,"A",IF(E117&lt;='组合输入'!$N2,"BBB",IF(E117&lt;='组合输入'!$O2,"BB",IF(E117&lt;='组合输入'!$P2,"B",IF(E117&lt;='组合输入'!$Q2,"CCC","D")))))))</f>
        <v/>
      </c>
      <c r="G117" s="12">
        <f>IF(F117="","",INDEX('状态价值'!$D2:$K2,MATCH(F117,'状态价值'!$D$1:$K$1,0)))</f>
        <v/>
      </c>
      <c r="H117" s="15">
        <f>NORM.S.INV(RAND())</f>
        <v/>
      </c>
      <c r="I117" s="15">
        <f>IF('组合输入'!$C3="","",'组合输入'!$H3*$B117+SQRT(1-'组合输入'!$H3^2)*H117)</f>
        <v/>
      </c>
      <c r="J117" s="7">
        <f>IF(I117="","",NORM.S.DIST(I117,TRUE))</f>
        <v/>
      </c>
      <c r="K117" s="13">
        <f>IF(J117="","",IF(J117&lt;='组合输入'!$K3,"AAA",IF(J117&lt;='组合输入'!$L3,"AA",IF(J117&lt;='组合输入'!$M3,"A",IF(J117&lt;='组合输入'!$N3,"BBB",IF(J117&lt;='组合输入'!$O3,"BB",IF(J117&lt;='组合输入'!$P3,"B",IF(J117&lt;='组合输入'!$Q3,"CCC","D")))))))</f>
        <v/>
      </c>
      <c r="L117" s="12">
        <f>IF(K117="","",INDEX('状态价值'!$D3:$K3,MATCH(K117,'状态价值'!$D$1:$K$1,0)))</f>
        <v/>
      </c>
      <c r="M117" s="15">
        <f>NORM.S.INV(RAND())</f>
        <v/>
      </c>
      <c r="N117" s="15">
        <f>IF('组合输入'!$C4="","",'组合输入'!$H4*$B117+SQRT(1-'组合输入'!$H4^2)*M117)</f>
        <v/>
      </c>
      <c r="O117" s="7">
        <f>IF(N117="","",NORM.S.DIST(N117,TRUE))</f>
        <v/>
      </c>
      <c r="P117" s="13">
        <f>IF(O117="","",IF(O117&lt;='组合输入'!$K4,"AAA",IF(O117&lt;='组合输入'!$L4,"AA",IF(O117&lt;='组合输入'!$M4,"A",IF(O117&lt;='组合输入'!$N4,"BBB",IF(O117&lt;='组合输入'!$O4,"BB",IF(O117&lt;='组合输入'!$P4,"B",IF(O117&lt;='组合输入'!$Q4,"CCC","D")))))))</f>
        <v/>
      </c>
      <c r="Q117" s="12">
        <f>IF(P117="","",INDEX('状态价值'!$D4:$K4,MATCH(P117,'状态价值'!$D$1:$K$1,0)))</f>
        <v/>
      </c>
      <c r="R117" s="15">
        <f>NORM.S.INV(RAND())</f>
        <v/>
      </c>
      <c r="S117" s="15">
        <f>IF('组合输入'!$C5="","",'组合输入'!$H5*$B117+SQRT(1-'组合输入'!$H5^2)*R117)</f>
        <v/>
      </c>
      <c r="T117" s="7">
        <f>IF(S117="","",NORM.S.DIST(S117,TRUE))</f>
        <v/>
      </c>
      <c r="U117" s="13">
        <f>IF(T117="","",IF(T117&lt;='组合输入'!$K5,"AAA",IF(T117&lt;='组合输入'!$L5,"AA",IF(T117&lt;='组合输入'!$M5,"A",IF(T117&lt;='组合输入'!$N5,"BBB",IF(T117&lt;='组合输入'!$O5,"BB",IF(T117&lt;='组合输入'!$P5,"B",IF(T117&lt;='组合输入'!$Q5,"CCC","D")))))))</f>
        <v/>
      </c>
      <c r="V117" s="12">
        <f>IF(U117="","",INDEX('状态价值'!$D5:$K5,MATCH(U117,'状态价值'!$D$1:$K$1,0)))</f>
        <v/>
      </c>
      <c r="W117" s="15">
        <f>NORM.S.INV(RAND())</f>
        <v/>
      </c>
      <c r="X117" s="15">
        <f>IF('组合输入'!$C6="","",'组合输入'!$H6*$B117+SQRT(1-'组合输入'!$H6^2)*W117)</f>
        <v/>
      </c>
      <c r="Y117" s="7">
        <f>IF(X117="","",NORM.S.DIST(X117,TRUE))</f>
        <v/>
      </c>
      <c r="Z117" s="13">
        <f>IF(Y117="","",IF(Y117&lt;='组合输入'!$K6,"AAA",IF(Y117&lt;='组合输入'!$L6,"AA",IF(Y117&lt;='组合输入'!$M6,"A",IF(Y117&lt;='组合输入'!$N6,"BBB",IF(Y117&lt;='组合输入'!$O6,"BB",IF(Y117&lt;='组合输入'!$P6,"B",IF(Y117&lt;='组合输入'!$Q6,"CCC","D")))))))</f>
        <v/>
      </c>
      <c r="AA117" s="12">
        <f>IF(Z117="","",INDEX('状态价值'!$D6:$K6,MATCH(Z117,'状态价值'!$D$1:$K$1,0)))</f>
        <v/>
      </c>
      <c r="AB117" s="15">
        <f>NORM.S.INV(RAND())</f>
        <v/>
      </c>
      <c r="AC117" s="15">
        <f>IF('组合输入'!$C7="","",'组合输入'!$H7*$B117+SQRT(1-'组合输入'!$H7^2)*AB117)</f>
        <v/>
      </c>
      <c r="AD117" s="7">
        <f>IF(AC117="","",NORM.S.DIST(AC117,TRUE))</f>
        <v/>
      </c>
      <c r="AE117" s="13">
        <f>IF(AD117="","",IF(AD117&lt;='组合输入'!$K7,"AAA",IF(AD117&lt;='组合输入'!$L7,"AA",IF(AD117&lt;='组合输入'!$M7,"A",IF(AD117&lt;='组合输入'!$N7,"BBB",IF(AD117&lt;='组合输入'!$O7,"BB",IF(AD117&lt;='组合输入'!$P7,"B",IF(AD117&lt;='组合输入'!$Q7,"CCC","D")))))))</f>
        <v/>
      </c>
      <c r="AF117" s="12">
        <f>IF(AE117="","",INDEX('状态价值'!$D7:$K7,MATCH(AE117,'状态价值'!$D$1:$K$1,0)))</f>
        <v/>
      </c>
      <c r="AG117" s="15">
        <f>NORM.S.INV(RAND())</f>
        <v/>
      </c>
      <c r="AH117" s="15">
        <f>IF('组合输入'!$C8="","",'组合输入'!$H8*$B117+SQRT(1-'组合输入'!$H8^2)*AG117)</f>
        <v/>
      </c>
      <c r="AI117" s="7">
        <f>IF(AH117="","",NORM.S.DIST(AH117,TRUE))</f>
        <v/>
      </c>
      <c r="AJ117" s="13">
        <f>IF(AI117="","",IF(AI117&lt;='组合输入'!$K8,"AAA",IF(AI117&lt;='组合输入'!$L8,"AA",IF(AI117&lt;='组合输入'!$M8,"A",IF(AI117&lt;='组合输入'!$N8,"BBB",IF(AI117&lt;='组合输入'!$O8,"BB",IF(AI117&lt;='组合输入'!$P8,"B",IF(AI117&lt;='组合输入'!$Q8,"CCC","D")))))))</f>
        <v/>
      </c>
      <c r="AK117" s="12">
        <f>IF(AJ117="","",INDEX('状态价值'!$D8:$K8,MATCH(AJ117,'状态价值'!$D$1:$K$1,0)))</f>
        <v/>
      </c>
      <c r="AL117" s="15">
        <f>NORM.S.INV(RAND())</f>
        <v/>
      </c>
      <c r="AM117" s="15">
        <f>IF('组合输入'!$C9="","",'组合输入'!$H9*$B117+SQRT(1-'组合输入'!$H9^2)*AL117)</f>
        <v/>
      </c>
      <c r="AN117" s="7">
        <f>IF(AM117="","",NORM.S.DIST(AM117,TRUE))</f>
        <v/>
      </c>
      <c r="AO117" s="13">
        <f>IF(AN117="","",IF(AN117&lt;='组合输入'!$K9,"AAA",IF(AN117&lt;='组合输入'!$L9,"AA",IF(AN117&lt;='组合输入'!$M9,"A",IF(AN117&lt;='组合输入'!$N9,"BBB",IF(AN117&lt;='组合输入'!$O9,"BB",IF(AN117&lt;='组合输入'!$P9,"B",IF(AN117&lt;='组合输入'!$Q9,"CCC","D")))))))</f>
        <v/>
      </c>
      <c r="AP117" s="12">
        <f>IF(AO117="","",INDEX('状态价值'!$D9:$K9,MATCH(AO117,'状态价值'!$D$1:$K$1,0)))</f>
        <v/>
      </c>
      <c r="AQ117" s="15">
        <f>NORM.S.INV(RAND())</f>
        <v/>
      </c>
      <c r="AR117" s="15">
        <f>IF('组合输入'!$C10="","",'组合输入'!$H10*$B117+SQRT(1-'组合输入'!$H10^2)*AQ117)</f>
        <v/>
      </c>
      <c r="AS117" s="7">
        <f>IF(AR117="","",NORM.S.DIST(AR117,TRUE))</f>
        <v/>
      </c>
      <c r="AT117" s="13">
        <f>IF(AS117="","",IF(AS117&lt;='组合输入'!$K10,"AAA",IF(AS117&lt;='组合输入'!$L10,"AA",IF(AS117&lt;='组合输入'!$M10,"A",IF(AS117&lt;='组合输入'!$N10,"BBB",IF(AS117&lt;='组合输入'!$O10,"BB",IF(AS117&lt;='组合输入'!$P10,"B",IF(AS117&lt;='组合输入'!$Q10,"CCC","D")))))))</f>
        <v/>
      </c>
      <c r="AU117" s="12">
        <f>IF(AT117="","",INDEX('状态价值'!$D10:$K10,MATCH(AT117,'状态价值'!$D$1:$K$1,0)))</f>
        <v/>
      </c>
      <c r="AV117" s="15">
        <f>NORM.S.INV(RAND())</f>
        <v/>
      </c>
      <c r="AW117" s="15">
        <f>IF('组合输入'!$C11="","",'组合输入'!$H11*$B117+SQRT(1-'组合输入'!$H11^2)*AV117)</f>
        <v/>
      </c>
      <c r="AX117" s="7">
        <f>IF(AW117="","",NORM.S.DIST(AW117,TRUE))</f>
        <v/>
      </c>
      <c r="AY117" s="13">
        <f>IF(AX117="","",IF(AX117&lt;='组合输入'!$K11,"AAA",IF(AX117&lt;='组合输入'!$L11,"AA",IF(AX117&lt;='组合输入'!$M11,"A",IF(AX117&lt;='组合输入'!$N11,"BBB",IF(AX117&lt;='组合输入'!$O11,"BB",IF(AX117&lt;='组合输入'!$P11,"B",IF(AX117&lt;='组合输入'!$Q11,"CCC","D")))))))</f>
        <v/>
      </c>
      <c r="AZ117" s="12">
        <f>IF(AY117="","",INDEX('状态价值'!$D11:$K11,MATCH(AY117,'状态价值'!$D$1:$K$1,0)))</f>
        <v/>
      </c>
      <c r="BA117" s="12">
        <f>G117+L117+Q117+V117+AA117+AF117+AK117+AP117+AU117+AZ117</f>
        <v/>
      </c>
      <c r="BB117" s="12">
        <f>SUM('组合输入'!$J$2:$J$11)-BA117</f>
        <v/>
      </c>
    </row>
    <row r="118">
      <c r="A118" s="11" t="n">
        <v>117</v>
      </c>
      <c r="B118" s="14">
        <f>NORM.S.INV(RAND())</f>
        <v/>
      </c>
      <c r="C118" s="14">
        <f>NORM.S.INV(RAND())</f>
        <v/>
      </c>
      <c r="D118" s="15">
        <f>IF('组合输入'!$C2="","",'组合输入'!$H2*$B118+SQRT(1-'组合输入'!$H2^2)*C118)</f>
        <v/>
      </c>
      <c r="E118" s="7">
        <f>IF(D118="","",NORM.S.DIST(D118,TRUE))</f>
        <v/>
      </c>
      <c r="F118" s="13">
        <f>IF(E118="","",IF(E118&lt;='组合输入'!$K2,"AAA",IF(E118&lt;='组合输入'!$L2,"AA",IF(E118&lt;='组合输入'!$M2,"A",IF(E118&lt;='组合输入'!$N2,"BBB",IF(E118&lt;='组合输入'!$O2,"BB",IF(E118&lt;='组合输入'!$P2,"B",IF(E118&lt;='组合输入'!$Q2,"CCC","D")))))))</f>
        <v/>
      </c>
      <c r="G118" s="12">
        <f>IF(F118="","",INDEX('状态价值'!$D2:$K2,MATCH(F118,'状态价值'!$D$1:$K$1,0)))</f>
        <v/>
      </c>
      <c r="H118" s="15">
        <f>NORM.S.INV(RAND())</f>
        <v/>
      </c>
      <c r="I118" s="15">
        <f>IF('组合输入'!$C3="","",'组合输入'!$H3*$B118+SQRT(1-'组合输入'!$H3^2)*H118)</f>
        <v/>
      </c>
      <c r="J118" s="7">
        <f>IF(I118="","",NORM.S.DIST(I118,TRUE))</f>
        <v/>
      </c>
      <c r="K118" s="13">
        <f>IF(J118="","",IF(J118&lt;='组合输入'!$K3,"AAA",IF(J118&lt;='组合输入'!$L3,"AA",IF(J118&lt;='组合输入'!$M3,"A",IF(J118&lt;='组合输入'!$N3,"BBB",IF(J118&lt;='组合输入'!$O3,"BB",IF(J118&lt;='组合输入'!$P3,"B",IF(J118&lt;='组合输入'!$Q3,"CCC","D")))))))</f>
        <v/>
      </c>
      <c r="L118" s="12">
        <f>IF(K118="","",INDEX('状态价值'!$D3:$K3,MATCH(K118,'状态价值'!$D$1:$K$1,0)))</f>
        <v/>
      </c>
      <c r="M118" s="15">
        <f>NORM.S.INV(RAND())</f>
        <v/>
      </c>
      <c r="N118" s="15">
        <f>IF('组合输入'!$C4="","",'组合输入'!$H4*$B118+SQRT(1-'组合输入'!$H4^2)*M118)</f>
        <v/>
      </c>
      <c r="O118" s="7">
        <f>IF(N118="","",NORM.S.DIST(N118,TRUE))</f>
        <v/>
      </c>
      <c r="P118" s="13">
        <f>IF(O118="","",IF(O118&lt;='组合输入'!$K4,"AAA",IF(O118&lt;='组合输入'!$L4,"AA",IF(O118&lt;='组合输入'!$M4,"A",IF(O118&lt;='组合输入'!$N4,"BBB",IF(O118&lt;='组合输入'!$O4,"BB",IF(O118&lt;='组合输入'!$P4,"B",IF(O118&lt;='组合输入'!$Q4,"CCC","D")))))))</f>
        <v/>
      </c>
      <c r="Q118" s="12">
        <f>IF(P118="","",INDEX('状态价值'!$D4:$K4,MATCH(P118,'状态价值'!$D$1:$K$1,0)))</f>
        <v/>
      </c>
      <c r="R118" s="15">
        <f>NORM.S.INV(RAND())</f>
        <v/>
      </c>
      <c r="S118" s="15">
        <f>IF('组合输入'!$C5="","",'组合输入'!$H5*$B118+SQRT(1-'组合输入'!$H5^2)*R118)</f>
        <v/>
      </c>
      <c r="T118" s="7">
        <f>IF(S118="","",NORM.S.DIST(S118,TRUE))</f>
        <v/>
      </c>
      <c r="U118" s="13">
        <f>IF(T118="","",IF(T118&lt;='组合输入'!$K5,"AAA",IF(T118&lt;='组合输入'!$L5,"AA",IF(T118&lt;='组合输入'!$M5,"A",IF(T118&lt;='组合输入'!$N5,"BBB",IF(T118&lt;='组合输入'!$O5,"BB",IF(T118&lt;='组合输入'!$P5,"B",IF(T118&lt;='组合输入'!$Q5,"CCC","D")))))))</f>
        <v/>
      </c>
      <c r="V118" s="12">
        <f>IF(U118="","",INDEX('状态价值'!$D5:$K5,MATCH(U118,'状态价值'!$D$1:$K$1,0)))</f>
        <v/>
      </c>
      <c r="W118" s="15">
        <f>NORM.S.INV(RAND())</f>
        <v/>
      </c>
      <c r="X118" s="15">
        <f>IF('组合输入'!$C6="","",'组合输入'!$H6*$B118+SQRT(1-'组合输入'!$H6^2)*W118)</f>
        <v/>
      </c>
      <c r="Y118" s="7">
        <f>IF(X118="","",NORM.S.DIST(X118,TRUE))</f>
        <v/>
      </c>
      <c r="Z118" s="13">
        <f>IF(Y118="","",IF(Y118&lt;='组合输入'!$K6,"AAA",IF(Y118&lt;='组合输入'!$L6,"AA",IF(Y118&lt;='组合输入'!$M6,"A",IF(Y118&lt;='组合输入'!$N6,"BBB",IF(Y118&lt;='组合输入'!$O6,"BB",IF(Y118&lt;='组合输入'!$P6,"B",IF(Y118&lt;='组合输入'!$Q6,"CCC","D")))))))</f>
        <v/>
      </c>
      <c r="AA118" s="12">
        <f>IF(Z118="","",INDEX('状态价值'!$D6:$K6,MATCH(Z118,'状态价值'!$D$1:$K$1,0)))</f>
        <v/>
      </c>
      <c r="AB118" s="15">
        <f>NORM.S.INV(RAND())</f>
        <v/>
      </c>
      <c r="AC118" s="15">
        <f>IF('组合输入'!$C7="","",'组合输入'!$H7*$B118+SQRT(1-'组合输入'!$H7^2)*AB118)</f>
        <v/>
      </c>
      <c r="AD118" s="7">
        <f>IF(AC118="","",NORM.S.DIST(AC118,TRUE))</f>
        <v/>
      </c>
      <c r="AE118" s="13">
        <f>IF(AD118="","",IF(AD118&lt;='组合输入'!$K7,"AAA",IF(AD118&lt;='组合输入'!$L7,"AA",IF(AD118&lt;='组合输入'!$M7,"A",IF(AD118&lt;='组合输入'!$N7,"BBB",IF(AD118&lt;='组合输入'!$O7,"BB",IF(AD118&lt;='组合输入'!$P7,"B",IF(AD118&lt;='组合输入'!$Q7,"CCC","D")))))))</f>
        <v/>
      </c>
      <c r="AF118" s="12">
        <f>IF(AE118="","",INDEX('状态价值'!$D7:$K7,MATCH(AE118,'状态价值'!$D$1:$K$1,0)))</f>
        <v/>
      </c>
      <c r="AG118" s="15">
        <f>NORM.S.INV(RAND())</f>
        <v/>
      </c>
      <c r="AH118" s="15">
        <f>IF('组合输入'!$C8="","",'组合输入'!$H8*$B118+SQRT(1-'组合输入'!$H8^2)*AG118)</f>
        <v/>
      </c>
      <c r="AI118" s="7">
        <f>IF(AH118="","",NORM.S.DIST(AH118,TRUE))</f>
        <v/>
      </c>
      <c r="AJ118" s="13">
        <f>IF(AI118="","",IF(AI118&lt;='组合输入'!$K8,"AAA",IF(AI118&lt;='组合输入'!$L8,"AA",IF(AI118&lt;='组合输入'!$M8,"A",IF(AI118&lt;='组合输入'!$N8,"BBB",IF(AI118&lt;='组合输入'!$O8,"BB",IF(AI118&lt;='组合输入'!$P8,"B",IF(AI118&lt;='组合输入'!$Q8,"CCC","D")))))))</f>
        <v/>
      </c>
      <c r="AK118" s="12">
        <f>IF(AJ118="","",INDEX('状态价值'!$D8:$K8,MATCH(AJ118,'状态价值'!$D$1:$K$1,0)))</f>
        <v/>
      </c>
      <c r="AL118" s="15">
        <f>NORM.S.INV(RAND())</f>
        <v/>
      </c>
      <c r="AM118" s="15">
        <f>IF('组合输入'!$C9="","",'组合输入'!$H9*$B118+SQRT(1-'组合输入'!$H9^2)*AL118)</f>
        <v/>
      </c>
      <c r="AN118" s="7">
        <f>IF(AM118="","",NORM.S.DIST(AM118,TRUE))</f>
        <v/>
      </c>
      <c r="AO118" s="13">
        <f>IF(AN118="","",IF(AN118&lt;='组合输入'!$K9,"AAA",IF(AN118&lt;='组合输入'!$L9,"AA",IF(AN118&lt;='组合输入'!$M9,"A",IF(AN118&lt;='组合输入'!$N9,"BBB",IF(AN118&lt;='组合输入'!$O9,"BB",IF(AN118&lt;='组合输入'!$P9,"B",IF(AN118&lt;='组合输入'!$Q9,"CCC","D")))))))</f>
        <v/>
      </c>
      <c r="AP118" s="12">
        <f>IF(AO118="","",INDEX('状态价值'!$D9:$K9,MATCH(AO118,'状态价值'!$D$1:$K$1,0)))</f>
        <v/>
      </c>
      <c r="AQ118" s="15">
        <f>NORM.S.INV(RAND())</f>
        <v/>
      </c>
      <c r="AR118" s="15">
        <f>IF('组合输入'!$C10="","",'组合输入'!$H10*$B118+SQRT(1-'组合输入'!$H10^2)*AQ118)</f>
        <v/>
      </c>
      <c r="AS118" s="7">
        <f>IF(AR118="","",NORM.S.DIST(AR118,TRUE))</f>
        <v/>
      </c>
      <c r="AT118" s="13">
        <f>IF(AS118="","",IF(AS118&lt;='组合输入'!$K10,"AAA",IF(AS118&lt;='组合输入'!$L10,"AA",IF(AS118&lt;='组合输入'!$M10,"A",IF(AS118&lt;='组合输入'!$N10,"BBB",IF(AS118&lt;='组合输入'!$O10,"BB",IF(AS118&lt;='组合输入'!$P10,"B",IF(AS118&lt;='组合输入'!$Q10,"CCC","D")))))))</f>
        <v/>
      </c>
      <c r="AU118" s="12">
        <f>IF(AT118="","",INDEX('状态价值'!$D10:$K10,MATCH(AT118,'状态价值'!$D$1:$K$1,0)))</f>
        <v/>
      </c>
      <c r="AV118" s="15">
        <f>NORM.S.INV(RAND())</f>
        <v/>
      </c>
      <c r="AW118" s="15">
        <f>IF('组合输入'!$C11="","",'组合输入'!$H11*$B118+SQRT(1-'组合输入'!$H11^2)*AV118)</f>
        <v/>
      </c>
      <c r="AX118" s="7">
        <f>IF(AW118="","",NORM.S.DIST(AW118,TRUE))</f>
        <v/>
      </c>
      <c r="AY118" s="13">
        <f>IF(AX118="","",IF(AX118&lt;='组合输入'!$K11,"AAA",IF(AX118&lt;='组合输入'!$L11,"AA",IF(AX118&lt;='组合输入'!$M11,"A",IF(AX118&lt;='组合输入'!$N11,"BBB",IF(AX118&lt;='组合输入'!$O11,"BB",IF(AX118&lt;='组合输入'!$P11,"B",IF(AX118&lt;='组合输入'!$Q11,"CCC","D")))))))</f>
        <v/>
      </c>
      <c r="AZ118" s="12">
        <f>IF(AY118="","",INDEX('状态价值'!$D11:$K11,MATCH(AY118,'状态价值'!$D$1:$K$1,0)))</f>
        <v/>
      </c>
      <c r="BA118" s="12">
        <f>G118+L118+Q118+V118+AA118+AF118+AK118+AP118+AU118+AZ118</f>
        <v/>
      </c>
      <c r="BB118" s="12">
        <f>SUM('组合输入'!$J$2:$J$11)-BA118</f>
        <v/>
      </c>
    </row>
    <row r="119">
      <c r="A119" s="11" t="n">
        <v>118</v>
      </c>
      <c r="B119" s="14">
        <f>NORM.S.INV(RAND())</f>
        <v/>
      </c>
      <c r="C119" s="14">
        <f>NORM.S.INV(RAND())</f>
        <v/>
      </c>
      <c r="D119" s="15">
        <f>IF('组合输入'!$C2="","",'组合输入'!$H2*$B119+SQRT(1-'组合输入'!$H2^2)*C119)</f>
        <v/>
      </c>
      <c r="E119" s="7">
        <f>IF(D119="","",NORM.S.DIST(D119,TRUE))</f>
        <v/>
      </c>
      <c r="F119" s="13">
        <f>IF(E119="","",IF(E119&lt;='组合输入'!$K2,"AAA",IF(E119&lt;='组合输入'!$L2,"AA",IF(E119&lt;='组合输入'!$M2,"A",IF(E119&lt;='组合输入'!$N2,"BBB",IF(E119&lt;='组合输入'!$O2,"BB",IF(E119&lt;='组合输入'!$P2,"B",IF(E119&lt;='组合输入'!$Q2,"CCC","D")))))))</f>
        <v/>
      </c>
      <c r="G119" s="12">
        <f>IF(F119="","",INDEX('状态价值'!$D2:$K2,MATCH(F119,'状态价值'!$D$1:$K$1,0)))</f>
        <v/>
      </c>
      <c r="H119" s="15">
        <f>NORM.S.INV(RAND())</f>
        <v/>
      </c>
      <c r="I119" s="15">
        <f>IF('组合输入'!$C3="","",'组合输入'!$H3*$B119+SQRT(1-'组合输入'!$H3^2)*H119)</f>
        <v/>
      </c>
      <c r="J119" s="7">
        <f>IF(I119="","",NORM.S.DIST(I119,TRUE))</f>
        <v/>
      </c>
      <c r="K119" s="13">
        <f>IF(J119="","",IF(J119&lt;='组合输入'!$K3,"AAA",IF(J119&lt;='组合输入'!$L3,"AA",IF(J119&lt;='组合输入'!$M3,"A",IF(J119&lt;='组合输入'!$N3,"BBB",IF(J119&lt;='组合输入'!$O3,"BB",IF(J119&lt;='组合输入'!$P3,"B",IF(J119&lt;='组合输入'!$Q3,"CCC","D")))))))</f>
        <v/>
      </c>
      <c r="L119" s="12">
        <f>IF(K119="","",INDEX('状态价值'!$D3:$K3,MATCH(K119,'状态价值'!$D$1:$K$1,0)))</f>
        <v/>
      </c>
      <c r="M119" s="15">
        <f>NORM.S.INV(RAND())</f>
        <v/>
      </c>
      <c r="N119" s="15">
        <f>IF('组合输入'!$C4="","",'组合输入'!$H4*$B119+SQRT(1-'组合输入'!$H4^2)*M119)</f>
        <v/>
      </c>
      <c r="O119" s="7">
        <f>IF(N119="","",NORM.S.DIST(N119,TRUE))</f>
        <v/>
      </c>
      <c r="P119" s="13">
        <f>IF(O119="","",IF(O119&lt;='组合输入'!$K4,"AAA",IF(O119&lt;='组合输入'!$L4,"AA",IF(O119&lt;='组合输入'!$M4,"A",IF(O119&lt;='组合输入'!$N4,"BBB",IF(O119&lt;='组合输入'!$O4,"BB",IF(O119&lt;='组合输入'!$P4,"B",IF(O119&lt;='组合输入'!$Q4,"CCC","D")))))))</f>
        <v/>
      </c>
      <c r="Q119" s="12">
        <f>IF(P119="","",INDEX('状态价值'!$D4:$K4,MATCH(P119,'状态价值'!$D$1:$K$1,0)))</f>
        <v/>
      </c>
      <c r="R119" s="15">
        <f>NORM.S.INV(RAND())</f>
        <v/>
      </c>
      <c r="S119" s="15">
        <f>IF('组合输入'!$C5="","",'组合输入'!$H5*$B119+SQRT(1-'组合输入'!$H5^2)*R119)</f>
        <v/>
      </c>
      <c r="T119" s="7">
        <f>IF(S119="","",NORM.S.DIST(S119,TRUE))</f>
        <v/>
      </c>
      <c r="U119" s="13">
        <f>IF(T119="","",IF(T119&lt;='组合输入'!$K5,"AAA",IF(T119&lt;='组合输入'!$L5,"AA",IF(T119&lt;='组合输入'!$M5,"A",IF(T119&lt;='组合输入'!$N5,"BBB",IF(T119&lt;='组合输入'!$O5,"BB",IF(T119&lt;='组合输入'!$P5,"B",IF(T119&lt;='组合输入'!$Q5,"CCC","D")))))))</f>
        <v/>
      </c>
      <c r="V119" s="12">
        <f>IF(U119="","",INDEX('状态价值'!$D5:$K5,MATCH(U119,'状态价值'!$D$1:$K$1,0)))</f>
        <v/>
      </c>
      <c r="W119" s="15">
        <f>NORM.S.INV(RAND())</f>
        <v/>
      </c>
      <c r="X119" s="15">
        <f>IF('组合输入'!$C6="","",'组合输入'!$H6*$B119+SQRT(1-'组合输入'!$H6^2)*W119)</f>
        <v/>
      </c>
      <c r="Y119" s="7">
        <f>IF(X119="","",NORM.S.DIST(X119,TRUE))</f>
        <v/>
      </c>
      <c r="Z119" s="13">
        <f>IF(Y119="","",IF(Y119&lt;='组合输入'!$K6,"AAA",IF(Y119&lt;='组合输入'!$L6,"AA",IF(Y119&lt;='组合输入'!$M6,"A",IF(Y119&lt;='组合输入'!$N6,"BBB",IF(Y119&lt;='组合输入'!$O6,"BB",IF(Y119&lt;='组合输入'!$P6,"B",IF(Y119&lt;='组合输入'!$Q6,"CCC","D")))))))</f>
        <v/>
      </c>
      <c r="AA119" s="12">
        <f>IF(Z119="","",INDEX('状态价值'!$D6:$K6,MATCH(Z119,'状态价值'!$D$1:$K$1,0)))</f>
        <v/>
      </c>
      <c r="AB119" s="15">
        <f>NORM.S.INV(RAND())</f>
        <v/>
      </c>
      <c r="AC119" s="15">
        <f>IF('组合输入'!$C7="","",'组合输入'!$H7*$B119+SQRT(1-'组合输入'!$H7^2)*AB119)</f>
        <v/>
      </c>
      <c r="AD119" s="7">
        <f>IF(AC119="","",NORM.S.DIST(AC119,TRUE))</f>
        <v/>
      </c>
      <c r="AE119" s="13">
        <f>IF(AD119="","",IF(AD119&lt;='组合输入'!$K7,"AAA",IF(AD119&lt;='组合输入'!$L7,"AA",IF(AD119&lt;='组合输入'!$M7,"A",IF(AD119&lt;='组合输入'!$N7,"BBB",IF(AD119&lt;='组合输入'!$O7,"BB",IF(AD119&lt;='组合输入'!$P7,"B",IF(AD119&lt;='组合输入'!$Q7,"CCC","D")))))))</f>
        <v/>
      </c>
      <c r="AF119" s="12">
        <f>IF(AE119="","",INDEX('状态价值'!$D7:$K7,MATCH(AE119,'状态价值'!$D$1:$K$1,0)))</f>
        <v/>
      </c>
      <c r="AG119" s="15">
        <f>NORM.S.INV(RAND())</f>
        <v/>
      </c>
      <c r="AH119" s="15">
        <f>IF('组合输入'!$C8="","",'组合输入'!$H8*$B119+SQRT(1-'组合输入'!$H8^2)*AG119)</f>
        <v/>
      </c>
      <c r="AI119" s="7">
        <f>IF(AH119="","",NORM.S.DIST(AH119,TRUE))</f>
        <v/>
      </c>
      <c r="AJ119" s="13">
        <f>IF(AI119="","",IF(AI119&lt;='组合输入'!$K8,"AAA",IF(AI119&lt;='组合输入'!$L8,"AA",IF(AI119&lt;='组合输入'!$M8,"A",IF(AI119&lt;='组合输入'!$N8,"BBB",IF(AI119&lt;='组合输入'!$O8,"BB",IF(AI119&lt;='组合输入'!$P8,"B",IF(AI119&lt;='组合输入'!$Q8,"CCC","D")))))))</f>
        <v/>
      </c>
      <c r="AK119" s="12">
        <f>IF(AJ119="","",INDEX('状态价值'!$D8:$K8,MATCH(AJ119,'状态价值'!$D$1:$K$1,0)))</f>
        <v/>
      </c>
      <c r="AL119" s="15">
        <f>NORM.S.INV(RAND())</f>
        <v/>
      </c>
      <c r="AM119" s="15">
        <f>IF('组合输入'!$C9="","",'组合输入'!$H9*$B119+SQRT(1-'组合输入'!$H9^2)*AL119)</f>
        <v/>
      </c>
      <c r="AN119" s="7">
        <f>IF(AM119="","",NORM.S.DIST(AM119,TRUE))</f>
        <v/>
      </c>
      <c r="AO119" s="13">
        <f>IF(AN119="","",IF(AN119&lt;='组合输入'!$K9,"AAA",IF(AN119&lt;='组合输入'!$L9,"AA",IF(AN119&lt;='组合输入'!$M9,"A",IF(AN119&lt;='组合输入'!$N9,"BBB",IF(AN119&lt;='组合输入'!$O9,"BB",IF(AN119&lt;='组合输入'!$P9,"B",IF(AN119&lt;='组合输入'!$Q9,"CCC","D")))))))</f>
        <v/>
      </c>
      <c r="AP119" s="12">
        <f>IF(AO119="","",INDEX('状态价值'!$D9:$K9,MATCH(AO119,'状态价值'!$D$1:$K$1,0)))</f>
        <v/>
      </c>
      <c r="AQ119" s="15">
        <f>NORM.S.INV(RAND())</f>
        <v/>
      </c>
      <c r="AR119" s="15">
        <f>IF('组合输入'!$C10="","",'组合输入'!$H10*$B119+SQRT(1-'组合输入'!$H10^2)*AQ119)</f>
        <v/>
      </c>
      <c r="AS119" s="7">
        <f>IF(AR119="","",NORM.S.DIST(AR119,TRUE))</f>
        <v/>
      </c>
      <c r="AT119" s="13">
        <f>IF(AS119="","",IF(AS119&lt;='组合输入'!$K10,"AAA",IF(AS119&lt;='组合输入'!$L10,"AA",IF(AS119&lt;='组合输入'!$M10,"A",IF(AS119&lt;='组合输入'!$N10,"BBB",IF(AS119&lt;='组合输入'!$O10,"BB",IF(AS119&lt;='组合输入'!$P10,"B",IF(AS119&lt;='组合输入'!$Q10,"CCC","D")))))))</f>
        <v/>
      </c>
      <c r="AU119" s="12">
        <f>IF(AT119="","",INDEX('状态价值'!$D10:$K10,MATCH(AT119,'状态价值'!$D$1:$K$1,0)))</f>
        <v/>
      </c>
      <c r="AV119" s="15">
        <f>NORM.S.INV(RAND())</f>
        <v/>
      </c>
      <c r="AW119" s="15">
        <f>IF('组合输入'!$C11="","",'组合输入'!$H11*$B119+SQRT(1-'组合输入'!$H11^2)*AV119)</f>
        <v/>
      </c>
      <c r="AX119" s="7">
        <f>IF(AW119="","",NORM.S.DIST(AW119,TRUE))</f>
        <v/>
      </c>
      <c r="AY119" s="13">
        <f>IF(AX119="","",IF(AX119&lt;='组合输入'!$K11,"AAA",IF(AX119&lt;='组合输入'!$L11,"AA",IF(AX119&lt;='组合输入'!$M11,"A",IF(AX119&lt;='组合输入'!$N11,"BBB",IF(AX119&lt;='组合输入'!$O11,"BB",IF(AX119&lt;='组合输入'!$P11,"B",IF(AX119&lt;='组合输入'!$Q11,"CCC","D")))))))</f>
        <v/>
      </c>
      <c r="AZ119" s="12">
        <f>IF(AY119="","",INDEX('状态价值'!$D11:$K11,MATCH(AY119,'状态价值'!$D$1:$K$1,0)))</f>
        <v/>
      </c>
      <c r="BA119" s="12">
        <f>G119+L119+Q119+V119+AA119+AF119+AK119+AP119+AU119+AZ119</f>
        <v/>
      </c>
      <c r="BB119" s="12">
        <f>SUM('组合输入'!$J$2:$J$11)-BA119</f>
        <v/>
      </c>
    </row>
    <row r="120">
      <c r="A120" s="11" t="n">
        <v>119</v>
      </c>
      <c r="B120" s="14">
        <f>NORM.S.INV(RAND())</f>
        <v/>
      </c>
      <c r="C120" s="14">
        <f>NORM.S.INV(RAND())</f>
        <v/>
      </c>
      <c r="D120" s="15">
        <f>IF('组合输入'!$C2="","",'组合输入'!$H2*$B120+SQRT(1-'组合输入'!$H2^2)*C120)</f>
        <v/>
      </c>
      <c r="E120" s="7">
        <f>IF(D120="","",NORM.S.DIST(D120,TRUE))</f>
        <v/>
      </c>
      <c r="F120" s="13">
        <f>IF(E120="","",IF(E120&lt;='组合输入'!$K2,"AAA",IF(E120&lt;='组合输入'!$L2,"AA",IF(E120&lt;='组合输入'!$M2,"A",IF(E120&lt;='组合输入'!$N2,"BBB",IF(E120&lt;='组合输入'!$O2,"BB",IF(E120&lt;='组合输入'!$P2,"B",IF(E120&lt;='组合输入'!$Q2,"CCC","D")))))))</f>
        <v/>
      </c>
      <c r="G120" s="12">
        <f>IF(F120="","",INDEX('状态价值'!$D2:$K2,MATCH(F120,'状态价值'!$D$1:$K$1,0)))</f>
        <v/>
      </c>
      <c r="H120" s="15">
        <f>NORM.S.INV(RAND())</f>
        <v/>
      </c>
      <c r="I120" s="15">
        <f>IF('组合输入'!$C3="","",'组合输入'!$H3*$B120+SQRT(1-'组合输入'!$H3^2)*H120)</f>
        <v/>
      </c>
      <c r="J120" s="7">
        <f>IF(I120="","",NORM.S.DIST(I120,TRUE))</f>
        <v/>
      </c>
      <c r="K120" s="13">
        <f>IF(J120="","",IF(J120&lt;='组合输入'!$K3,"AAA",IF(J120&lt;='组合输入'!$L3,"AA",IF(J120&lt;='组合输入'!$M3,"A",IF(J120&lt;='组合输入'!$N3,"BBB",IF(J120&lt;='组合输入'!$O3,"BB",IF(J120&lt;='组合输入'!$P3,"B",IF(J120&lt;='组合输入'!$Q3,"CCC","D")))))))</f>
        <v/>
      </c>
      <c r="L120" s="12">
        <f>IF(K120="","",INDEX('状态价值'!$D3:$K3,MATCH(K120,'状态价值'!$D$1:$K$1,0)))</f>
        <v/>
      </c>
      <c r="M120" s="15">
        <f>NORM.S.INV(RAND())</f>
        <v/>
      </c>
      <c r="N120" s="15">
        <f>IF('组合输入'!$C4="","",'组合输入'!$H4*$B120+SQRT(1-'组合输入'!$H4^2)*M120)</f>
        <v/>
      </c>
      <c r="O120" s="7">
        <f>IF(N120="","",NORM.S.DIST(N120,TRUE))</f>
        <v/>
      </c>
      <c r="P120" s="13">
        <f>IF(O120="","",IF(O120&lt;='组合输入'!$K4,"AAA",IF(O120&lt;='组合输入'!$L4,"AA",IF(O120&lt;='组合输入'!$M4,"A",IF(O120&lt;='组合输入'!$N4,"BBB",IF(O120&lt;='组合输入'!$O4,"BB",IF(O120&lt;='组合输入'!$P4,"B",IF(O120&lt;='组合输入'!$Q4,"CCC","D")))))))</f>
        <v/>
      </c>
      <c r="Q120" s="12">
        <f>IF(P120="","",INDEX('状态价值'!$D4:$K4,MATCH(P120,'状态价值'!$D$1:$K$1,0)))</f>
        <v/>
      </c>
      <c r="R120" s="15">
        <f>NORM.S.INV(RAND())</f>
        <v/>
      </c>
      <c r="S120" s="15">
        <f>IF('组合输入'!$C5="","",'组合输入'!$H5*$B120+SQRT(1-'组合输入'!$H5^2)*R120)</f>
        <v/>
      </c>
      <c r="T120" s="7">
        <f>IF(S120="","",NORM.S.DIST(S120,TRUE))</f>
        <v/>
      </c>
      <c r="U120" s="13">
        <f>IF(T120="","",IF(T120&lt;='组合输入'!$K5,"AAA",IF(T120&lt;='组合输入'!$L5,"AA",IF(T120&lt;='组合输入'!$M5,"A",IF(T120&lt;='组合输入'!$N5,"BBB",IF(T120&lt;='组合输入'!$O5,"BB",IF(T120&lt;='组合输入'!$P5,"B",IF(T120&lt;='组合输入'!$Q5,"CCC","D")))))))</f>
        <v/>
      </c>
      <c r="V120" s="12">
        <f>IF(U120="","",INDEX('状态价值'!$D5:$K5,MATCH(U120,'状态价值'!$D$1:$K$1,0)))</f>
        <v/>
      </c>
      <c r="W120" s="15">
        <f>NORM.S.INV(RAND())</f>
        <v/>
      </c>
      <c r="X120" s="15">
        <f>IF('组合输入'!$C6="","",'组合输入'!$H6*$B120+SQRT(1-'组合输入'!$H6^2)*W120)</f>
        <v/>
      </c>
      <c r="Y120" s="7">
        <f>IF(X120="","",NORM.S.DIST(X120,TRUE))</f>
        <v/>
      </c>
      <c r="Z120" s="13">
        <f>IF(Y120="","",IF(Y120&lt;='组合输入'!$K6,"AAA",IF(Y120&lt;='组合输入'!$L6,"AA",IF(Y120&lt;='组合输入'!$M6,"A",IF(Y120&lt;='组合输入'!$N6,"BBB",IF(Y120&lt;='组合输入'!$O6,"BB",IF(Y120&lt;='组合输入'!$P6,"B",IF(Y120&lt;='组合输入'!$Q6,"CCC","D")))))))</f>
        <v/>
      </c>
      <c r="AA120" s="12">
        <f>IF(Z120="","",INDEX('状态价值'!$D6:$K6,MATCH(Z120,'状态价值'!$D$1:$K$1,0)))</f>
        <v/>
      </c>
      <c r="AB120" s="15">
        <f>NORM.S.INV(RAND())</f>
        <v/>
      </c>
      <c r="AC120" s="15">
        <f>IF('组合输入'!$C7="","",'组合输入'!$H7*$B120+SQRT(1-'组合输入'!$H7^2)*AB120)</f>
        <v/>
      </c>
      <c r="AD120" s="7">
        <f>IF(AC120="","",NORM.S.DIST(AC120,TRUE))</f>
        <v/>
      </c>
      <c r="AE120" s="13">
        <f>IF(AD120="","",IF(AD120&lt;='组合输入'!$K7,"AAA",IF(AD120&lt;='组合输入'!$L7,"AA",IF(AD120&lt;='组合输入'!$M7,"A",IF(AD120&lt;='组合输入'!$N7,"BBB",IF(AD120&lt;='组合输入'!$O7,"BB",IF(AD120&lt;='组合输入'!$P7,"B",IF(AD120&lt;='组合输入'!$Q7,"CCC","D")))))))</f>
        <v/>
      </c>
      <c r="AF120" s="12">
        <f>IF(AE120="","",INDEX('状态价值'!$D7:$K7,MATCH(AE120,'状态价值'!$D$1:$K$1,0)))</f>
        <v/>
      </c>
      <c r="AG120" s="15">
        <f>NORM.S.INV(RAND())</f>
        <v/>
      </c>
      <c r="AH120" s="15">
        <f>IF('组合输入'!$C8="","",'组合输入'!$H8*$B120+SQRT(1-'组合输入'!$H8^2)*AG120)</f>
        <v/>
      </c>
      <c r="AI120" s="7">
        <f>IF(AH120="","",NORM.S.DIST(AH120,TRUE))</f>
        <v/>
      </c>
      <c r="AJ120" s="13">
        <f>IF(AI120="","",IF(AI120&lt;='组合输入'!$K8,"AAA",IF(AI120&lt;='组合输入'!$L8,"AA",IF(AI120&lt;='组合输入'!$M8,"A",IF(AI120&lt;='组合输入'!$N8,"BBB",IF(AI120&lt;='组合输入'!$O8,"BB",IF(AI120&lt;='组合输入'!$P8,"B",IF(AI120&lt;='组合输入'!$Q8,"CCC","D")))))))</f>
        <v/>
      </c>
      <c r="AK120" s="12">
        <f>IF(AJ120="","",INDEX('状态价值'!$D8:$K8,MATCH(AJ120,'状态价值'!$D$1:$K$1,0)))</f>
        <v/>
      </c>
      <c r="AL120" s="15">
        <f>NORM.S.INV(RAND())</f>
        <v/>
      </c>
      <c r="AM120" s="15">
        <f>IF('组合输入'!$C9="","",'组合输入'!$H9*$B120+SQRT(1-'组合输入'!$H9^2)*AL120)</f>
        <v/>
      </c>
      <c r="AN120" s="7">
        <f>IF(AM120="","",NORM.S.DIST(AM120,TRUE))</f>
        <v/>
      </c>
      <c r="AO120" s="13">
        <f>IF(AN120="","",IF(AN120&lt;='组合输入'!$K9,"AAA",IF(AN120&lt;='组合输入'!$L9,"AA",IF(AN120&lt;='组合输入'!$M9,"A",IF(AN120&lt;='组合输入'!$N9,"BBB",IF(AN120&lt;='组合输入'!$O9,"BB",IF(AN120&lt;='组合输入'!$P9,"B",IF(AN120&lt;='组合输入'!$Q9,"CCC","D")))))))</f>
        <v/>
      </c>
      <c r="AP120" s="12">
        <f>IF(AO120="","",INDEX('状态价值'!$D9:$K9,MATCH(AO120,'状态价值'!$D$1:$K$1,0)))</f>
        <v/>
      </c>
      <c r="AQ120" s="15">
        <f>NORM.S.INV(RAND())</f>
        <v/>
      </c>
      <c r="AR120" s="15">
        <f>IF('组合输入'!$C10="","",'组合输入'!$H10*$B120+SQRT(1-'组合输入'!$H10^2)*AQ120)</f>
        <v/>
      </c>
      <c r="AS120" s="7">
        <f>IF(AR120="","",NORM.S.DIST(AR120,TRUE))</f>
        <v/>
      </c>
      <c r="AT120" s="13">
        <f>IF(AS120="","",IF(AS120&lt;='组合输入'!$K10,"AAA",IF(AS120&lt;='组合输入'!$L10,"AA",IF(AS120&lt;='组合输入'!$M10,"A",IF(AS120&lt;='组合输入'!$N10,"BBB",IF(AS120&lt;='组合输入'!$O10,"BB",IF(AS120&lt;='组合输入'!$P10,"B",IF(AS120&lt;='组合输入'!$Q10,"CCC","D")))))))</f>
        <v/>
      </c>
      <c r="AU120" s="12">
        <f>IF(AT120="","",INDEX('状态价值'!$D10:$K10,MATCH(AT120,'状态价值'!$D$1:$K$1,0)))</f>
        <v/>
      </c>
      <c r="AV120" s="15">
        <f>NORM.S.INV(RAND())</f>
        <v/>
      </c>
      <c r="AW120" s="15">
        <f>IF('组合输入'!$C11="","",'组合输入'!$H11*$B120+SQRT(1-'组合输入'!$H11^2)*AV120)</f>
        <v/>
      </c>
      <c r="AX120" s="7">
        <f>IF(AW120="","",NORM.S.DIST(AW120,TRUE))</f>
        <v/>
      </c>
      <c r="AY120" s="13">
        <f>IF(AX120="","",IF(AX120&lt;='组合输入'!$K11,"AAA",IF(AX120&lt;='组合输入'!$L11,"AA",IF(AX120&lt;='组合输入'!$M11,"A",IF(AX120&lt;='组合输入'!$N11,"BBB",IF(AX120&lt;='组合输入'!$O11,"BB",IF(AX120&lt;='组合输入'!$P11,"B",IF(AX120&lt;='组合输入'!$Q11,"CCC","D")))))))</f>
        <v/>
      </c>
      <c r="AZ120" s="12">
        <f>IF(AY120="","",INDEX('状态价值'!$D11:$K11,MATCH(AY120,'状态价值'!$D$1:$K$1,0)))</f>
        <v/>
      </c>
      <c r="BA120" s="12">
        <f>G120+L120+Q120+V120+AA120+AF120+AK120+AP120+AU120+AZ120</f>
        <v/>
      </c>
      <c r="BB120" s="12">
        <f>SUM('组合输入'!$J$2:$J$11)-BA120</f>
        <v/>
      </c>
    </row>
    <row r="121">
      <c r="A121" s="11" t="n">
        <v>120</v>
      </c>
      <c r="B121" s="14">
        <f>NORM.S.INV(RAND())</f>
        <v/>
      </c>
      <c r="C121" s="14">
        <f>NORM.S.INV(RAND())</f>
        <v/>
      </c>
      <c r="D121" s="15">
        <f>IF('组合输入'!$C2="","",'组合输入'!$H2*$B121+SQRT(1-'组合输入'!$H2^2)*C121)</f>
        <v/>
      </c>
      <c r="E121" s="7">
        <f>IF(D121="","",NORM.S.DIST(D121,TRUE))</f>
        <v/>
      </c>
      <c r="F121" s="13">
        <f>IF(E121="","",IF(E121&lt;='组合输入'!$K2,"AAA",IF(E121&lt;='组合输入'!$L2,"AA",IF(E121&lt;='组合输入'!$M2,"A",IF(E121&lt;='组合输入'!$N2,"BBB",IF(E121&lt;='组合输入'!$O2,"BB",IF(E121&lt;='组合输入'!$P2,"B",IF(E121&lt;='组合输入'!$Q2,"CCC","D")))))))</f>
        <v/>
      </c>
      <c r="G121" s="12">
        <f>IF(F121="","",INDEX('状态价值'!$D2:$K2,MATCH(F121,'状态价值'!$D$1:$K$1,0)))</f>
        <v/>
      </c>
      <c r="H121" s="15">
        <f>NORM.S.INV(RAND())</f>
        <v/>
      </c>
      <c r="I121" s="15">
        <f>IF('组合输入'!$C3="","",'组合输入'!$H3*$B121+SQRT(1-'组合输入'!$H3^2)*H121)</f>
        <v/>
      </c>
      <c r="J121" s="7">
        <f>IF(I121="","",NORM.S.DIST(I121,TRUE))</f>
        <v/>
      </c>
      <c r="K121" s="13">
        <f>IF(J121="","",IF(J121&lt;='组合输入'!$K3,"AAA",IF(J121&lt;='组合输入'!$L3,"AA",IF(J121&lt;='组合输入'!$M3,"A",IF(J121&lt;='组合输入'!$N3,"BBB",IF(J121&lt;='组合输入'!$O3,"BB",IF(J121&lt;='组合输入'!$P3,"B",IF(J121&lt;='组合输入'!$Q3,"CCC","D")))))))</f>
        <v/>
      </c>
      <c r="L121" s="12">
        <f>IF(K121="","",INDEX('状态价值'!$D3:$K3,MATCH(K121,'状态价值'!$D$1:$K$1,0)))</f>
        <v/>
      </c>
      <c r="M121" s="15">
        <f>NORM.S.INV(RAND())</f>
        <v/>
      </c>
      <c r="N121" s="15">
        <f>IF('组合输入'!$C4="","",'组合输入'!$H4*$B121+SQRT(1-'组合输入'!$H4^2)*M121)</f>
        <v/>
      </c>
      <c r="O121" s="7">
        <f>IF(N121="","",NORM.S.DIST(N121,TRUE))</f>
        <v/>
      </c>
      <c r="P121" s="13">
        <f>IF(O121="","",IF(O121&lt;='组合输入'!$K4,"AAA",IF(O121&lt;='组合输入'!$L4,"AA",IF(O121&lt;='组合输入'!$M4,"A",IF(O121&lt;='组合输入'!$N4,"BBB",IF(O121&lt;='组合输入'!$O4,"BB",IF(O121&lt;='组合输入'!$P4,"B",IF(O121&lt;='组合输入'!$Q4,"CCC","D")))))))</f>
        <v/>
      </c>
      <c r="Q121" s="12">
        <f>IF(P121="","",INDEX('状态价值'!$D4:$K4,MATCH(P121,'状态价值'!$D$1:$K$1,0)))</f>
        <v/>
      </c>
      <c r="R121" s="15">
        <f>NORM.S.INV(RAND())</f>
        <v/>
      </c>
      <c r="S121" s="15">
        <f>IF('组合输入'!$C5="","",'组合输入'!$H5*$B121+SQRT(1-'组合输入'!$H5^2)*R121)</f>
        <v/>
      </c>
      <c r="T121" s="7">
        <f>IF(S121="","",NORM.S.DIST(S121,TRUE))</f>
        <v/>
      </c>
      <c r="U121" s="13">
        <f>IF(T121="","",IF(T121&lt;='组合输入'!$K5,"AAA",IF(T121&lt;='组合输入'!$L5,"AA",IF(T121&lt;='组合输入'!$M5,"A",IF(T121&lt;='组合输入'!$N5,"BBB",IF(T121&lt;='组合输入'!$O5,"BB",IF(T121&lt;='组合输入'!$P5,"B",IF(T121&lt;='组合输入'!$Q5,"CCC","D")))))))</f>
        <v/>
      </c>
      <c r="V121" s="12">
        <f>IF(U121="","",INDEX('状态价值'!$D5:$K5,MATCH(U121,'状态价值'!$D$1:$K$1,0)))</f>
        <v/>
      </c>
      <c r="W121" s="15">
        <f>NORM.S.INV(RAND())</f>
        <v/>
      </c>
      <c r="X121" s="15">
        <f>IF('组合输入'!$C6="","",'组合输入'!$H6*$B121+SQRT(1-'组合输入'!$H6^2)*W121)</f>
        <v/>
      </c>
      <c r="Y121" s="7">
        <f>IF(X121="","",NORM.S.DIST(X121,TRUE))</f>
        <v/>
      </c>
      <c r="Z121" s="13">
        <f>IF(Y121="","",IF(Y121&lt;='组合输入'!$K6,"AAA",IF(Y121&lt;='组合输入'!$L6,"AA",IF(Y121&lt;='组合输入'!$M6,"A",IF(Y121&lt;='组合输入'!$N6,"BBB",IF(Y121&lt;='组合输入'!$O6,"BB",IF(Y121&lt;='组合输入'!$P6,"B",IF(Y121&lt;='组合输入'!$Q6,"CCC","D")))))))</f>
        <v/>
      </c>
      <c r="AA121" s="12">
        <f>IF(Z121="","",INDEX('状态价值'!$D6:$K6,MATCH(Z121,'状态价值'!$D$1:$K$1,0)))</f>
        <v/>
      </c>
      <c r="AB121" s="15">
        <f>NORM.S.INV(RAND())</f>
        <v/>
      </c>
      <c r="AC121" s="15">
        <f>IF('组合输入'!$C7="","",'组合输入'!$H7*$B121+SQRT(1-'组合输入'!$H7^2)*AB121)</f>
        <v/>
      </c>
      <c r="AD121" s="7">
        <f>IF(AC121="","",NORM.S.DIST(AC121,TRUE))</f>
        <v/>
      </c>
      <c r="AE121" s="13">
        <f>IF(AD121="","",IF(AD121&lt;='组合输入'!$K7,"AAA",IF(AD121&lt;='组合输入'!$L7,"AA",IF(AD121&lt;='组合输入'!$M7,"A",IF(AD121&lt;='组合输入'!$N7,"BBB",IF(AD121&lt;='组合输入'!$O7,"BB",IF(AD121&lt;='组合输入'!$P7,"B",IF(AD121&lt;='组合输入'!$Q7,"CCC","D")))))))</f>
        <v/>
      </c>
      <c r="AF121" s="12">
        <f>IF(AE121="","",INDEX('状态价值'!$D7:$K7,MATCH(AE121,'状态价值'!$D$1:$K$1,0)))</f>
        <v/>
      </c>
      <c r="AG121" s="15">
        <f>NORM.S.INV(RAND())</f>
        <v/>
      </c>
      <c r="AH121" s="15">
        <f>IF('组合输入'!$C8="","",'组合输入'!$H8*$B121+SQRT(1-'组合输入'!$H8^2)*AG121)</f>
        <v/>
      </c>
      <c r="AI121" s="7">
        <f>IF(AH121="","",NORM.S.DIST(AH121,TRUE))</f>
        <v/>
      </c>
      <c r="AJ121" s="13">
        <f>IF(AI121="","",IF(AI121&lt;='组合输入'!$K8,"AAA",IF(AI121&lt;='组合输入'!$L8,"AA",IF(AI121&lt;='组合输入'!$M8,"A",IF(AI121&lt;='组合输入'!$N8,"BBB",IF(AI121&lt;='组合输入'!$O8,"BB",IF(AI121&lt;='组合输入'!$P8,"B",IF(AI121&lt;='组合输入'!$Q8,"CCC","D")))))))</f>
        <v/>
      </c>
      <c r="AK121" s="12">
        <f>IF(AJ121="","",INDEX('状态价值'!$D8:$K8,MATCH(AJ121,'状态价值'!$D$1:$K$1,0)))</f>
        <v/>
      </c>
      <c r="AL121" s="15">
        <f>NORM.S.INV(RAND())</f>
        <v/>
      </c>
      <c r="AM121" s="15">
        <f>IF('组合输入'!$C9="","",'组合输入'!$H9*$B121+SQRT(1-'组合输入'!$H9^2)*AL121)</f>
        <v/>
      </c>
      <c r="AN121" s="7">
        <f>IF(AM121="","",NORM.S.DIST(AM121,TRUE))</f>
        <v/>
      </c>
      <c r="AO121" s="13">
        <f>IF(AN121="","",IF(AN121&lt;='组合输入'!$K9,"AAA",IF(AN121&lt;='组合输入'!$L9,"AA",IF(AN121&lt;='组合输入'!$M9,"A",IF(AN121&lt;='组合输入'!$N9,"BBB",IF(AN121&lt;='组合输入'!$O9,"BB",IF(AN121&lt;='组合输入'!$P9,"B",IF(AN121&lt;='组合输入'!$Q9,"CCC","D")))))))</f>
        <v/>
      </c>
      <c r="AP121" s="12">
        <f>IF(AO121="","",INDEX('状态价值'!$D9:$K9,MATCH(AO121,'状态价值'!$D$1:$K$1,0)))</f>
        <v/>
      </c>
      <c r="AQ121" s="15">
        <f>NORM.S.INV(RAND())</f>
        <v/>
      </c>
      <c r="AR121" s="15">
        <f>IF('组合输入'!$C10="","",'组合输入'!$H10*$B121+SQRT(1-'组合输入'!$H10^2)*AQ121)</f>
        <v/>
      </c>
      <c r="AS121" s="7">
        <f>IF(AR121="","",NORM.S.DIST(AR121,TRUE))</f>
        <v/>
      </c>
      <c r="AT121" s="13">
        <f>IF(AS121="","",IF(AS121&lt;='组合输入'!$K10,"AAA",IF(AS121&lt;='组合输入'!$L10,"AA",IF(AS121&lt;='组合输入'!$M10,"A",IF(AS121&lt;='组合输入'!$N10,"BBB",IF(AS121&lt;='组合输入'!$O10,"BB",IF(AS121&lt;='组合输入'!$P10,"B",IF(AS121&lt;='组合输入'!$Q10,"CCC","D")))))))</f>
        <v/>
      </c>
      <c r="AU121" s="12">
        <f>IF(AT121="","",INDEX('状态价值'!$D10:$K10,MATCH(AT121,'状态价值'!$D$1:$K$1,0)))</f>
        <v/>
      </c>
      <c r="AV121" s="15">
        <f>NORM.S.INV(RAND())</f>
        <v/>
      </c>
      <c r="AW121" s="15">
        <f>IF('组合输入'!$C11="","",'组合输入'!$H11*$B121+SQRT(1-'组合输入'!$H11^2)*AV121)</f>
        <v/>
      </c>
      <c r="AX121" s="7">
        <f>IF(AW121="","",NORM.S.DIST(AW121,TRUE))</f>
        <v/>
      </c>
      <c r="AY121" s="13">
        <f>IF(AX121="","",IF(AX121&lt;='组合输入'!$K11,"AAA",IF(AX121&lt;='组合输入'!$L11,"AA",IF(AX121&lt;='组合输入'!$M11,"A",IF(AX121&lt;='组合输入'!$N11,"BBB",IF(AX121&lt;='组合输入'!$O11,"BB",IF(AX121&lt;='组合输入'!$P11,"B",IF(AX121&lt;='组合输入'!$Q11,"CCC","D")))))))</f>
        <v/>
      </c>
      <c r="AZ121" s="12">
        <f>IF(AY121="","",INDEX('状态价值'!$D11:$K11,MATCH(AY121,'状态价值'!$D$1:$K$1,0)))</f>
        <v/>
      </c>
      <c r="BA121" s="12">
        <f>G121+L121+Q121+V121+AA121+AF121+AK121+AP121+AU121+AZ121</f>
        <v/>
      </c>
      <c r="BB121" s="12">
        <f>SUM('组合输入'!$J$2:$J$11)-BA121</f>
        <v/>
      </c>
    </row>
    <row r="122">
      <c r="A122" s="11" t="n">
        <v>121</v>
      </c>
      <c r="B122" s="14">
        <f>NORM.S.INV(RAND())</f>
        <v/>
      </c>
      <c r="C122" s="14">
        <f>NORM.S.INV(RAND())</f>
        <v/>
      </c>
      <c r="D122" s="15">
        <f>IF('组合输入'!$C2="","",'组合输入'!$H2*$B122+SQRT(1-'组合输入'!$H2^2)*C122)</f>
        <v/>
      </c>
      <c r="E122" s="7">
        <f>IF(D122="","",NORM.S.DIST(D122,TRUE))</f>
        <v/>
      </c>
      <c r="F122" s="13">
        <f>IF(E122="","",IF(E122&lt;='组合输入'!$K2,"AAA",IF(E122&lt;='组合输入'!$L2,"AA",IF(E122&lt;='组合输入'!$M2,"A",IF(E122&lt;='组合输入'!$N2,"BBB",IF(E122&lt;='组合输入'!$O2,"BB",IF(E122&lt;='组合输入'!$P2,"B",IF(E122&lt;='组合输入'!$Q2,"CCC","D")))))))</f>
        <v/>
      </c>
      <c r="G122" s="12">
        <f>IF(F122="","",INDEX('状态价值'!$D2:$K2,MATCH(F122,'状态价值'!$D$1:$K$1,0)))</f>
        <v/>
      </c>
      <c r="H122" s="15">
        <f>NORM.S.INV(RAND())</f>
        <v/>
      </c>
      <c r="I122" s="15">
        <f>IF('组合输入'!$C3="","",'组合输入'!$H3*$B122+SQRT(1-'组合输入'!$H3^2)*H122)</f>
        <v/>
      </c>
      <c r="J122" s="7">
        <f>IF(I122="","",NORM.S.DIST(I122,TRUE))</f>
        <v/>
      </c>
      <c r="K122" s="13">
        <f>IF(J122="","",IF(J122&lt;='组合输入'!$K3,"AAA",IF(J122&lt;='组合输入'!$L3,"AA",IF(J122&lt;='组合输入'!$M3,"A",IF(J122&lt;='组合输入'!$N3,"BBB",IF(J122&lt;='组合输入'!$O3,"BB",IF(J122&lt;='组合输入'!$P3,"B",IF(J122&lt;='组合输入'!$Q3,"CCC","D")))))))</f>
        <v/>
      </c>
      <c r="L122" s="12">
        <f>IF(K122="","",INDEX('状态价值'!$D3:$K3,MATCH(K122,'状态价值'!$D$1:$K$1,0)))</f>
        <v/>
      </c>
      <c r="M122" s="15">
        <f>NORM.S.INV(RAND())</f>
        <v/>
      </c>
      <c r="N122" s="15">
        <f>IF('组合输入'!$C4="","",'组合输入'!$H4*$B122+SQRT(1-'组合输入'!$H4^2)*M122)</f>
        <v/>
      </c>
      <c r="O122" s="7">
        <f>IF(N122="","",NORM.S.DIST(N122,TRUE))</f>
        <v/>
      </c>
      <c r="P122" s="13">
        <f>IF(O122="","",IF(O122&lt;='组合输入'!$K4,"AAA",IF(O122&lt;='组合输入'!$L4,"AA",IF(O122&lt;='组合输入'!$M4,"A",IF(O122&lt;='组合输入'!$N4,"BBB",IF(O122&lt;='组合输入'!$O4,"BB",IF(O122&lt;='组合输入'!$P4,"B",IF(O122&lt;='组合输入'!$Q4,"CCC","D")))))))</f>
        <v/>
      </c>
      <c r="Q122" s="12">
        <f>IF(P122="","",INDEX('状态价值'!$D4:$K4,MATCH(P122,'状态价值'!$D$1:$K$1,0)))</f>
        <v/>
      </c>
      <c r="R122" s="15">
        <f>NORM.S.INV(RAND())</f>
        <v/>
      </c>
      <c r="S122" s="15">
        <f>IF('组合输入'!$C5="","",'组合输入'!$H5*$B122+SQRT(1-'组合输入'!$H5^2)*R122)</f>
        <v/>
      </c>
      <c r="T122" s="7">
        <f>IF(S122="","",NORM.S.DIST(S122,TRUE))</f>
        <v/>
      </c>
      <c r="U122" s="13">
        <f>IF(T122="","",IF(T122&lt;='组合输入'!$K5,"AAA",IF(T122&lt;='组合输入'!$L5,"AA",IF(T122&lt;='组合输入'!$M5,"A",IF(T122&lt;='组合输入'!$N5,"BBB",IF(T122&lt;='组合输入'!$O5,"BB",IF(T122&lt;='组合输入'!$P5,"B",IF(T122&lt;='组合输入'!$Q5,"CCC","D")))))))</f>
        <v/>
      </c>
      <c r="V122" s="12">
        <f>IF(U122="","",INDEX('状态价值'!$D5:$K5,MATCH(U122,'状态价值'!$D$1:$K$1,0)))</f>
        <v/>
      </c>
      <c r="W122" s="15">
        <f>NORM.S.INV(RAND())</f>
        <v/>
      </c>
      <c r="X122" s="15">
        <f>IF('组合输入'!$C6="","",'组合输入'!$H6*$B122+SQRT(1-'组合输入'!$H6^2)*W122)</f>
        <v/>
      </c>
      <c r="Y122" s="7">
        <f>IF(X122="","",NORM.S.DIST(X122,TRUE))</f>
        <v/>
      </c>
      <c r="Z122" s="13">
        <f>IF(Y122="","",IF(Y122&lt;='组合输入'!$K6,"AAA",IF(Y122&lt;='组合输入'!$L6,"AA",IF(Y122&lt;='组合输入'!$M6,"A",IF(Y122&lt;='组合输入'!$N6,"BBB",IF(Y122&lt;='组合输入'!$O6,"BB",IF(Y122&lt;='组合输入'!$P6,"B",IF(Y122&lt;='组合输入'!$Q6,"CCC","D")))))))</f>
        <v/>
      </c>
      <c r="AA122" s="12">
        <f>IF(Z122="","",INDEX('状态价值'!$D6:$K6,MATCH(Z122,'状态价值'!$D$1:$K$1,0)))</f>
        <v/>
      </c>
      <c r="AB122" s="15">
        <f>NORM.S.INV(RAND())</f>
        <v/>
      </c>
      <c r="AC122" s="15">
        <f>IF('组合输入'!$C7="","",'组合输入'!$H7*$B122+SQRT(1-'组合输入'!$H7^2)*AB122)</f>
        <v/>
      </c>
      <c r="AD122" s="7">
        <f>IF(AC122="","",NORM.S.DIST(AC122,TRUE))</f>
        <v/>
      </c>
      <c r="AE122" s="13">
        <f>IF(AD122="","",IF(AD122&lt;='组合输入'!$K7,"AAA",IF(AD122&lt;='组合输入'!$L7,"AA",IF(AD122&lt;='组合输入'!$M7,"A",IF(AD122&lt;='组合输入'!$N7,"BBB",IF(AD122&lt;='组合输入'!$O7,"BB",IF(AD122&lt;='组合输入'!$P7,"B",IF(AD122&lt;='组合输入'!$Q7,"CCC","D")))))))</f>
        <v/>
      </c>
      <c r="AF122" s="12">
        <f>IF(AE122="","",INDEX('状态价值'!$D7:$K7,MATCH(AE122,'状态价值'!$D$1:$K$1,0)))</f>
        <v/>
      </c>
      <c r="AG122" s="15">
        <f>NORM.S.INV(RAND())</f>
        <v/>
      </c>
      <c r="AH122" s="15">
        <f>IF('组合输入'!$C8="","",'组合输入'!$H8*$B122+SQRT(1-'组合输入'!$H8^2)*AG122)</f>
        <v/>
      </c>
      <c r="AI122" s="7">
        <f>IF(AH122="","",NORM.S.DIST(AH122,TRUE))</f>
        <v/>
      </c>
      <c r="AJ122" s="13">
        <f>IF(AI122="","",IF(AI122&lt;='组合输入'!$K8,"AAA",IF(AI122&lt;='组合输入'!$L8,"AA",IF(AI122&lt;='组合输入'!$M8,"A",IF(AI122&lt;='组合输入'!$N8,"BBB",IF(AI122&lt;='组合输入'!$O8,"BB",IF(AI122&lt;='组合输入'!$P8,"B",IF(AI122&lt;='组合输入'!$Q8,"CCC","D")))))))</f>
        <v/>
      </c>
      <c r="AK122" s="12">
        <f>IF(AJ122="","",INDEX('状态价值'!$D8:$K8,MATCH(AJ122,'状态价值'!$D$1:$K$1,0)))</f>
        <v/>
      </c>
      <c r="AL122" s="15">
        <f>NORM.S.INV(RAND())</f>
        <v/>
      </c>
      <c r="AM122" s="15">
        <f>IF('组合输入'!$C9="","",'组合输入'!$H9*$B122+SQRT(1-'组合输入'!$H9^2)*AL122)</f>
        <v/>
      </c>
      <c r="AN122" s="7">
        <f>IF(AM122="","",NORM.S.DIST(AM122,TRUE))</f>
        <v/>
      </c>
      <c r="AO122" s="13">
        <f>IF(AN122="","",IF(AN122&lt;='组合输入'!$K9,"AAA",IF(AN122&lt;='组合输入'!$L9,"AA",IF(AN122&lt;='组合输入'!$M9,"A",IF(AN122&lt;='组合输入'!$N9,"BBB",IF(AN122&lt;='组合输入'!$O9,"BB",IF(AN122&lt;='组合输入'!$P9,"B",IF(AN122&lt;='组合输入'!$Q9,"CCC","D")))))))</f>
        <v/>
      </c>
      <c r="AP122" s="12">
        <f>IF(AO122="","",INDEX('状态价值'!$D9:$K9,MATCH(AO122,'状态价值'!$D$1:$K$1,0)))</f>
        <v/>
      </c>
      <c r="AQ122" s="15">
        <f>NORM.S.INV(RAND())</f>
        <v/>
      </c>
      <c r="AR122" s="15">
        <f>IF('组合输入'!$C10="","",'组合输入'!$H10*$B122+SQRT(1-'组合输入'!$H10^2)*AQ122)</f>
        <v/>
      </c>
      <c r="AS122" s="7">
        <f>IF(AR122="","",NORM.S.DIST(AR122,TRUE))</f>
        <v/>
      </c>
      <c r="AT122" s="13">
        <f>IF(AS122="","",IF(AS122&lt;='组合输入'!$K10,"AAA",IF(AS122&lt;='组合输入'!$L10,"AA",IF(AS122&lt;='组合输入'!$M10,"A",IF(AS122&lt;='组合输入'!$N10,"BBB",IF(AS122&lt;='组合输入'!$O10,"BB",IF(AS122&lt;='组合输入'!$P10,"B",IF(AS122&lt;='组合输入'!$Q10,"CCC","D")))))))</f>
        <v/>
      </c>
      <c r="AU122" s="12">
        <f>IF(AT122="","",INDEX('状态价值'!$D10:$K10,MATCH(AT122,'状态价值'!$D$1:$K$1,0)))</f>
        <v/>
      </c>
      <c r="AV122" s="15">
        <f>NORM.S.INV(RAND())</f>
        <v/>
      </c>
      <c r="AW122" s="15">
        <f>IF('组合输入'!$C11="","",'组合输入'!$H11*$B122+SQRT(1-'组合输入'!$H11^2)*AV122)</f>
        <v/>
      </c>
      <c r="AX122" s="7">
        <f>IF(AW122="","",NORM.S.DIST(AW122,TRUE))</f>
        <v/>
      </c>
      <c r="AY122" s="13">
        <f>IF(AX122="","",IF(AX122&lt;='组合输入'!$K11,"AAA",IF(AX122&lt;='组合输入'!$L11,"AA",IF(AX122&lt;='组合输入'!$M11,"A",IF(AX122&lt;='组合输入'!$N11,"BBB",IF(AX122&lt;='组合输入'!$O11,"BB",IF(AX122&lt;='组合输入'!$P11,"B",IF(AX122&lt;='组合输入'!$Q11,"CCC","D")))))))</f>
        <v/>
      </c>
      <c r="AZ122" s="12">
        <f>IF(AY122="","",INDEX('状态价值'!$D11:$K11,MATCH(AY122,'状态价值'!$D$1:$K$1,0)))</f>
        <v/>
      </c>
      <c r="BA122" s="12">
        <f>G122+L122+Q122+V122+AA122+AF122+AK122+AP122+AU122+AZ122</f>
        <v/>
      </c>
      <c r="BB122" s="12">
        <f>SUM('组合输入'!$J$2:$J$11)-BA122</f>
        <v/>
      </c>
    </row>
    <row r="123">
      <c r="A123" s="11" t="n">
        <v>122</v>
      </c>
      <c r="B123" s="14">
        <f>NORM.S.INV(RAND())</f>
        <v/>
      </c>
      <c r="C123" s="14">
        <f>NORM.S.INV(RAND())</f>
        <v/>
      </c>
      <c r="D123" s="15">
        <f>IF('组合输入'!$C2="","",'组合输入'!$H2*$B123+SQRT(1-'组合输入'!$H2^2)*C123)</f>
        <v/>
      </c>
      <c r="E123" s="7">
        <f>IF(D123="","",NORM.S.DIST(D123,TRUE))</f>
        <v/>
      </c>
      <c r="F123" s="13">
        <f>IF(E123="","",IF(E123&lt;='组合输入'!$K2,"AAA",IF(E123&lt;='组合输入'!$L2,"AA",IF(E123&lt;='组合输入'!$M2,"A",IF(E123&lt;='组合输入'!$N2,"BBB",IF(E123&lt;='组合输入'!$O2,"BB",IF(E123&lt;='组合输入'!$P2,"B",IF(E123&lt;='组合输入'!$Q2,"CCC","D")))))))</f>
        <v/>
      </c>
      <c r="G123" s="12">
        <f>IF(F123="","",INDEX('状态价值'!$D2:$K2,MATCH(F123,'状态价值'!$D$1:$K$1,0)))</f>
        <v/>
      </c>
      <c r="H123" s="15">
        <f>NORM.S.INV(RAND())</f>
        <v/>
      </c>
      <c r="I123" s="15">
        <f>IF('组合输入'!$C3="","",'组合输入'!$H3*$B123+SQRT(1-'组合输入'!$H3^2)*H123)</f>
        <v/>
      </c>
      <c r="J123" s="7">
        <f>IF(I123="","",NORM.S.DIST(I123,TRUE))</f>
        <v/>
      </c>
      <c r="K123" s="13">
        <f>IF(J123="","",IF(J123&lt;='组合输入'!$K3,"AAA",IF(J123&lt;='组合输入'!$L3,"AA",IF(J123&lt;='组合输入'!$M3,"A",IF(J123&lt;='组合输入'!$N3,"BBB",IF(J123&lt;='组合输入'!$O3,"BB",IF(J123&lt;='组合输入'!$P3,"B",IF(J123&lt;='组合输入'!$Q3,"CCC","D")))))))</f>
        <v/>
      </c>
      <c r="L123" s="12">
        <f>IF(K123="","",INDEX('状态价值'!$D3:$K3,MATCH(K123,'状态价值'!$D$1:$K$1,0)))</f>
        <v/>
      </c>
      <c r="M123" s="15">
        <f>NORM.S.INV(RAND())</f>
        <v/>
      </c>
      <c r="N123" s="15">
        <f>IF('组合输入'!$C4="","",'组合输入'!$H4*$B123+SQRT(1-'组合输入'!$H4^2)*M123)</f>
        <v/>
      </c>
      <c r="O123" s="7">
        <f>IF(N123="","",NORM.S.DIST(N123,TRUE))</f>
        <v/>
      </c>
      <c r="P123" s="13">
        <f>IF(O123="","",IF(O123&lt;='组合输入'!$K4,"AAA",IF(O123&lt;='组合输入'!$L4,"AA",IF(O123&lt;='组合输入'!$M4,"A",IF(O123&lt;='组合输入'!$N4,"BBB",IF(O123&lt;='组合输入'!$O4,"BB",IF(O123&lt;='组合输入'!$P4,"B",IF(O123&lt;='组合输入'!$Q4,"CCC","D")))))))</f>
        <v/>
      </c>
      <c r="Q123" s="12">
        <f>IF(P123="","",INDEX('状态价值'!$D4:$K4,MATCH(P123,'状态价值'!$D$1:$K$1,0)))</f>
        <v/>
      </c>
      <c r="R123" s="15">
        <f>NORM.S.INV(RAND())</f>
        <v/>
      </c>
      <c r="S123" s="15">
        <f>IF('组合输入'!$C5="","",'组合输入'!$H5*$B123+SQRT(1-'组合输入'!$H5^2)*R123)</f>
        <v/>
      </c>
      <c r="T123" s="7">
        <f>IF(S123="","",NORM.S.DIST(S123,TRUE))</f>
        <v/>
      </c>
      <c r="U123" s="13">
        <f>IF(T123="","",IF(T123&lt;='组合输入'!$K5,"AAA",IF(T123&lt;='组合输入'!$L5,"AA",IF(T123&lt;='组合输入'!$M5,"A",IF(T123&lt;='组合输入'!$N5,"BBB",IF(T123&lt;='组合输入'!$O5,"BB",IF(T123&lt;='组合输入'!$P5,"B",IF(T123&lt;='组合输入'!$Q5,"CCC","D")))))))</f>
        <v/>
      </c>
      <c r="V123" s="12">
        <f>IF(U123="","",INDEX('状态价值'!$D5:$K5,MATCH(U123,'状态价值'!$D$1:$K$1,0)))</f>
        <v/>
      </c>
      <c r="W123" s="15">
        <f>NORM.S.INV(RAND())</f>
        <v/>
      </c>
      <c r="X123" s="15">
        <f>IF('组合输入'!$C6="","",'组合输入'!$H6*$B123+SQRT(1-'组合输入'!$H6^2)*W123)</f>
        <v/>
      </c>
      <c r="Y123" s="7">
        <f>IF(X123="","",NORM.S.DIST(X123,TRUE))</f>
        <v/>
      </c>
      <c r="Z123" s="13">
        <f>IF(Y123="","",IF(Y123&lt;='组合输入'!$K6,"AAA",IF(Y123&lt;='组合输入'!$L6,"AA",IF(Y123&lt;='组合输入'!$M6,"A",IF(Y123&lt;='组合输入'!$N6,"BBB",IF(Y123&lt;='组合输入'!$O6,"BB",IF(Y123&lt;='组合输入'!$P6,"B",IF(Y123&lt;='组合输入'!$Q6,"CCC","D")))))))</f>
        <v/>
      </c>
      <c r="AA123" s="12">
        <f>IF(Z123="","",INDEX('状态价值'!$D6:$K6,MATCH(Z123,'状态价值'!$D$1:$K$1,0)))</f>
        <v/>
      </c>
      <c r="AB123" s="15">
        <f>NORM.S.INV(RAND())</f>
        <v/>
      </c>
      <c r="AC123" s="15">
        <f>IF('组合输入'!$C7="","",'组合输入'!$H7*$B123+SQRT(1-'组合输入'!$H7^2)*AB123)</f>
        <v/>
      </c>
      <c r="AD123" s="7">
        <f>IF(AC123="","",NORM.S.DIST(AC123,TRUE))</f>
        <v/>
      </c>
      <c r="AE123" s="13">
        <f>IF(AD123="","",IF(AD123&lt;='组合输入'!$K7,"AAA",IF(AD123&lt;='组合输入'!$L7,"AA",IF(AD123&lt;='组合输入'!$M7,"A",IF(AD123&lt;='组合输入'!$N7,"BBB",IF(AD123&lt;='组合输入'!$O7,"BB",IF(AD123&lt;='组合输入'!$P7,"B",IF(AD123&lt;='组合输入'!$Q7,"CCC","D")))))))</f>
        <v/>
      </c>
      <c r="AF123" s="12">
        <f>IF(AE123="","",INDEX('状态价值'!$D7:$K7,MATCH(AE123,'状态价值'!$D$1:$K$1,0)))</f>
        <v/>
      </c>
      <c r="AG123" s="15">
        <f>NORM.S.INV(RAND())</f>
        <v/>
      </c>
      <c r="AH123" s="15">
        <f>IF('组合输入'!$C8="","",'组合输入'!$H8*$B123+SQRT(1-'组合输入'!$H8^2)*AG123)</f>
        <v/>
      </c>
      <c r="AI123" s="7">
        <f>IF(AH123="","",NORM.S.DIST(AH123,TRUE))</f>
        <v/>
      </c>
      <c r="AJ123" s="13">
        <f>IF(AI123="","",IF(AI123&lt;='组合输入'!$K8,"AAA",IF(AI123&lt;='组合输入'!$L8,"AA",IF(AI123&lt;='组合输入'!$M8,"A",IF(AI123&lt;='组合输入'!$N8,"BBB",IF(AI123&lt;='组合输入'!$O8,"BB",IF(AI123&lt;='组合输入'!$P8,"B",IF(AI123&lt;='组合输入'!$Q8,"CCC","D")))))))</f>
        <v/>
      </c>
      <c r="AK123" s="12">
        <f>IF(AJ123="","",INDEX('状态价值'!$D8:$K8,MATCH(AJ123,'状态价值'!$D$1:$K$1,0)))</f>
        <v/>
      </c>
      <c r="AL123" s="15">
        <f>NORM.S.INV(RAND())</f>
        <v/>
      </c>
      <c r="AM123" s="15">
        <f>IF('组合输入'!$C9="","",'组合输入'!$H9*$B123+SQRT(1-'组合输入'!$H9^2)*AL123)</f>
        <v/>
      </c>
      <c r="AN123" s="7">
        <f>IF(AM123="","",NORM.S.DIST(AM123,TRUE))</f>
        <v/>
      </c>
      <c r="AO123" s="13">
        <f>IF(AN123="","",IF(AN123&lt;='组合输入'!$K9,"AAA",IF(AN123&lt;='组合输入'!$L9,"AA",IF(AN123&lt;='组合输入'!$M9,"A",IF(AN123&lt;='组合输入'!$N9,"BBB",IF(AN123&lt;='组合输入'!$O9,"BB",IF(AN123&lt;='组合输入'!$P9,"B",IF(AN123&lt;='组合输入'!$Q9,"CCC","D")))))))</f>
        <v/>
      </c>
      <c r="AP123" s="12">
        <f>IF(AO123="","",INDEX('状态价值'!$D9:$K9,MATCH(AO123,'状态价值'!$D$1:$K$1,0)))</f>
        <v/>
      </c>
      <c r="AQ123" s="15">
        <f>NORM.S.INV(RAND())</f>
        <v/>
      </c>
      <c r="AR123" s="15">
        <f>IF('组合输入'!$C10="","",'组合输入'!$H10*$B123+SQRT(1-'组合输入'!$H10^2)*AQ123)</f>
        <v/>
      </c>
      <c r="AS123" s="7">
        <f>IF(AR123="","",NORM.S.DIST(AR123,TRUE))</f>
        <v/>
      </c>
      <c r="AT123" s="13">
        <f>IF(AS123="","",IF(AS123&lt;='组合输入'!$K10,"AAA",IF(AS123&lt;='组合输入'!$L10,"AA",IF(AS123&lt;='组合输入'!$M10,"A",IF(AS123&lt;='组合输入'!$N10,"BBB",IF(AS123&lt;='组合输入'!$O10,"BB",IF(AS123&lt;='组合输入'!$P10,"B",IF(AS123&lt;='组合输入'!$Q10,"CCC","D")))))))</f>
        <v/>
      </c>
      <c r="AU123" s="12">
        <f>IF(AT123="","",INDEX('状态价值'!$D10:$K10,MATCH(AT123,'状态价值'!$D$1:$K$1,0)))</f>
        <v/>
      </c>
      <c r="AV123" s="15">
        <f>NORM.S.INV(RAND())</f>
        <v/>
      </c>
      <c r="AW123" s="15">
        <f>IF('组合输入'!$C11="","",'组合输入'!$H11*$B123+SQRT(1-'组合输入'!$H11^2)*AV123)</f>
        <v/>
      </c>
      <c r="AX123" s="7">
        <f>IF(AW123="","",NORM.S.DIST(AW123,TRUE))</f>
        <v/>
      </c>
      <c r="AY123" s="13">
        <f>IF(AX123="","",IF(AX123&lt;='组合输入'!$K11,"AAA",IF(AX123&lt;='组合输入'!$L11,"AA",IF(AX123&lt;='组合输入'!$M11,"A",IF(AX123&lt;='组合输入'!$N11,"BBB",IF(AX123&lt;='组合输入'!$O11,"BB",IF(AX123&lt;='组合输入'!$P11,"B",IF(AX123&lt;='组合输入'!$Q11,"CCC","D")))))))</f>
        <v/>
      </c>
      <c r="AZ123" s="12">
        <f>IF(AY123="","",INDEX('状态价值'!$D11:$K11,MATCH(AY123,'状态价值'!$D$1:$K$1,0)))</f>
        <v/>
      </c>
      <c r="BA123" s="12">
        <f>G123+L123+Q123+V123+AA123+AF123+AK123+AP123+AU123+AZ123</f>
        <v/>
      </c>
      <c r="BB123" s="12">
        <f>SUM('组合输入'!$J$2:$J$11)-BA123</f>
        <v/>
      </c>
    </row>
    <row r="124">
      <c r="A124" s="11" t="n">
        <v>123</v>
      </c>
      <c r="B124" s="14">
        <f>NORM.S.INV(RAND())</f>
        <v/>
      </c>
      <c r="C124" s="14">
        <f>NORM.S.INV(RAND())</f>
        <v/>
      </c>
      <c r="D124" s="15">
        <f>IF('组合输入'!$C2="","",'组合输入'!$H2*$B124+SQRT(1-'组合输入'!$H2^2)*C124)</f>
        <v/>
      </c>
      <c r="E124" s="7">
        <f>IF(D124="","",NORM.S.DIST(D124,TRUE))</f>
        <v/>
      </c>
      <c r="F124" s="13">
        <f>IF(E124="","",IF(E124&lt;='组合输入'!$K2,"AAA",IF(E124&lt;='组合输入'!$L2,"AA",IF(E124&lt;='组合输入'!$M2,"A",IF(E124&lt;='组合输入'!$N2,"BBB",IF(E124&lt;='组合输入'!$O2,"BB",IF(E124&lt;='组合输入'!$P2,"B",IF(E124&lt;='组合输入'!$Q2,"CCC","D")))))))</f>
        <v/>
      </c>
      <c r="G124" s="12">
        <f>IF(F124="","",INDEX('状态价值'!$D2:$K2,MATCH(F124,'状态价值'!$D$1:$K$1,0)))</f>
        <v/>
      </c>
      <c r="H124" s="15">
        <f>NORM.S.INV(RAND())</f>
        <v/>
      </c>
      <c r="I124" s="15">
        <f>IF('组合输入'!$C3="","",'组合输入'!$H3*$B124+SQRT(1-'组合输入'!$H3^2)*H124)</f>
        <v/>
      </c>
      <c r="J124" s="7">
        <f>IF(I124="","",NORM.S.DIST(I124,TRUE))</f>
        <v/>
      </c>
      <c r="K124" s="13">
        <f>IF(J124="","",IF(J124&lt;='组合输入'!$K3,"AAA",IF(J124&lt;='组合输入'!$L3,"AA",IF(J124&lt;='组合输入'!$M3,"A",IF(J124&lt;='组合输入'!$N3,"BBB",IF(J124&lt;='组合输入'!$O3,"BB",IF(J124&lt;='组合输入'!$P3,"B",IF(J124&lt;='组合输入'!$Q3,"CCC","D")))))))</f>
        <v/>
      </c>
      <c r="L124" s="12">
        <f>IF(K124="","",INDEX('状态价值'!$D3:$K3,MATCH(K124,'状态价值'!$D$1:$K$1,0)))</f>
        <v/>
      </c>
      <c r="M124" s="15">
        <f>NORM.S.INV(RAND())</f>
        <v/>
      </c>
      <c r="N124" s="15">
        <f>IF('组合输入'!$C4="","",'组合输入'!$H4*$B124+SQRT(1-'组合输入'!$H4^2)*M124)</f>
        <v/>
      </c>
      <c r="O124" s="7">
        <f>IF(N124="","",NORM.S.DIST(N124,TRUE))</f>
        <v/>
      </c>
      <c r="P124" s="13">
        <f>IF(O124="","",IF(O124&lt;='组合输入'!$K4,"AAA",IF(O124&lt;='组合输入'!$L4,"AA",IF(O124&lt;='组合输入'!$M4,"A",IF(O124&lt;='组合输入'!$N4,"BBB",IF(O124&lt;='组合输入'!$O4,"BB",IF(O124&lt;='组合输入'!$P4,"B",IF(O124&lt;='组合输入'!$Q4,"CCC","D")))))))</f>
        <v/>
      </c>
      <c r="Q124" s="12">
        <f>IF(P124="","",INDEX('状态价值'!$D4:$K4,MATCH(P124,'状态价值'!$D$1:$K$1,0)))</f>
        <v/>
      </c>
      <c r="R124" s="15">
        <f>NORM.S.INV(RAND())</f>
        <v/>
      </c>
      <c r="S124" s="15">
        <f>IF('组合输入'!$C5="","",'组合输入'!$H5*$B124+SQRT(1-'组合输入'!$H5^2)*R124)</f>
        <v/>
      </c>
      <c r="T124" s="7">
        <f>IF(S124="","",NORM.S.DIST(S124,TRUE))</f>
        <v/>
      </c>
      <c r="U124" s="13">
        <f>IF(T124="","",IF(T124&lt;='组合输入'!$K5,"AAA",IF(T124&lt;='组合输入'!$L5,"AA",IF(T124&lt;='组合输入'!$M5,"A",IF(T124&lt;='组合输入'!$N5,"BBB",IF(T124&lt;='组合输入'!$O5,"BB",IF(T124&lt;='组合输入'!$P5,"B",IF(T124&lt;='组合输入'!$Q5,"CCC","D")))))))</f>
        <v/>
      </c>
      <c r="V124" s="12">
        <f>IF(U124="","",INDEX('状态价值'!$D5:$K5,MATCH(U124,'状态价值'!$D$1:$K$1,0)))</f>
        <v/>
      </c>
      <c r="W124" s="15">
        <f>NORM.S.INV(RAND())</f>
        <v/>
      </c>
      <c r="X124" s="15">
        <f>IF('组合输入'!$C6="","",'组合输入'!$H6*$B124+SQRT(1-'组合输入'!$H6^2)*W124)</f>
        <v/>
      </c>
      <c r="Y124" s="7">
        <f>IF(X124="","",NORM.S.DIST(X124,TRUE))</f>
        <v/>
      </c>
      <c r="Z124" s="13">
        <f>IF(Y124="","",IF(Y124&lt;='组合输入'!$K6,"AAA",IF(Y124&lt;='组合输入'!$L6,"AA",IF(Y124&lt;='组合输入'!$M6,"A",IF(Y124&lt;='组合输入'!$N6,"BBB",IF(Y124&lt;='组合输入'!$O6,"BB",IF(Y124&lt;='组合输入'!$P6,"B",IF(Y124&lt;='组合输入'!$Q6,"CCC","D")))))))</f>
        <v/>
      </c>
      <c r="AA124" s="12">
        <f>IF(Z124="","",INDEX('状态价值'!$D6:$K6,MATCH(Z124,'状态价值'!$D$1:$K$1,0)))</f>
        <v/>
      </c>
      <c r="AB124" s="15">
        <f>NORM.S.INV(RAND())</f>
        <v/>
      </c>
      <c r="AC124" s="15">
        <f>IF('组合输入'!$C7="","",'组合输入'!$H7*$B124+SQRT(1-'组合输入'!$H7^2)*AB124)</f>
        <v/>
      </c>
      <c r="AD124" s="7">
        <f>IF(AC124="","",NORM.S.DIST(AC124,TRUE))</f>
        <v/>
      </c>
      <c r="AE124" s="13">
        <f>IF(AD124="","",IF(AD124&lt;='组合输入'!$K7,"AAA",IF(AD124&lt;='组合输入'!$L7,"AA",IF(AD124&lt;='组合输入'!$M7,"A",IF(AD124&lt;='组合输入'!$N7,"BBB",IF(AD124&lt;='组合输入'!$O7,"BB",IF(AD124&lt;='组合输入'!$P7,"B",IF(AD124&lt;='组合输入'!$Q7,"CCC","D")))))))</f>
        <v/>
      </c>
      <c r="AF124" s="12">
        <f>IF(AE124="","",INDEX('状态价值'!$D7:$K7,MATCH(AE124,'状态价值'!$D$1:$K$1,0)))</f>
        <v/>
      </c>
      <c r="AG124" s="15">
        <f>NORM.S.INV(RAND())</f>
        <v/>
      </c>
      <c r="AH124" s="15">
        <f>IF('组合输入'!$C8="","",'组合输入'!$H8*$B124+SQRT(1-'组合输入'!$H8^2)*AG124)</f>
        <v/>
      </c>
      <c r="AI124" s="7">
        <f>IF(AH124="","",NORM.S.DIST(AH124,TRUE))</f>
        <v/>
      </c>
      <c r="AJ124" s="13">
        <f>IF(AI124="","",IF(AI124&lt;='组合输入'!$K8,"AAA",IF(AI124&lt;='组合输入'!$L8,"AA",IF(AI124&lt;='组合输入'!$M8,"A",IF(AI124&lt;='组合输入'!$N8,"BBB",IF(AI124&lt;='组合输入'!$O8,"BB",IF(AI124&lt;='组合输入'!$P8,"B",IF(AI124&lt;='组合输入'!$Q8,"CCC","D")))))))</f>
        <v/>
      </c>
      <c r="AK124" s="12">
        <f>IF(AJ124="","",INDEX('状态价值'!$D8:$K8,MATCH(AJ124,'状态价值'!$D$1:$K$1,0)))</f>
        <v/>
      </c>
      <c r="AL124" s="15">
        <f>NORM.S.INV(RAND())</f>
        <v/>
      </c>
      <c r="AM124" s="15">
        <f>IF('组合输入'!$C9="","",'组合输入'!$H9*$B124+SQRT(1-'组合输入'!$H9^2)*AL124)</f>
        <v/>
      </c>
      <c r="AN124" s="7">
        <f>IF(AM124="","",NORM.S.DIST(AM124,TRUE))</f>
        <v/>
      </c>
      <c r="AO124" s="13">
        <f>IF(AN124="","",IF(AN124&lt;='组合输入'!$K9,"AAA",IF(AN124&lt;='组合输入'!$L9,"AA",IF(AN124&lt;='组合输入'!$M9,"A",IF(AN124&lt;='组合输入'!$N9,"BBB",IF(AN124&lt;='组合输入'!$O9,"BB",IF(AN124&lt;='组合输入'!$P9,"B",IF(AN124&lt;='组合输入'!$Q9,"CCC","D")))))))</f>
        <v/>
      </c>
      <c r="AP124" s="12">
        <f>IF(AO124="","",INDEX('状态价值'!$D9:$K9,MATCH(AO124,'状态价值'!$D$1:$K$1,0)))</f>
        <v/>
      </c>
      <c r="AQ124" s="15">
        <f>NORM.S.INV(RAND())</f>
        <v/>
      </c>
      <c r="AR124" s="15">
        <f>IF('组合输入'!$C10="","",'组合输入'!$H10*$B124+SQRT(1-'组合输入'!$H10^2)*AQ124)</f>
        <v/>
      </c>
      <c r="AS124" s="7">
        <f>IF(AR124="","",NORM.S.DIST(AR124,TRUE))</f>
        <v/>
      </c>
      <c r="AT124" s="13">
        <f>IF(AS124="","",IF(AS124&lt;='组合输入'!$K10,"AAA",IF(AS124&lt;='组合输入'!$L10,"AA",IF(AS124&lt;='组合输入'!$M10,"A",IF(AS124&lt;='组合输入'!$N10,"BBB",IF(AS124&lt;='组合输入'!$O10,"BB",IF(AS124&lt;='组合输入'!$P10,"B",IF(AS124&lt;='组合输入'!$Q10,"CCC","D")))))))</f>
        <v/>
      </c>
      <c r="AU124" s="12">
        <f>IF(AT124="","",INDEX('状态价值'!$D10:$K10,MATCH(AT124,'状态价值'!$D$1:$K$1,0)))</f>
        <v/>
      </c>
      <c r="AV124" s="15">
        <f>NORM.S.INV(RAND())</f>
        <v/>
      </c>
      <c r="AW124" s="15">
        <f>IF('组合输入'!$C11="","",'组合输入'!$H11*$B124+SQRT(1-'组合输入'!$H11^2)*AV124)</f>
        <v/>
      </c>
      <c r="AX124" s="7">
        <f>IF(AW124="","",NORM.S.DIST(AW124,TRUE))</f>
        <v/>
      </c>
      <c r="AY124" s="13">
        <f>IF(AX124="","",IF(AX124&lt;='组合输入'!$K11,"AAA",IF(AX124&lt;='组合输入'!$L11,"AA",IF(AX124&lt;='组合输入'!$M11,"A",IF(AX124&lt;='组合输入'!$N11,"BBB",IF(AX124&lt;='组合输入'!$O11,"BB",IF(AX124&lt;='组合输入'!$P11,"B",IF(AX124&lt;='组合输入'!$Q11,"CCC","D")))))))</f>
        <v/>
      </c>
      <c r="AZ124" s="12">
        <f>IF(AY124="","",INDEX('状态价值'!$D11:$K11,MATCH(AY124,'状态价值'!$D$1:$K$1,0)))</f>
        <v/>
      </c>
      <c r="BA124" s="12">
        <f>G124+L124+Q124+V124+AA124+AF124+AK124+AP124+AU124+AZ124</f>
        <v/>
      </c>
      <c r="BB124" s="12">
        <f>SUM('组合输入'!$J$2:$J$11)-BA124</f>
        <v/>
      </c>
    </row>
    <row r="125">
      <c r="A125" s="11" t="n">
        <v>124</v>
      </c>
      <c r="B125" s="14">
        <f>NORM.S.INV(RAND())</f>
        <v/>
      </c>
      <c r="C125" s="14">
        <f>NORM.S.INV(RAND())</f>
        <v/>
      </c>
      <c r="D125" s="15">
        <f>IF('组合输入'!$C2="","",'组合输入'!$H2*$B125+SQRT(1-'组合输入'!$H2^2)*C125)</f>
        <v/>
      </c>
      <c r="E125" s="7">
        <f>IF(D125="","",NORM.S.DIST(D125,TRUE))</f>
        <v/>
      </c>
      <c r="F125" s="13">
        <f>IF(E125="","",IF(E125&lt;='组合输入'!$K2,"AAA",IF(E125&lt;='组合输入'!$L2,"AA",IF(E125&lt;='组合输入'!$M2,"A",IF(E125&lt;='组合输入'!$N2,"BBB",IF(E125&lt;='组合输入'!$O2,"BB",IF(E125&lt;='组合输入'!$P2,"B",IF(E125&lt;='组合输入'!$Q2,"CCC","D")))))))</f>
        <v/>
      </c>
      <c r="G125" s="12">
        <f>IF(F125="","",INDEX('状态价值'!$D2:$K2,MATCH(F125,'状态价值'!$D$1:$K$1,0)))</f>
        <v/>
      </c>
      <c r="H125" s="15">
        <f>NORM.S.INV(RAND())</f>
        <v/>
      </c>
      <c r="I125" s="15">
        <f>IF('组合输入'!$C3="","",'组合输入'!$H3*$B125+SQRT(1-'组合输入'!$H3^2)*H125)</f>
        <v/>
      </c>
      <c r="J125" s="7">
        <f>IF(I125="","",NORM.S.DIST(I125,TRUE))</f>
        <v/>
      </c>
      <c r="K125" s="13">
        <f>IF(J125="","",IF(J125&lt;='组合输入'!$K3,"AAA",IF(J125&lt;='组合输入'!$L3,"AA",IF(J125&lt;='组合输入'!$M3,"A",IF(J125&lt;='组合输入'!$N3,"BBB",IF(J125&lt;='组合输入'!$O3,"BB",IF(J125&lt;='组合输入'!$P3,"B",IF(J125&lt;='组合输入'!$Q3,"CCC","D")))))))</f>
        <v/>
      </c>
      <c r="L125" s="12">
        <f>IF(K125="","",INDEX('状态价值'!$D3:$K3,MATCH(K125,'状态价值'!$D$1:$K$1,0)))</f>
        <v/>
      </c>
      <c r="M125" s="15">
        <f>NORM.S.INV(RAND())</f>
        <v/>
      </c>
      <c r="N125" s="15">
        <f>IF('组合输入'!$C4="","",'组合输入'!$H4*$B125+SQRT(1-'组合输入'!$H4^2)*M125)</f>
        <v/>
      </c>
      <c r="O125" s="7">
        <f>IF(N125="","",NORM.S.DIST(N125,TRUE))</f>
        <v/>
      </c>
      <c r="P125" s="13">
        <f>IF(O125="","",IF(O125&lt;='组合输入'!$K4,"AAA",IF(O125&lt;='组合输入'!$L4,"AA",IF(O125&lt;='组合输入'!$M4,"A",IF(O125&lt;='组合输入'!$N4,"BBB",IF(O125&lt;='组合输入'!$O4,"BB",IF(O125&lt;='组合输入'!$P4,"B",IF(O125&lt;='组合输入'!$Q4,"CCC","D")))))))</f>
        <v/>
      </c>
      <c r="Q125" s="12">
        <f>IF(P125="","",INDEX('状态价值'!$D4:$K4,MATCH(P125,'状态价值'!$D$1:$K$1,0)))</f>
        <v/>
      </c>
      <c r="R125" s="15">
        <f>NORM.S.INV(RAND())</f>
        <v/>
      </c>
      <c r="S125" s="15">
        <f>IF('组合输入'!$C5="","",'组合输入'!$H5*$B125+SQRT(1-'组合输入'!$H5^2)*R125)</f>
        <v/>
      </c>
      <c r="T125" s="7">
        <f>IF(S125="","",NORM.S.DIST(S125,TRUE))</f>
        <v/>
      </c>
      <c r="U125" s="13">
        <f>IF(T125="","",IF(T125&lt;='组合输入'!$K5,"AAA",IF(T125&lt;='组合输入'!$L5,"AA",IF(T125&lt;='组合输入'!$M5,"A",IF(T125&lt;='组合输入'!$N5,"BBB",IF(T125&lt;='组合输入'!$O5,"BB",IF(T125&lt;='组合输入'!$P5,"B",IF(T125&lt;='组合输入'!$Q5,"CCC","D")))))))</f>
        <v/>
      </c>
      <c r="V125" s="12">
        <f>IF(U125="","",INDEX('状态价值'!$D5:$K5,MATCH(U125,'状态价值'!$D$1:$K$1,0)))</f>
        <v/>
      </c>
      <c r="W125" s="15">
        <f>NORM.S.INV(RAND())</f>
        <v/>
      </c>
      <c r="X125" s="15">
        <f>IF('组合输入'!$C6="","",'组合输入'!$H6*$B125+SQRT(1-'组合输入'!$H6^2)*W125)</f>
        <v/>
      </c>
      <c r="Y125" s="7">
        <f>IF(X125="","",NORM.S.DIST(X125,TRUE))</f>
        <v/>
      </c>
      <c r="Z125" s="13">
        <f>IF(Y125="","",IF(Y125&lt;='组合输入'!$K6,"AAA",IF(Y125&lt;='组合输入'!$L6,"AA",IF(Y125&lt;='组合输入'!$M6,"A",IF(Y125&lt;='组合输入'!$N6,"BBB",IF(Y125&lt;='组合输入'!$O6,"BB",IF(Y125&lt;='组合输入'!$P6,"B",IF(Y125&lt;='组合输入'!$Q6,"CCC","D")))))))</f>
        <v/>
      </c>
      <c r="AA125" s="12">
        <f>IF(Z125="","",INDEX('状态价值'!$D6:$K6,MATCH(Z125,'状态价值'!$D$1:$K$1,0)))</f>
        <v/>
      </c>
      <c r="AB125" s="15">
        <f>NORM.S.INV(RAND())</f>
        <v/>
      </c>
      <c r="AC125" s="15">
        <f>IF('组合输入'!$C7="","",'组合输入'!$H7*$B125+SQRT(1-'组合输入'!$H7^2)*AB125)</f>
        <v/>
      </c>
      <c r="AD125" s="7">
        <f>IF(AC125="","",NORM.S.DIST(AC125,TRUE))</f>
        <v/>
      </c>
      <c r="AE125" s="13">
        <f>IF(AD125="","",IF(AD125&lt;='组合输入'!$K7,"AAA",IF(AD125&lt;='组合输入'!$L7,"AA",IF(AD125&lt;='组合输入'!$M7,"A",IF(AD125&lt;='组合输入'!$N7,"BBB",IF(AD125&lt;='组合输入'!$O7,"BB",IF(AD125&lt;='组合输入'!$P7,"B",IF(AD125&lt;='组合输入'!$Q7,"CCC","D")))))))</f>
        <v/>
      </c>
      <c r="AF125" s="12">
        <f>IF(AE125="","",INDEX('状态价值'!$D7:$K7,MATCH(AE125,'状态价值'!$D$1:$K$1,0)))</f>
        <v/>
      </c>
      <c r="AG125" s="15">
        <f>NORM.S.INV(RAND())</f>
        <v/>
      </c>
      <c r="AH125" s="15">
        <f>IF('组合输入'!$C8="","",'组合输入'!$H8*$B125+SQRT(1-'组合输入'!$H8^2)*AG125)</f>
        <v/>
      </c>
      <c r="AI125" s="7">
        <f>IF(AH125="","",NORM.S.DIST(AH125,TRUE))</f>
        <v/>
      </c>
      <c r="AJ125" s="13">
        <f>IF(AI125="","",IF(AI125&lt;='组合输入'!$K8,"AAA",IF(AI125&lt;='组合输入'!$L8,"AA",IF(AI125&lt;='组合输入'!$M8,"A",IF(AI125&lt;='组合输入'!$N8,"BBB",IF(AI125&lt;='组合输入'!$O8,"BB",IF(AI125&lt;='组合输入'!$P8,"B",IF(AI125&lt;='组合输入'!$Q8,"CCC","D")))))))</f>
        <v/>
      </c>
      <c r="AK125" s="12">
        <f>IF(AJ125="","",INDEX('状态价值'!$D8:$K8,MATCH(AJ125,'状态价值'!$D$1:$K$1,0)))</f>
        <v/>
      </c>
      <c r="AL125" s="15">
        <f>NORM.S.INV(RAND())</f>
        <v/>
      </c>
      <c r="AM125" s="15">
        <f>IF('组合输入'!$C9="","",'组合输入'!$H9*$B125+SQRT(1-'组合输入'!$H9^2)*AL125)</f>
        <v/>
      </c>
      <c r="AN125" s="7">
        <f>IF(AM125="","",NORM.S.DIST(AM125,TRUE))</f>
        <v/>
      </c>
      <c r="AO125" s="13">
        <f>IF(AN125="","",IF(AN125&lt;='组合输入'!$K9,"AAA",IF(AN125&lt;='组合输入'!$L9,"AA",IF(AN125&lt;='组合输入'!$M9,"A",IF(AN125&lt;='组合输入'!$N9,"BBB",IF(AN125&lt;='组合输入'!$O9,"BB",IF(AN125&lt;='组合输入'!$P9,"B",IF(AN125&lt;='组合输入'!$Q9,"CCC","D")))))))</f>
        <v/>
      </c>
      <c r="AP125" s="12">
        <f>IF(AO125="","",INDEX('状态价值'!$D9:$K9,MATCH(AO125,'状态价值'!$D$1:$K$1,0)))</f>
        <v/>
      </c>
      <c r="AQ125" s="15">
        <f>NORM.S.INV(RAND())</f>
        <v/>
      </c>
      <c r="AR125" s="15">
        <f>IF('组合输入'!$C10="","",'组合输入'!$H10*$B125+SQRT(1-'组合输入'!$H10^2)*AQ125)</f>
        <v/>
      </c>
      <c r="AS125" s="7">
        <f>IF(AR125="","",NORM.S.DIST(AR125,TRUE))</f>
        <v/>
      </c>
      <c r="AT125" s="13">
        <f>IF(AS125="","",IF(AS125&lt;='组合输入'!$K10,"AAA",IF(AS125&lt;='组合输入'!$L10,"AA",IF(AS125&lt;='组合输入'!$M10,"A",IF(AS125&lt;='组合输入'!$N10,"BBB",IF(AS125&lt;='组合输入'!$O10,"BB",IF(AS125&lt;='组合输入'!$P10,"B",IF(AS125&lt;='组合输入'!$Q10,"CCC","D")))))))</f>
        <v/>
      </c>
      <c r="AU125" s="12">
        <f>IF(AT125="","",INDEX('状态价值'!$D10:$K10,MATCH(AT125,'状态价值'!$D$1:$K$1,0)))</f>
        <v/>
      </c>
      <c r="AV125" s="15">
        <f>NORM.S.INV(RAND())</f>
        <v/>
      </c>
      <c r="AW125" s="15">
        <f>IF('组合输入'!$C11="","",'组合输入'!$H11*$B125+SQRT(1-'组合输入'!$H11^2)*AV125)</f>
        <v/>
      </c>
      <c r="AX125" s="7">
        <f>IF(AW125="","",NORM.S.DIST(AW125,TRUE))</f>
        <v/>
      </c>
      <c r="AY125" s="13">
        <f>IF(AX125="","",IF(AX125&lt;='组合输入'!$K11,"AAA",IF(AX125&lt;='组合输入'!$L11,"AA",IF(AX125&lt;='组合输入'!$M11,"A",IF(AX125&lt;='组合输入'!$N11,"BBB",IF(AX125&lt;='组合输入'!$O11,"BB",IF(AX125&lt;='组合输入'!$P11,"B",IF(AX125&lt;='组合输入'!$Q11,"CCC","D")))))))</f>
        <v/>
      </c>
      <c r="AZ125" s="12">
        <f>IF(AY125="","",INDEX('状态价值'!$D11:$K11,MATCH(AY125,'状态价值'!$D$1:$K$1,0)))</f>
        <v/>
      </c>
      <c r="BA125" s="12">
        <f>G125+L125+Q125+V125+AA125+AF125+AK125+AP125+AU125+AZ125</f>
        <v/>
      </c>
      <c r="BB125" s="12">
        <f>SUM('组合输入'!$J$2:$J$11)-BA125</f>
        <v/>
      </c>
    </row>
    <row r="126">
      <c r="A126" s="11" t="n">
        <v>125</v>
      </c>
      <c r="B126" s="14">
        <f>NORM.S.INV(RAND())</f>
        <v/>
      </c>
      <c r="C126" s="14">
        <f>NORM.S.INV(RAND())</f>
        <v/>
      </c>
      <c r="D126" s="15">
        <f>IF('组合输入'!$C2="","",'组合输入'!$H2*$B126+SQRT(1-'组合输入'!$H2^2)*C126)</f>
        <v/>
      </c>
      <c r="E126" s="7">
        <f>IF(D126="","",NORM.S.DIST(D126,TRUE))</f>
        <v/>
      </c>
      <c r="F126" s="13">
        <f>IF(E126="","",IF(E126&lt;='组合输入'!$K2,"AAA",IF(E126&lt;='组合输入'!$L2,"AA",IF(E126&lt;='组合输入'!$M2,"A",IF(E126&lt;='组合输入'!$N2,"BBB",IF(E126&lt;='组合输入'!$O2,"BB",IF(E126&lt;='组合输入'!$P2,"B",IF(E126&lt;='组合输入'!$Q2,"CCC","D")))))))</f>
        <v/>
      </c>
      <c r="G126" s="12">
        <f>IF(F126="","",INDEX('状态价值'!$D2:$K2,MATCH(F126,'状态价值'!$D$1:$K$1,0)))</f>
        <v/>
      </c>
      <c r="H126" s="15">
        <f>NORM.S.INV(RAND())</f>
        <v/>
      </c>
      <c r="I126" s="15">
        <f>IF('组合输入'!$C3="","",'组合输入'!$H3*$B126+SQRT(1-'组合输入'!$H3^2)*H126)</f>
        <v/>
      </c>
      <c r="J126" s="7">
        <f>IF(I126="","",NORM.S.DIST(I126,TRUE))</f>
        <v/>
      </c>
      <c r="K126" s="13">
        <f>IF(J126="","",IF(J126&lt;='组合输入'!$K3,"AAA",IF(J126&lt;='组合输入'!$L3,"AA",IF(J126&lt;='组合输入'!$M3,"A",IF(J126&lt;='组合输入'!$N3,"BBB",IF(J126&lt;='组合输入'!$O3,"BB",IF(J126&lt;='组合输入'!$P3,"B",IF(J126&lt;='组合输入'!$Q3,"CCC","D")))))))</f>
        <v/>
      </c>
      <c r="L126" s="12">
        <f>IF(K126="","",INDEX('状态价值'!$D3:$K3,MATCH(K126,'状态价值'!$D$1:$K$1,0)))</f>
        <v/>
      </c>
      <c r="M126" s="15">
        <f>NORM.S.INV(RAND())</f>
        <v/>
      </c>
      <c r="N126" s="15">
        <f>IF('组合输入'!$C4="","",'组合输入'!$H4*$B126+SQRT(1-'组合输入'!$H4^2)*M126)</f>
        <v/>
      </c>
      <c r="O126" s="7">
        <f>IF(N126="","",NORM.S.DIST(N126,TRUE))</f>
        <v/>
      </c>
      <c r="P126" s="13">
        <f>IF(O126="","",IF(O126&lt;='组合输入'!$K4,"AAA",IF(O126&lt;='组合输入'!$L4,"AA",IF(O126&lt;='组合输入'!$M4,"A",IF(O126&lt;='组合输入'!$N4,"BBB",IF(O126&lt;='组合输入'!$O4,"BB",IF(O126&lt;='组合输入'!$P4,"B",IF(O126&lt;='组合输入'!$Q4,"CCC","D")))))))</f>
        <v/>
      </c>
      <c r="Q126" s="12">
        <f>IF(P126="","",INDEX('状态价值'!$D4:$K4,MATCH(P126,'状态价值'!$D$1:$K$1,0)))</f>
        <v/>
      </c>
      <c r="R126" s="15">
        <f>NORM.S.INV(RAND())</f>
        <v/>
      </c>
      <c r="S126" s="15">
        <f>IF('组合输入'!$C5="","",'组合输入'!$H5*$B126+SQRT(1-'组合输入'!$H5^2)*R126)</f>
        <v/>
      </c>
      <c r="T126" s="7">
        <f>IF(S126="","",NORM.S.DIST(S126,TRUE))</f>
        <v/>
      </c>
      <c r="U126" s="13">
        <f>IF(T126="","",IF(T126&lt;='组合输入'!$K5,"AAA",IF(T126&lt;='组合输入'!$L5,"AA",IF(T126&lt;='组合输入'!$M5,"A",IF(T126&lt;='组合输入'!$N5,"BBB",IF(T126&lt;='组合输入'!$O5,"BB",IF(T126&lt;='组合输入'!$P5,"B",IF(T126&lt;='组合输入'!$Q5,"CCC","D")))))))</f>
        <v/>
      </c>
      <c r="V126" s="12">
        <f>IF(U126="","",INDEX('状态价值'!$D5:$K5,MATCH(U126,'状态价值'!$D$1:$K$1,0)))</f>
        <v/>
      </c>
      <c r="W126" s="15">
        <f>NORM.S.INV(RAND())</f>
        <v/>
      </c>
      <c r="X126" s="15">
        <f>IF('组合输入'!$C6="","",'组合输入'!$H6*$B126+SQRT(1-'组合输入'!$H6^2)*W126)</f>
        <v/>
      </c>
      <c r="Y126" s="7">
        <f>IF(X126="","",NORM.S.DIST(X126,TRUE))</f>
        <v/>
      </c>
      <c r="Z126" s="13">
        <f>IF(Y126="","",IF(Y126&lt;='组合输入'!$K6,"AAA",IF(Y126&lt;='组合输入'!$L6,"AA",IF(Y126&lt;='组合输入'!$M6,"A",IF(Y126&lt;='组合输入'!$N6,"BBB",IF(Y126&lt;='组合输入'!$O6,"BB",IF(Y126&lt;='组合输入'!$P6,"B",IF(Y126&lt;='组合输入'!$Q6,"CCC","D")))))))</f>
        <v/>
      </c>
      <c r="AA126" s="12">
        <f>IF(Z126="","",INDEX('状态价值'!$D6:$K6,MATCH(Z126,'状态价值'!$D$1:$K$1,0)))</f>
        <v/>
      </c>
      <c r="AB126" s="15">
        <f>NORM.S.INV(RAND())</f>
        <v/>
      </c>
      <c r="AC126" s="15">
        <f>IF('组合输入'!$C7="","",'组合输入'!$H7*$B126+SQRT(1-'组合输入'!$H7^2)*AB126)</f>
        <v/>
      </c>
      <c r="AD126" s="7">
        <f>IF(AC126="","",NORM.S.DIST(AC126,TRUE))</f>
        <v/>
      </c>
      <c r="AE126" s="13">
        <f>IF(AD126="","",IF(AD126&lt;='组合输入'!$K7,"AAA",IF(AD126&lt;='组合输入'!$L7,"AA",IF(AD126&lt;='组合输入'!$M7,"A",IF(AD126&lt;='组合输入'!$N7,"BBB",IF(AD126&lt;='组合输入'!$O7,"BB",IF(AD126&lt;='组合输入'!$P7,"B",IF(AD126&lt;='组合输入'!$Q7,"CCC","D")))))))</f>
        <v/>
      </c>
      <c r="AF126" s="12">
        <f>IF(AE126="","",INDEX('状态价值'!$D7:$K7,MATCH(AE126,'状态价值'!$D$1:$K$1,0)))</f>
        <v/>
      </c>
      <c r="AG126" s="15">
        <f>NORM.S.INV(RAND())</f>
        <v/>
      </c>
      <c r="AH126" s="15">
        <f>IF('组合输入'!$C8="","",'组合输入'!$H8*$B126+SQRT(1-'组合输入'!$H8^2)*AG126)</f>
        <v/>
      </c>
      <c r="AI126" s="7">
        <f>IF(AH126="","",NORM.S.DIST(AH126,TRUE))</f>
        <v/>
      </c>
      <c r="AJ126" s="13">
        <f>IF(AI126="","",IF(AI126&lt;='组合输入'!$K8,"AAA",IF(AI126&lt;='组合输入'!$L8,"AA",IF(AI126&lt;='组合输入'!$M8,"A",IF(AI126&lt;='组合输入'!$N8,"BBB",IF(AI126&lt;='组合输入'!$O8,"BB",IF(AI126&lt;='组合输入'!$P8,"B",IF(AI126&lt;='组合输入'!$Q8,"CCC","D")))))))</f>
        <v/>
      </c>
      <c r="AK126" s="12">
        <f>IF(AJ126="","",INDEX('状态价值'!$D8:$K8,MATCH(AJ126,'状态价值'!$D$1:$K$1,0)))</f>
        <v/>
      </c>
      <c r="AL126" s="15">
        <f>NORM.S.INV(RAND())</f>
        <v/>
      </c>
      <c r="AM126" s="15">
        <f>IF('组合输入'!$C9="","",'组合输入'!$H9*$B126+SQRT(1-'组合输入'!$H9^2)*AL126)</f>
        <v/>
      </c>
      <c r="AN126" s="7">
        <f>IF(AM126="","",NORM.S.DIST(AM126,TRUE))</f>
        <v/>
      </c>
      <c r="AO126" s="13">
        <f>IF(AN126="","",IF(AN126&lt;='组合输入'!$K9,"AAA",IF(AN126&lt;='组合输入'!$L9,"AA",IF(AN126&lt;='组合输入'!$M9,"A",IF(AN126&lt;='组合输入'!$N9,"BBB",IF(AN126&lt;='组合输入'!$O9,"BB",IF(AN126&lt;='组合输入'!$P9,"B",IF(AN126&lt;='组合输入'!$Q9,"CCC","D")))))))</f>
        <v/>
      </c>
      <c r="AP126" s="12">
        <f>IF(AO126="","",INDEX('状态价值'!$D9:$K9,MATCH(AO126,'状态价值'!$D$1:$K$1,0)))</f>
        <v/>
      </c>
      <c r="AQ126" s="15">
        <f>NORM.S.INV(RAND())</f>
        <v/>
      </c>
      <c r="AR126" s="15">
        <f>IF('组合输入'!$C10="","",'组合输入'!$H10*$B126+SQRT(1-'组合输入'!$H10^2)*AQ126)</f>
        <v/>
      </c>
      <c r="AS126" s="7">
        <f>IF(AR126="","",NORM.S.DIST(AR126,TRUE))</f>
        <v/>
      </c>
      <c r="AT126" s="13">
        <f>IF(AS126="","",IF(AS126&lt;='组合输入'!$K10,"AAA",IF(AS126&lt;='组合输入'!$L10,"AA",IF(AS126&lt;='组合输入'!$M10,"A",IF(AS126&lt;='组合输入'!$N10,"BBB",IF(AS126&lt;='组合输入'!$O10,"BB",IF(AS126&lt;='组合输入'!$P10,"B",IF(AS126&lt;='组合输入'!$Q10,"CCC","D")))))))</f>
        <v/>
      </c>
      <c r="AU126" s="12">
        <f>IF(AT126="","",INDEX('状态价值'!$D10:$K10,MATCH(AT126,'状态价值'!$D$1:$K$1,0)))</f>
        <v/>
      </c>
      <c r="AV126" s="15">
        <f>NORM.S.INV(RAND())</f>
        <v/>
      </c>
      <c r="AW126" s="15">
        <f>IF('组合输入'!$C11="","",'组合输入'!$H11*$B126+SQRT(1-'组合输入'!$H11^2)*AV126)</f>
        <v/>
      </c>
      <c r="AX126" s="7">
        <f>IF(AW126="","",NORM.S.DIST(AW126,TRUE))</f>
        <v/>
      </c>
      <c r="AY126" s="13">
        <f>IF(AX126="","",IF(AX126&lt;='组合输入'!$K11,"AAA",IF(AX126&lt;='组合输入'!$L11,"AA",IF(AX126&lt;='组合输入'!$M11,"A",IF(AX126&lt;='组合输入'!$N11,"BBB",IF(AX126&lt;='组合输入'!$O11,"BB",IF(AX126&lt;='组合输入'!$P11,"B",IF(AX126&lt;='组合输入'!$Q11,"CCC","D")))))))</f>
        <v/>
      </c>
      <c r="AZ126" s="12">
        <f>IF(AY126="","",INDEX('状态价值'!$D11:$K11,MATCH(AY126,'状态价值'!$D$1:$K$1,0)))</f>
        <v/>
      </c>
      <c r="BA126" s="12">
        <f>G126+L126+Q126+V126+AA126+AF126+AK126+AP126+AU126+AZ126</f>
        <v/>
      </c>
      <c r="BB126" s="12">
        <f>SUM('组合输入'!$J$2:$J$11)-BA126</f>
        <v/>
      </c>
    </row>
    <row r="127">
      <c r="A127" s="11" t="n">
        <v>126</v>
      </c>
      <c r="B127" s="14">
        <f>NORM.S.INV(RAND())</f>
        <v/>
      </c>
      <c r="C127" s="14">
        <f>NORM.S.INV(RAND())</f>
        <v/>
      </c>
      <c r="D127" s="15">
        <f>IF('组合输入'!$C2="","",'组合输入'!$H2*$B127+SQRT(1-'组合输入'!$H2^2)*C127)</f>
        <v/>
      </c>
      <c r="E127" s="7">
        <f>IF(D127="","",NORM.S.DIST(D127,TRUE))</f>
        <v/>
      </c>
      <c r="F127" s="13">
        <f>IF(E127="","",IF(E127&lt;='组合输入'!$K2,"AAA",IF(E127&lt;='组合输入'!$L2,"AA",IF(E127&lt;='组合输入'!$M2,"A",IF(E127&lt;='组合输入'!$N2,"BBB",IF(E127&lt;='组合输入'!$O2,"BB",IF(E127&lt;='组合输入'!$P2,"B",IF(E127&lt;='组合输入'!$Q2,"CCC","D")))))))</f>
        <v/>
      </c>
      <c r="G127" s="12">
        <f>IF(F127="","",INDEX('状态价值'!$D2:$K2,MATCH(F127,'状态价值'!$D$1:$K$1,0)))</f>
        <v/>
      </c>
      <c r="H127" s="15">
        <f>NORM.S.INV(RAND())</f>
        <v/>
      </c>
      <c r="I127" s="15">
        <f>IF('组合输入'!$C3="","",'组合输入'!$H3*$B127+SQRT(1-'组合输入'!$H3^2)*H127)</f>
        <v/>
      </c>
      <c r="J127" s="7">
        <f>IF(I127="","",NORM.S.DIST(I127,TRUE))</f>
        <v/>
      </c>
      <c r="K127" s="13">
        <f>IF(J127="","",IF(J127&lt;='组合输入'!$K3,"AAA",IF(J127&lt;='组合输入'!$L3,"AA",IF(J127&lt;='组合输入'!$M3,"A",IF(J127&lt;='组合输入'!$N3,"BBB",IF(J127&lt;='组合输入'!$O3,"BB",IF(J127&lt;='组合输入'!$P3,"B",IF(J127&lt;='组合输入'!$Q3,"CCC","D")))))))</f>
        <v/>
      </c>
      <c r="L127" s="12">
        <f>IF(K127="","",INDEX('状态价值'!$D3:$K3,MATCH(K127,'状态价值'!$D$1:$K$1,0)))</f>
        <v/>
      </c>
      <c r="M127" s="15">
        <f>NORM.S.INV(RAND())</f>
        <v/>
      </c>
      <c r="N127" s="15">
        <f>IF('组合输入'!$C4="","",'组合输入'!$H4*$B127+SQRT(1-'组合输入'!$H4^2)*M127)</f>
        <v/>
      </c>
      <c r="O127" s="7">
        <f>IF(N127="","",NORM.S.DIST(N127,TRUE))</f>
        <v/>
      </c>
      <c r="P127" s="13">
        <f>IF(O127="","",IF(O127&lt;='组合输入'!$K4,"AAA",IF(O127&lt;='组合输入'!$L4,"AA",IF(O127&lt;='组合输入'!$M4,"A",IF(O127&lt;='组合输入'!$N4,"BBB",IF(O127&lt;='组合输入'!$O4,"BB",IF(O127&lt;='组合输入'!$P4,"B",IF(O127&lt;='组合输入'!$Q4,"CCC","D")))))))</f>
        <v/>
      </c>
      <c r="Q127" s="12">
        <f>IF(P127="","",INDEX('状态价值'!$D4:$K4,MATCH(P127,'状态价值'!$D$1:$K$1,0)))</f>
        <v/>
      </c>
      <c r="R127" s="15">
        <f>NORM.S.INV(RAND())</f>
        <v/>
      </c>
      <c r="S127" s="15">
        <f>IF('组合输入'!$C5="","",'组合输入'!$H5*$B127+SQRT(1-'组合输入'!$H5^2)*R127)</f>
        <v/>
      </c>
      <c r="T127" s="7">
        <f>IF(S127="","",NORM.S.DIST(S127,TRUE))</f>
        <v/>
      </c>
      <c r="U127" s="13">
        <f>IF(T127="","",IF(T127&lt;='组合输入'!$K5,"AAA",IF(T127&lt;='组合输入'!$L5,"AA",IF(T127&lt;='组合输入'!$M5,"A",IF(T127&lt;='组合输入'!$N5,"BBB",IF(T127&lt;='组合输入'!$O5,"BB",IF(T127&lt;='组合输入'!$P5,"B",IF(T127&lt;='组合输入'!$Q5,"CCC","D")))))))</f>
        <v/>
      </c>
      <c r="V127" s="12">
        <f>IF(U127="","",INDEX('状态价值'!$D5:$K5,MATCH(U127,'状态价值'!$D$1:$K$1,0)))</f>
        <v/>
      </c>
      <c r="W127" s="15">
        <f>NORM.S.INV(RAND())</f>
        <v/>
      </c>
      <c r="X127" s="15">
        <f>IF('组合输入'!$C6="","",'组合输入'!$H6*$B127+SQRT(1-'组合输入'!$H6^2)*W127)</f>
        <v/>
      </c>
      <c r="Y127" s="7">
        <f>IF(X127="","",NORM.S.DIST(X127,TRUE))</f>
        <v/>
      </c>
      <c r="Z127" s="13">
        <f>IF(Y127="","",IF(Y127&lt;='组合输入'!$K6,"AAA",IF(Y127&lt;='组合输入'!$L6,"AA",IF(Y127&lt;='组合输入'!$M6,"A",IF(Y127&lt;='组合输入'!$N6,"BBB",IF(Y127&lt;='组合输入'!$O6,"BB",IF(Y127&lt;='组合输入'!$P6,"B",IF(Y127&lt;='组合输入'!$Q6,"CCC","D")))))))</f>
        <v/>
      </c>
      <c r="AA127" s="12">
        <f>IF(Z127="","",INDEX('状态价值'!$D6:$K6,MATCH(Z127,'状态价值'!$D$1:$K$1,0)))</f>
        <v/>
      </c>
      <c r="AB127" s="15">
        <f>NORM.S.INV(RAND())</f>
        <v/>
      </c>
      <c r="AC127" s="15">
        <f>IF('组合输入'!$C7="","",'组合输入'!$H7*$B127+SQRT(1-'组合输入'!$H7^2)*AB127)</f>
        <v/>
      </c>
      <c r="AD127" s="7">
        <f>IF(AC127="","",NORM.S.DIST(AC127,TRUE))</f>
        <v/>
      </c>
      <c r="AE127" s="13">
        <f>IF(AD127="","",IF(AD127&lt;='组合输入'!$K7,"AAA",IF(AD127&lt;='组合输入'!$L7,"AA",IF(AD127&lt;='组合输入'!$M7,"A",IF(AD127&lt;='组合输入'!$N7,"BBB",IF(AD127&lt;='组合输入'!$O7,"BB",IF(AD127&lt;='组合输入'!$P7,"B",IF(AD127&lt;='组合输入'!$Q7,"CCC","D")))))))</f>
        <v/>
      </c>
      <c r="AF127" s="12">
        <f>IF(AE127="","",INDEX('状态价值'!$D7:$K7,MATCH(AE127,'状态价值'!$D$1:$K$1,0)))</f>
        <v/>
      </c>
      <c r="AG127" s="15">
        <f>NORM.S.INV(RAND())</f>
        <v/>
      </c>
      <c r="AH127" s="15">
        <f>IF('组合输入'!$C8="","",'组合输入'!$H8*$B127+SQRT(1-'组合输入'!$H8^2)*AG127)</f>
        <v/>
      </c>
      <c r="AI127" s="7">
        <f>IF(AH127="","",NORM.S.DIST(AH127,TRUE))</f>
        <v/>
      </c>
      <c r="AJ127" s="13">
        <f>IF(AI127="","",IF(AI127&lt;='组合输入'!$K8,"AAA",IF(AI127&lt;='组合输入'!$L8,"AA",IF(AI127&lt;='组合输入'!$M8,"A",IF(AI127&lt;='组合输入'!$N8,"BBB",IF(AI127&lt;='组合输入'!$O8,"BB",IF(AI127&lt;='组合输入'!$P8,"B",IF(AI127&lt;='组合输入'!$Q8,"CCC","D")))))))</f>
        <v/>
      </c>
      <c r="AK127" s="12">
        <f>IF(AJ127="","",INDEX('状态价值'!$D8:$K8,MATCH(AJ127,'状态价值'!$D$1:$K$1,0)))</f>
        <v/>
      </c>
      <c r="AL127" s="15">
        <f>NORM.S.INV(RAND())</f>
        <v/>
      </c>
      <c r="AM127" s="15">
        <f>IF('组合输入'!$C9="","",'组合输入'!$H9*$B127+SQRT(1-'组合输入'!$H9^2)*AL127)</f>
        <v/>
      </c>
      <c r="AN127" s="7">
        <f>IF(AM127="","",NORM.S.DIST(AM127,TRUE))</f>
        <v/>
      </c>
      <c r="AO127" s="13">
        <f>IF(AN127="","",IF(AN127&lt;='组合输入'!$K9,"AAA",IF(AN127&lt;='组合输入'!$L9,"AA",IF(AN127&lt;='组合输入'!$M9,"A",IF(AN127&lt;='组合输入'!$N9,"BBB",IF(AN127&lt;='组合输入'!$O9,"BB",IF(AN127&lt;='组合输入'!$P9,"B",IF(AN127&lt;='组合输入'!$Q9,"CCC","D")))))))</f>
        <v/>
      </c>
      <c r="AP127" s="12">
        <f>IF(AO127="","",INDEX('状态价值'!$D9:$K9,MATCH(AO127,'状态价值'!$D$1:$K$1,0)))</f>
        <v/>
      </c>
      <c r="AQ127" s="15">
        <f>NORM.S.INV(RAND())</f>
        <v/>
      </c>
      <c r="AR127" s="15">
        <f>IF('组合输入'!$C10="","",'组合输入'!$H10*$B127+SQRT(1-'组合输入'!$H10^2)*AQ127)</f>
        <v/>
      </c>
      <c r="AS127" s="7">
        <f>IF(AR127="","",NORM.S.DIST(AR127,TRUE))</f>
        <v/>
      </c>
      <c r="AT127" s="13">
        <f>IF(AS127="","",IF(AS127&lt;='组合输入'!$K10,"AAA",IF(AS127&lt;='组合输入'!$L10,"AA",IF(AS127&lt;='组合输入'!$M10,"A",IF(AS127&lt;='组合输入'!$N10,"BBB",IF(AS127&lt;='组合输入'!$O10,"BB",IF(AS127&lt;='组合输入'!$P10,"B",IF(AS127&lt;='组合输入'!$Q10,"CCC","D")))))))</f>
        <v/>
      </c>
      <c r="AU127" s="12">
        <f>IF(AT127="","",INDEX('状态价值'!$D10:$K10,MATCH(AT127,'状态价值'!$D$1:$K$1,0)))</f>
        <v/>
      </c>
      <c r="AV127" s="15">
        <f>NORM.S.INV(RAND())</f>
        <v/>
      </c>
      <c r="AW127" s="15">
        <f>IF('组合输入'!$C11="","",'组合输入'!$H11*$B127+SQRT(1-'组合输入'!$H11^2)*AV127)</f>
        <v/>
      </c>
      <c r="AX127" s="7">
        <f>IF(AW127="","",NORM.S.DIST(AW127,TRUE))</f>
        <v/>
      </c>
      <c r="AY127" s="13">
        <f>IF(AX127="","",IF(AX127&lt;='组合输入'!$K11,"AAA",IF(AX127&lt;='组合输入'!$L11,"AA",IF(AX127&lt;='组合输入'!$M11,"A",IF(AX127&lt;='组合输入'!$N11,"BBB",IF(AX127&lt;='组合输入'!$O11,"BB",IF(AX127&lt;='组合输入'!$P11,"B",IF(AX127&lt;='组合输入'!$Q11,"CCC","D")))))))</f>
        <v/>
      </c>
      <c r="AZ127" s="12">
        <f>IF(AY127="","",INDEX('状态价值'!$D11:$K11,MATCH(AY127,'状态价值'!$D$1:$K$1,0)))</f>
        <v/>
      </c>
      <c r="BA127" s="12">
        <f>G127+L127+Q127+V127+AA127+AF127+AK127+AP127+AU127+AZ127</f>
        <v/>
      </c>
      <c r="BB127" s="12">
        <f>SUM('组合输入'!$J$2:$J$11)-BA127</f>
        <v/>
      </c>
    </row>
    <row r="128">
      <c r="A128" s="11" t="n">
        <v>127</v>
      </c>
      <c r="B128" s="14">
        <f>NORM.S.INV(RAND())</f>
        <v/>
      </c>
      <c r="C128" s="14">
        <f>NORM.S.INV(RAND())</f>
        <v/>
      </c>
      <c r="D128" s="15">
        <f>IF('组合输入'!$C2="","",'组合输入'!$H2*$B128+SQRT(1-'组合输入'!$H2^2)*C128)</f>
        <v/>
      </c>
      <c r="E128" s="7">
        <f>IF(D128="","",NORM.S.DIST(D128,TRUE))</f>
        <v/>
      </c>
      <c r="F128" s="13">
        <f>IF(E128="","",IF(E128&lt;='组合输入'!$K2,"AAA",IF(E128&lt;='组合输入'!$L2,"AA",IF(E128&lt;='组合输入'!$M2,"A",IF(E128&lt;='组合输入'!$N2,"BBB",IF(E128&lt;='组合输入'!$O2,"BB",IF(E128&lt;='组合输入'!$P2,"B",IF(E128&lt;='组合输入'!$Q2,"CCC","D")))))))</f>
        <v/>
      </c>
      <c r="G128" s="12">
        <f>IF(F128="","",INDEX('状态价值'!$D2:$K2,MATCH(F128,'状态价值'!$D$1:$K$1,0)))</f>
        <v/>
      </c>
      <c r="H128" s="15">
        <f>NORM.S.INV(RAND())</f>
        <v/>
      </c>
      <c r="I128" s="15">
        <f>IF('组合输入'!$C3="","",'组合输入'!$H3*$B128+SQRT(1-'组合输入'!$H3^2)*H128)</f>
        <v/>
      </c>
      <c r="J128" s="7">
        <f>IF(I128="","",NORM.S.DIST(I128,TRUE))</f>
        <v/>
      </c>
      <c r="K128" s="13">
        <f>IF(J128="","",IF(J128&lt;='组合输入'!$K3,"AAA",IF(J128&lt;='组合输入'!$L3,"AA",IF(J128&lt;='组合输入'!$M3,"A",IF(J128&lt;='组合输入'!$N3,"BBB",IF(J128&lt;='组合输入'!$O3,"BB",IF(J128&lt;='组合输入'!$P3,"B",IF(J128&lt;='组合输入'!$Q3,"CCC","D")))))))</f>
        <v/>
      </c>
      <c r="L128" s="12">
        <f>IF(K128="","",INDEX('状态价值'!$D3:$K3,MATCH(K128,'状态价值'!$D$1:$K$1,0)))</f>
        <v/>
      </c>
      <c r="M128" s="15">
        <f>NORM.S.INV(RAND())</f>
        <v/>
      </c>
      <c r="N128" s="15">
        <f>IF('组合输入'!$C4="","",'组合输入'!$H4*$B128+SQRT(1-'组合输入'!$H4^2)*M128)</f>
        <v/>
      </c>
      <c r="O128" s="7">
        <f>IF(N128="","",NORM.S.DIST(N128,TRUE))</f>
        <v/>
      </c>
      <c r="P128" s="13">
        <f>IF(O128="","",IF(O128&lt;='组合输入'!$K4,"AAA",IF(O128&lt;='组合输入'!$L4,"AA",IF(O128&lt;='组合输入'!$M4,"A",IF(O128&lt;='组合输入'!$N4,"BBB",IF(O128&lt;='组合输入'!$O4,"BB",IF(O128&lt;='组合输入'!$P4,"B",IF(O128&lt;='组合输入'!$Q4,"CCC","D")))))))</f>
        <v/>
      </c>
      <c r="Q128" s="12">
        <f>IF(P128="","",INDEX('状态价值'!$D4:$K4,MATCH(P128,'状态价值'!$D$1:$K$1,0)))</f>
        <v/>
      </c>
      <c r="R128" s="15">
        <f>NORM.S.INV(RAND())</f>
        <v/>
      </c>
      <c r="S128" s="15">
        <f>IF('组合输入'!$C5="","",'组合输入'!$H5*$B128+SQRT(1-'组合输入'!$H5^2)*R128)</f>
        <v/>
      </c>
      <c r="T128" s="7">
        <f>IF(S128="","",NORM.S.DIST(S128,TRUE))</f>
        <v/>
      </c>
      <c r="U128" s="13">
        <f>IF(T128="","",IF(T128&lt;='组合输入'!$K5,"AAA",IF(T128&lt;='组合输入'!$L5,"AA",IF(T128&lt;='组合输入'!$M5,"A",IF(T128&lt;='组合输入'!$N5,"BBB",IF(T128&lt;='组合输入'!$O5,"BB",IF(T128&lt;='组合输入'!$P5,"B",IF(T128&lt;='组合输入'!$Q5,"CCC","D")))))))</f>
        <v/>
      </c>
      <c r="V128" s="12">
        <f>IF(U128="","",INDEX('状态价值'!$D5:$K5,MATCH(U128,'状态价值'!$D$1:$K$1,0)))</f>
        <v/>
      </c>
      <c r="W128" s="15">
        <f>NORM.S.INV(RAND())</f>
        <v/>
      </c>
      <c r="X128" s="15">
        <f>IF('组合输入'!$C6="","",'组合输入'!$H6*$B128+SQRT(1-'组合输入'!$H6^2)*W128)</f>
        <v/>
      </c>
      <c r="Y128" s="7">
        <f>IF(X128="","",NORM.S.DIST(X128,TRUE))</f>
        <v/>
      </c>
      <c r="Z128" s="13">
        <f>IF(Y128="","",IF(Y128&lt;='组合输入'!$K6,"AAA",IF(Y128&lt;='组合输入'!$L6,"AA",IF(Y128&lt;='组合输入'!$M6,"A",IF(Y128&lt;='组合输入'!$N6,"BBB",IF(Y128&lt;='组合输入'!$O6,"BB",IF(Y128&lt;='组合输入'!$P6,"B",IF(Y128&lt;='组合输入'!$Q6,"CCC","D")))))))</f>
        <v/>
      </c>
      <c r="AA128" s="12">
        <f>IF(Z128="","",INDEX('状态价值'!$D6:$K6,MATCH(Z128,'状态价值'!$D$1:$K$1,0)))</f>
        <v/>
      </c>
      <c r="AB128" s="15">
        <f>NORM.S.INV(RAND())</f>
        <v/>
      </c>
      <c r="AC128" s="15">
        <f>IF('组合输入'!$C7="","",'组合输入'!$H7*$B128+SQRT(1-'组合输入'!$H7^2)*AB128)</f>
        <v/>
      </c>
      <c r="AD128" s="7">
        <f>IF(AC128="","",NORM.S.DIST(AC128,TRUE))</f>
        <v/>
      </c>
      <c r="AE128" s="13">
        <f>IF(AD128="","",IF(AD128&lt;='组合输入'!$K7,"AAA",IF(AD128&lt;='组合输入'!$L7,"AA",IF(AD128&lt;='组合输入'!$M7,"A",IF(AD128&lt;='组合输入'!$N7,"BBB",IF(AD128&lt;='组合输入'!$O7,"BB",IF(AD128&lt;='组合输入'!$P7,"B",IF(AD128&lt;='组合输入'!$Q7,"CCC","D")))))))</f>
        <v/>
      </c>
      <c r="AF128" s="12">
        <f>IF(AE128="","",INDEX('状态价值'!$D7:$K7,MATCH(AE128,'状态价值'!$D$1:$K$1,0)))</f>
        <v/>
      </c>
      <c r="AG128" s="15">
        <f>NORM.S.INV(RAND())</f>
        <v/>
      </c>
      <c r="AH128" s="15">
        <f>IF('组合输入'!$C8="","",'组合输入'!$H8*$B128+SQRT(1-'组合输入'!$H8^2)*AG128)</f>
        <v/>
      </c>
      <c r="AI128" s="7">
        <f>IF(AH128="","",NORM.S.DIST(AH128,TRUE))</f>
        <v/>
      </c>
      <c r="AJ128" s="13">
        <f>IF(AI128="","",IF(AI128&lt;='组合输入'!$K8,"AAA",IF(AI128&lt;='组合输入'!$L8,"AA",IF(AI128&lt;='组合输入'!$M8,"A",IF(AI128&lt;='组合输入'!$N8,"BBB",IF(AI128&lt;='组合输入'!$O8,"BB",IF(AI128&lt;='组合输入'!$P8,"B",IF(AI128&lt;='组合输入'!$Q8,"CCC","D")))))))</f>
        <v/>
      </c>
      <c r="AK128" s="12">
        <f>IF(AJ128="","",INDEX('状态价值'!$D8:$K8,MATCH(AJ128,'状态价值'!$D$1:$K$1,0)))</f>
        <v/>
      </c>
      <c r="AL128" s="15">
        <f>NORM.S.INV(RAND())</f>
        <v/>
      </c>
      <c r="AM128" s="15">
        <f>IF('组合输入'!$C9="","",'组合输入'!$H9*$B128+SQRT(1-'组合输入'!$H9^2)*AL128)</f>
        <v/>
      </c>
      <c r="AN128" s="7">
        <f>IF(AM128="","",NORM.S.DIST(AM128,TRUE))</f>
        <v/>
      </c>
      <c r="AO128" s="13">
        <f>IF(AN128="","",IF(AN128&lt;='组合输入'!$K9,"AAA",IF(AN128&lt;='组合输入'!$L9,"AA",IF(AN128&lt;='组合输入'!$M9,"A",IF(AN128&lt;='组合输入'!$N9,"BBB",IF(AN128&lt;='组合输入'!$O9,"BB",IF(AN128&lt;='组合输入'!$P9,"B",IF(AN128&lt;='组合输入'!$Q9,"CCC","D")))))))</f>
        <v/>
      </c>
      <c r="AP128" s="12">
        <f>IF(AO128="","",INDEX('状态价值'!$D9:$K9,MATCH(AO128,'状态价值'!$D$1:$K$1,0)))</f>
        <v/>
      </c>
      <c r="AQ128" s="15">
        <f>NORM.S.INV(RAND())</f>
        <v/>
      </c>
      <c r="AR128" s="15">
        <f>IF('组合输入'!$C10="","",'组合输入'!$H10*$B128+SQRT(1-'组合输入'!$H10^2)*AQ128)</f>
        <v/>
      </c>
      <c r="AS128" s="7">
        <f>IF(AR128="","",NORM.S.DIST(AR128,TRUE))</f>
        <v/>
      </c>
      <c r="AT128" s="13">
        <f>IF(AS128="","",IF(AS128&lt;='组合输入'!$K10,"AAA",IF(AS128&lt;='组合输入'!$L10,"AA",IF(AS128&lt;='组合输入'!$M10,"A",IF(AS128&lt;='组合输入'!$N10,"BBB",IF(AS128&lt;='组合输入'!$O10,"BB",IF(AS128&lt;='组合输入'!$P10,"B",IF(AS128&lt;='组合输入'!$Q10,"CCC","D")))))))</f>
        <v/>
      </c>
      <c r="AU128" s="12">
        <f>IF(AT128="","",INDEX('状态价值'!$D10:$K10,MATCH(AT128,'状态价值'!$D$1:$K$1,0)))</f>
        <v/>
      </c>
      <c r="AV128" s="15">
        <f>NORM.S.INV(RAND())</f>
        <v/>
      </c>
      <c r="AW128" s="15">
        <f>IF('组合输入'!$C11="","",'组合输入'!$H11*$B128+SQRT(1-'组合输入'!$H11^2)*AV128)</f>
        <v/>
      </c>
      <c r="AX128" s="7">
        <f>IF(AW128="","",NORM.S.DIST(AW128,TRUE))</f>
        <v/>
      </c>
      <c r="AY128" s="13">
        <f>IF(AX128="","",IF(AX128&lt;='组合输入'!$K11,"AAA",IF(AX128&lt;='组合输入'!$L11,"AA",IF(AX128&lt;='组合输入'!$M11,"A",IF(AX128&lt;='组合输入'!$N11,"BBB",IF(AX128&lt;='组合输入'!$O11,"BB",IF(AX128&lt;='组合输入'!$P11,"B",IF(AX128&lt;='组合输入'!$Q11,"CCC","D")))))))</f>
        <v/>
      </c>
      <c r="AZ128" s="12">
        <f>IF(AY128="","",INDEX('状态价值'!$D11:$K11,MATCH(AY128,'状态价值'!$D$1:$K$1,0)))</f>
        <v/>
      </c>
      <c r="BA128" s="12">
        <f>G128+L128+Q128+V128+AA128+AF128+AK128+AP128+AU128+AZ128</f>
        <v/>
      </c>
      <c r="BB128" s="12">
        <f>SUM('组合输入'!$J$2:$J$11)-BA128</f>
        <v/>
      </c>
    </row>
    <row r="129">
      <c r="A129" s="11" t="n">
        <v>128</v>
      </c>
      <c r="B129" s="14">
        <f>NORM.S.INV(RAND())</f>
        <v/>
      </c>
      <c r="C129" s="14">
        <f>NORM.S.INV(RAND())</f>
        <v/>
      </c>
      <c r="D129" s="15">
        <f>IF('组合输入'!$C2="","",'组合输入'!$H2*$B129+SQRT(1-'组合输入'!$H2^2)*C129)</f>
        <v/>
      </c>
      <c r="E129" s="7">
        <f>IF(D129="","",NORM.S.DIST(D129,TRUE))</f>
        <v/>
      </c>
      <c r="F129" s="13">
        <f>IF(E129="","",IF(E129&lt;='组合输入'!$K2,"AAA",IF(E129&lt;='组合输入'!$L2,"AA",IF(E129&lt;='组合输入'!$M2,"A",IF(E129&lt;='组合输入'!$N2,"BBB",IF(E129&lt;='组合输入'!$O2,"BB",IF(E129&lt;='组合输入'!$P2,"B",IF(E129&lt;='组合输入'!$Q2,"CCC","D")))))))</f>
        <v/>
      </c>
      <c r="G129" s="12">
        <f>IF(F129="","",INDEX('状态价值'!$D2:$K2,MATCH(F129,'状态价值'!$D$1:$K$1,0)))</f>
        <v/>
      </c>
      <c r="H129" s="15">
        <f>NORM.S.INV(RAND())</f>
        <v/>
      </c>
      <c r="I129" s="15">
        <f>IF('组合输入'!$C3="","",'组合输入'!$H3*$B129+SQRT(1-'组合输入'!$H3^2)*H129)</f>
        <v/>
      </c>
      <c r="J129" s="7">
        <f>IF(I129="","",NORM.S.DIST(I129,TRUE))</f>
        <v/>
      </c>
      <c r="K129" s="13">
        <f>IF(J129="","",IF(J129&lt;='组合输入'!$K3,"AAA",IF(J129&lt;='组合输入'!$L3,"AA",IF(J129&lt;='组合输入'!$M3,"A",IF(J129&lt;='组合输入'!$N3,"BBB",IF(J129&lt;='组合输入'!$O3,"BB",IF(J129&lt;='组合输入'!$P3,"B",IF(J129&lt;='组合输入'!$Q3,"CCC","D")))))))</f>
        <v/>
      </c>
      <c r="L129" s="12">
        <f>IF(K129="","",INDEX('状态价值'!$D3:$K3,MATCH(K129,'状态价值'!$D$1:$K$1,0)))</f>
        <v/>
      </c>
      <c r="M129" s="15">
        <f>NORM.S.INV(RAND())</f>
        <v/>
      </c>
      <c r="N129" s="15">
        <f>IF('组合输入'!$C4="","",'组合输入'!$H4*$B129+SQRT(1-'组合输入'!$H4^2)*M129)</f>
        <v/>
      </c>
      <c r="O129" s="7">
        <f>IF(N129="","",NORM.S.DIST(N129,TRUE))</f>
        <v/>
      </c>
      <c r="P129" s="13">
        <f>IF(O129="","",IF(O129&lt;='组合输入'!$K4,"AAA",IF(O129&lt;='组合输入'!$L4,"AA",IF(O129&lt;='组合输入'!$M4,"A",IF(O129&lt;='组合输入'!$N4,"BBB",IF(O129&lt;='组合输入'!$O4,"BB",IF(O129&lt;='组合输入'!$P4,"B",IF(O129&lt;='组合输入'!$Q4,"CCC","D")))))))</f>
        <v/>
      </c>
      <c r="Q129" s="12">
        <f>IF(P129="","",INDEX('状态价值'!$D4:$K4,MATCH(P129,'状态价值'!$D$1:$K$1,0)))</f>
        <v/>
      </c>
      <c r="R129" s="15">
        <f>NORM.S.INV(RAND())</f>
        <v/>
      </c>
      <c r="S129" s="15">
        <f>IF('组合输入'!$C5="","",'组合输入'!$H5*$B129+SQRT(1-'组合输入'!$H5^2)*R129)</f>
        <v/>
      </c>
      <c r="T129" s="7">
        <f>IF(S129="","",NORM.S.DIST(S129,TRUE))</f>
        <v/>
      </c>
      <c r="U129" s="13">
        <f>IF(T129="","",IF(T129&lt;='组合输入'!$K5,"AAA",IF(T129&lt;='组合输入'!$L5,"AA",IF(T129&lt;='组合输入'!$M5,"A",IF(T129&lt;='组合输入'!$N5,"BBB",IF(T129&lt;='组合输入'!$O5,"BB",IF(T129&lt;='组合输入'!$P5,"B",IF(T129&lt;='组合输入'!$Q5,"CCC","D")))))))</f>
        <v/>
      </c>
      <c r="V129" s="12">
        <f>IF(U129="","",INDEX('状态价值'!$D5:$K5,MATCH(U129,'状态价值'!$D$1:$K$1,0)))</f>
        <v/>
      </c>
      <c r="W129" s="15">
        <f>NORM.S.INV(RAND())</f>
        <v/>
      </c>
      <c r="X129" s="15">
        <f>IF('组合输入'!$C6="","",'组合输入'!$H6*$B129+SQRT(1-'组合输入'!$H6^2)*W129)</f>
        <v/>
      </c>
      <c r="Y129" s="7">
        <f>IF(X129="","",NORM.S.DIST(X129,TRUE))</f>
        <v/>
      </c>
      <c r="Z129" s="13">
        <f>IF(Y129="","",IF(Y129&lt;='组合输入'!$K6,"AAA",IF(Y129&lt;='组合输入'!$L6,"AA",IF(Y129&lt;='组合输入'!$M6,"A",IF(Y129&lt;='组合输入'!$N6,"BBB",IF(Y129&lt;='组合输入'!$O6,"BB",IF(Y129&lt;='组合输入'!$P6,"B",IF(Y129&lt;='组合输入'!$Q6,"CCC","D")))))))</f>
        <v/>
      </c>
      <c r="AA129" s="12">
        <f>IF(Z129="","",INDEX('状态价值'!$D6:$K6,MATCH(Z129,'状态价值'!$D$1:$K$1,0)))</f>
        <v/>
      </c>
      <c r="AB129" s="15">
        <f>NORM.S.INV(RAND())</f>
        <v/>
      </c>
      <c r="AC129" s="15">
        <f>IF('组合输入'!$C7="","",'组合输入'!$H7*$B129+SQRT(1-'组合输入'!$H7^2)*AB129)</f>
        <v/>
      </c>
      <c r="AD129" s="7">
        <f>IF(AC129="","",NORM.S.DIST(AC129,TRUE))</f>
        <v/>
      </c>
      <c r="AE129" s="13">
        <f>IF(AD129="","",IF(AD129&lt;='组合输入'!$K7,"AAA",IF(AD129&lt;='组合输入'!$L7,"AA",IF(AD129&lt;='组合输入'!$M7,"A",IF(AD129&lt;='组合输入'!$N7,"BBB",IF(AD129&lt;='组合输入'!$O7,"BB",IF(AD129&lt;='组合输入'!$P7,"B",IF(AD129&lt;='组合输入'!$Q7,"CCC","D")))))))</f>
        <v/>
      </c>
      <c r="AF129" s="12">
        <f>IF(AE129="","",INDEX('状态价值'!$D7:$K7,MATCH(AE129,'状态价值'!$D$1:$K$1,0)))</f>
        <v/>
      </c>
      <c r="AG129" s="15">
        <f>NORM.S.INV(RAND())</f>
        <v/>
      </c>
      <c r="AH129" s="15">
        <f>IF('组合输入'!$C8="","",'组合输入'!$H8*$B129+SQRT(1-'组合输入'!$H8^2)*AG129)</f>
        <v/>
      </c>
      <c r="AI129" s="7">
        <f>IF(AH129="","",NORM.S.DIST(AH129,TRUE))</f>
        <v/>
      </c>
      <c r="AJ129" s="13">
        <f>IF(AI129="","",IF(AI129&lt;='组合输入'!$K8,"AAA",IF(AI129&lt;='组合输入'!$L8,"AA",IF(AI129&lt;='组合输入'!$M8,"A",IF(AI129&lt;='组合输入'!$N8,"BBB",IF(AI129&lt;='组合输入'!$O8,"BB",IF(AI129&lt;='组合输入'!$P8,"B",IF(AI129&lt;='组合输入'!$Q8,"CCC","D")))))))</f>
        <v/>
      </c>
      <c r="AK129" s="12">
        <f>IF(AJ129="","",INDEX('状态价值'!$D8:$K8,MATCH(AJ129,'状态价值'!$D$1:$K$1,0)))</f>
        <v/>
      </c>
      <c r="AL129" s="15">
        <f>NORM.S.INV(RAND())</f>
        <v/>
      </c>
      <c r="AM129" s="15">
        <f>IF('组合输入'!$C9="","",'组合输入'!$H9*$B129+SQRT(1-'组合输入'!$H9^2)*AL129)</f>
        <v/>
      </c>
      <c r="AN129" s="7">
        <f>IF(AM129="","",NORM.S.DIST(AM129,TRUE))</f>
        <v/>
      </c>
      <c r="AO129" s="13">
        <f>IF(AN129="","",IF(AN129&lt;='组合输入'!$K9,"AAA",IF(AN129&lt;='组合输入'!$L9,"AA",IF(AN129&lt;='组合输入'!$M9,"A",IF(AN129&lt;='组合输入'!$N9,"BBB",IF(AN129&lt;='组合输入'!$O9,"BB",IF(AN129&lt;='组合输入'!$P9,"B",IF(AN129&lt;='组合输入'!$Q9,"CCC","D")))))))</f>
        <v/>
      </c>
      <c r="AP129" s="12">
        <f>IF(AO129="","",INDEX('状态价值'!$D9:$K9,MATCH(AO129,'状态价值'!$D$1:$K$1,0)))</f>
        <v/>
      </c>
      <c r="AQ129" s="15">
        <f>NORM.S.INV(RAND())</f>
        <v/>
      </c>
      <c r="AR129" s="15">
        <f>IF('组合输入'!$C10="","",'组合输入'!$H10*$B129+SQRT(1-'组合输入'!$H10^2)*AQ129)</f>
        <v/>
      </c>
      <c r="AS129" s="7">
        <f>IF(AR129="","",NORM.S.DIST(AR129,TRUE))</f>
        <v/>
      </c>
      <c r="AT129" s="13">
        <f>IF(AS129="","",IF(AS129&lt;='组合输入'!$K10,"AAA",IF(AS129&lt;='组合输入'!$L10,"AA",IF(AS129&lt;='组合输入'!$M10,"A",IF(AS129&lt;='组合输入'!$N10,"BBB",IF(AS129&lt;='组合输入'!$O10,"BB",IF(AS129&lt;='组合输入'!$P10,"B",IF(AS129&lt;='组合输入'!$Q10,"CCC","D")))))))</f>
        <v/>
      </c>
      <c r="AU129" s="12">
        <f>IF(AT129="","",INDEX('状态价值'!$D10:$K10,MATCH(AT129,'状态价值'!$D$1:$K$1,0)))</f>
        <v/>
      </c>
      <c r="AV129" s="15">
        <f>NORM.S.INV(RAND())</f>
        <v/>
      </c>
      <c r="AW129" s="15">
        <f>IF('组合输入'!$C11="","",'组合输入'!$H11*$B129+SQRT(1-'组合输入'!$H11^2)*AV129)</f>
        <v/>
      </c>
      <c r="AX129" s="7">
        <f>IF(AW129="","",NORM.S.DIST(AW129,TRUE))</f>
        <v/>
      </c>
      <c r="AY129" s="13">
        <f>IF(AX129="","",IF(AX129&lt;='组合输入'!$K11,"AAA",IF(AX129&lt;='组合输入'!$L11,"AA",IF(AX129&lt;='组合输入'!$M11,"A",IF(AX129&lt;='组合输入'!$N11,"BBB",IF(AX129&lt;='组合输入'!$O11,"BB",IF(AX129&lt;='组合输入'!$P11,"B",IF(AX129&lt;='组合输入'!$Q11,"CCC","D")))))))</f>
        <v/>
      </c>
      <c r="AZ129" s="12">
        <f>IF(AY129="","",INDEX('状态价值'!$D11:$K11,MATCH(AY129,'状态价值'!$D$1:$K$1,0)))</f>
        <v/>
      </c>
      <c r="BA129" s="12">
        <f>G129+L129+Q129+V129+AA129+AF129+AK129+AP129+AU129+AZ129</f>
        <v/>
      </c>
      <c r="BB129" s="12">
        <f>SUM('组合输入'!$J$2:$J$11)-BA129</f>
        <v/>
      </c>
    </row>
    <row r="130">
      <c r="A130" s="11" t="n">
        <v>129</v>
      </c>
      <c r="B130" s="14">
        <f>NORM.S.INV(RAND())</f>
        <v/>
      </c>
      <c r="C130" s="14">
        <f>NORM.S.INV(RAND())</f>
        <v/>
      </c>
      <c r="D130" s="15">
        <f>IF('组合输入'!$C2="","",'组合输入'!$H2*$B130+SQRT(1-'组合输入'!$H2^2)*C130)</f>
        <v/>
      </c>
      <c r="E130" s="7">
        <f>IF(D130="","",NORM.S.DIST(D130,TRUE))</f>
        <v/>
      </c>
      <c r="F130" s="13">
        <f>IF(E130="","",IF(E130&lt;='组合输入'!$K2,"AAA",IF(E130&lt;='组合输入'!$L2,"AA",IF(E130&lt;='组合输入'!$M2,"A",IF(E130&lt;='组合输入'!$N2,"BBB",IF(E130&lt;='组合输入'!$O2,"BB",IF(E130&lt;='组合输入'!$P2,"B",IF(E130&lt;='组合输入'!$Q2,"CCC","D")))))))</f>
        <v/>
      </c>
      <c r="G130" s="12">
        <f>IF(F130="","",INDEX('状态价值'!$D2:$K2,MATCH(F130,'状态价值'!$D$1:$K$1,0)))</f>
        <v/>
      </c>
      <c r="H130" s="15">
        <f>NORM.S.INV(RAND())</f>
        <v/>
      </c>
      <c r="I130" s="15">
        <f>IF('组合输入'!$C3="","",'组合输入'!$H3*$B130+SQRT(1-'组合输入'!$H3^2)*H130)</f>
        <v/>
      </c>
      <c r="J130" s="7">
        <f>IF(I130="","",NORM.S.DIST(I130,TRUE))</f>
        <v/>
      </c>
      <c r="K130" s="13">
        <f>IF(J130="","",IF(J130&lt;='组合输入'!$K3,"AAA",IF(J130&lt;='组合输入'!$L3,"AA",IF(J130&lt;='组合输入'!$M3,"A",IF(J130&lt;='组合输入'!$N3,"BBB",IF(J130&lt;='组合输入'!$O3,"BB",IF(J130&lt;='组合输入'!$P3,"B",IF(J130&lt;='组合输入'!$Q3,"CCC","D")))))))</f>
        <v/>
      </c>
      <c r="L130" s="12">
        <f>IF(K130="","",INDEX('状态价值'!$D3:$K3,MATCH(K130,'状态价值'!$D$1:$K$1,0)))</f>
        <v/>
      </c>
      <c r="M130" s="15">
        <f>NORM.S.INV(RAND())</f>
        <v/>
      </c>
      <c r="N130" s="15">
        <f>IF('组合输入'!$C4="","",'组合输入'!$H4*$B130+SQRT(1-'组合输入'!$H4^2)*M130)</f>
        <v/>
      </c>
      <c r="O130" s="7">
        <f>IF(N130="","",NORM.S.DIST(N130,TRUE))</f>
        <v/>
      </c>
      <c r="P130" s="13">
        <f>IF(O130="","",IF(O130&lt;='组合输入'!$K4,"AAA",IF(O130&lt;='组合输入'!$L4,"AA",IF(O130&lt;='组合输入'!$M4,"A",IF(O130&lt;='组合输入'!$N4,"BBB",IF(O130&lt;='组合输入'!$O4,"BB",IF(O130&lt;='组合输入'!$P4,"B",IF(O130&lt;='组合输入'!$Q4,"CCC","D")))))))</f>
        <v/>
      </c>
      <c r="Q130" s="12">
        <f>IF(P130="","",INDEX('状态价值'!$D4:$K4,MATCH(P130,'状态价值'!$D$1:$K$1,0)))</f>
        <v/>
      </c>
      <c r="R130" s="15">
        <f>NORM.S.INV(RAND())</f>
        <v/>
      </c>
      <c r="S130" s="15">
        <f>IF('组合输入'!$C5="","",'组合输入'!$H5*$B130+SQRT(1-'组合输入'!$H5^2)*R130)</f>
        <v/>
      </c>
      <c r="T130" s="7">
        <f>IF(S130="","",NORM.S.DIST(S130,TRUE))</f>
        <v/>
      </c>
      <c r="U130" s="13">
        <f>IF(T130="","",IF(T130&lt;='组合输入'!$K5,"AAA",IF(T130&lt;='组合输入'!$L5,"AA",IF(T130&lt;='组合输入'!$M5,"A",IF(T130&lt;='组合输入'!$N5,"BBB",IF(T130&lt;='组合输入'!$O5,"BB",IF(T130&lt;='组合输入'!$P5,"B",IF(T130&lt;='组合输入'!$Q5,"CCC","D")))))))</f>
        <v/>
      </c>
      <c r="V130" s="12">
        <f>IF(U130="","",INDEX('状态价值'!$D5:$K5,MATCH(U130,'状态价值'!$D$1:$K$1,0)))</f>
        <v/>
      </c>
      <c r="W130" s="15">
        <f>NORM.S.INV(RAND())</f>
        <v/>
      </c>
      <c r="X130" s="15">
        <f>IF('组合输入'!$C6="","",'组合输入'!$H6*$B130+SQRT(1-'组合输入'!$H6^2)*W130)</f>
        <v/>
      </c>
      <c r="Y130" s="7">
        <f>IF(X130="","",NORM.S.DIST(X130,TRUE))</f>
        <v/>
      </c>
      <c r="Z130" s="13">
        <f>IF(Y130="","",IF(Y130&lt;='组合输入'!$K6,"AAA",IF(Y130&lt;='组合输入'!$L6,"AA",IF(Y130&lt;='组合输入'!$M6,"A",IF(Y130&lt;='组合输入'!$N6,"BBB",IF(Y130&lt;='组合输入'!$O6,"BB",IF(Y130&lt;='组合输入'!$P6,"B",IF(Y130&lt;='组合输入'!$Q6,"CCC","D")))))))</f>
        <v/>
      </c>
      <c r="AA130" s="12">
        <f>IF(Z130="","",INDEX('状态价值'!$D6:$K6,MATCH(Z130,'状态价值'!$D$1:$K$1,0)))</f>
        <v/>
      </c>
      <c r="AB130" s="15">
        <f>NORM.S.INV(RAND())</f>
        <v/>
      </c>
      <c r="AC130" s="15">
        <f>IF('组合输入'!$C7="","",'组合输入'!$H7*$B130+SQRT(1-'组合输入'!$H7^2)*AB130)</f>
        <v/>
      </c>
      <c r="AD130" s="7">
        <f>IF(AC130="","",NORM.S.DIST(AC130,TRUE))</f>
        <v/>
      </c>
      <c r="AE130" s="13">
        <f>IF(AD130="","",IF(AD130&lt;='组合输入'!$K7,"AAA",IF(AD130&lt;='组合输入'!$L7,"AA",IF(AD130&lt;='组合输入'!$M7,"A",IF(AD130&lt;='组合输入'!$N7,"BBB",IF(AD130&lt;='组合输入'!$O7,"BB",IF(AD130&lt;='组合输入'!$P7,"B",IF(AD130&lt;='组合输入'!$Q7,"CCC","D")))))))</f>
        <v/>
      </c>
      <c r="AF130" s="12">
        <f>IF(AE130="","",INDEX('状态价值'!$D7:$K7,MATCH(AE130,'状态价值'!$D$1:$K$1,0)))</f>
        <v/>
      </c>
      <c r="AG130" s="15">
        <f>NORM.S.INV(RAND())</f>
        <v/>
      </c>
      <c r="AH130" s="15">
        <f>IF('组合输入'!$C8="","",'组合输入'!$H8*$B130+SQRT(1-'组合输入'!$H8^2)*AG130)</f>
        <v/>
      </c>
      <c r="AI130" s="7">
        <f>IF(AH130="","",NORM.S.DIST(AH130,TRUE))</f>
        <v/>
      </c>
      <c r="AJ130" s="13">
        <f>IF(AI130="","",IF(AI130&lt;='组合输入'!$K8,"AAA",IF(AI130&lt;='组合输入'!$L8,"AA",IF(AI130&lt;='组合输入'!$M8,"A",IF(AI130&lt;='组合输入'!$N8,"BBB",IF(AI130&lt;='组合输入'!$O8,"BB",IF(AI130&lt;='组合输入'!$P8,"B",IF(AI130&lt;='组合输入'!$Q8,"CCC","D")))))))</f>
        <v/>
      </c>
      <c r="AK130" s="12">
        <f>IF(AJ130="","",INDEX('状态价值'!$D8:$K8,MATCH(AJ130,'状态价值'!$D$1:$K$1,0)))</f>
        <v/>
      </c>
      <c r="AL130" s="15">
        <f>NORM.S.INV(RAND())</f>
        <v/>
      </c>
      <c r="AM130" s="15">
        <f>IF('组合输入'!$C9="","",'组合输入'!$H9*$B130+SQRT(1-'组合输入'!$H9^2)*AL130)</f>
        <v/>
      </c>
      <c r="AN130" s="7">
        <f>IF(AM130="","",NORM.S.DIST(AM130,TRUE))</f>
        <v/>
      </c>
      <c r="AO130" s="13">
        <f>IF(AN130="","",IF(AN130&lt;='组合输入'!$K9,"AAA",IF(AN130&lt;='组合输入'!$L9,"AA",IF(AN130&lt;='组合输入'!$M9,"A",IF(AN130&lt;='组合输入'!$N9,"BBB",IF(AN130&lt;='组合输入'!$O9,"BB",IF(AN130&lt;='组合输入'!$P9,"B",IF(AN130&lt;='组合输入'!$Q9,"CCC","D")))))))</f>
        <v/>
      </c>
      <c r="AP130" s="12">
        <f>IF(AO130="","",INDEX('状态价值'!$D9:$K9,MATCH(AO130,'状态价值'!$D$1:$K$1,0)))</f>
        <v/>
      </c>
      <c r="AQ130" s="15">
        <f>NORM.S.INV(RAND())</f>
        <v/>
      </c>
      <c r="AR130" s="15">
        <f>IF('组合输入'!$C10="","",'组合输入'!$H10*$B130+SQRT(1-'组合输入'!$H10^2)*AQ130)</f>
        <v/>
      </c>
      <c r="AS130" s="7">
        <f>IF(AR130="","",NORM.S.DIST(AR130,TRUE))</f>
        <v/>
      </c>
      <c r="AT130" s="13">
        <f>IF(AS130="","",IF(AS130&lt;='组合输入'!$K10,"AAA",IF(AS130&lt;='组合输入'!$L10,"AA",IF(AS130&lt;='组合输入'!$M10,"A",IF(AS130&lt;='组合输入'!$N10,"BBB",IF(AS130&lt;='组合输入'!$O10,"BB",IF(AS130&lt;='组合输入'!$P10,"B",IF(AS130&lt;='组合输入'!$Q10,"CCC","D")))))))</f>
        <v/>
      </c>
      <c r="AU130" s="12">
        <f>IF(AT130="","",INDEX('状态价值'!$D10:$K10,MATCH(AT130,'状态价值'!$D$1:$K$1,0)))</f>
        <v/>
      </c>
      <c r="AV130" s="15">
        <f>NORM.S.INV(RAND())</f>
        <v/>
      </c>
      <c r="AW130" s="15">
        <f>IF('组合输入'!$C11="","",'组合输入'!$H11*$B130+SQRT(1-'组合输入'!$H11^2)*AV130)</f>
        <v/>
      </c>
      <c r="AX130" s="7">
        <f>IF(AW130="","",NORM.S.DIST(AW130,TRUE))</f>
        <v/>
      </c>
      <c r="AY130" s="13">
        <f>IF(AX130="","",IF(AX130&lt;='组合输入'!$K11,"AAA",IF(AX130&lt;='组合输入'!$L11,"AA",IF(AX130&lt;='组合输入'!$M11,"A",IF(AX130&lt;='组合输入'!$N11,"BBB",IF(AX130&lt;='组合输入'!$O11,"BB",IF(AX130&lt;='组合输入'!$P11,"B",IF(AX130&lt;='组合输入'!$Q11,"CCC","D")))))))</f>
        <v/>
      </c>
      <c r="AZ130" s="12">
        <f>IF(AY130="","",INDEX('状态价值'!$D11:$K11,MATCH(AY130,'状态价值'!$D$1:$K$1,0)))</f>
        <v/>
      </c>
      <c r="BA130" s="12">
        <f>G130+L130+Q130+V130+AA130+AF130+AK130+AP130+AU130+AZ130</f>
        <v/>
      </c>
      <c r="BB130" s="12">
        <f>SUM('组合输入'!$J$2:$J$11)-BA130</f>
        <v/>
      </c>
    </row>
    <row r="131">
      <c r="A131" s="11" t="n">
        <v>130</v>
      </c>
      <c r="B131" s="14">
        <f>NORM.S.INV(RAND())</f>
        <v/>
      </c>
      <c r="C131" s="14">
        <f>NORM.S.INV(RAND())</f>
        <v/>
      </c>
      <c r="D131" s="15">
        <f>IF('组合输入'!$C2="","",'组合输入'!$H2*$B131+SQRT(1-'组合输入'!$H2^2)*C131)</f>
        <v/>
      </c>
      <c r="E131" s="7">
        <f>IF(D131="","",NORM.S.DIST(D131,TRUE))</f>
        <v/>
      </c>
      <c r="F131" s="13">
        <f>IF(E131="","",IF(E131&lt;='组合输入'!$K2,"AAA",IF(E131&lt;='组合输入'!$L2,"AA",IF(E131&lt;='组合输入'!$M2,"A",IF(E131&lt;='组合输入'!$N2,"BBB",IF(E131&lt;='组合输入'!$O2,"BB",IF(E131&lt;='组合输入'!$P2,"B",IF(E131&lt;='组合输入'!$Q2,"CCC","D")))))))</f>
        <v/>
      </c>
      <c r="G131" s="12">
        <f>IF(F131="","",INDEX('状态价值'!$D2:$K2,MATCH(F131,'状态价值'!$D$1:$K$1,0)))</f>
        <v/>
      </c>
      <c r="H131" s="15">
        <f>NORM.S.INV(RAND())</f>
        <v/>
      </c>
      <c r="I131" s="15">
        <f>IF('组合输入'!$C3="","",'组合输入'!$H3*$B131+SQRT(1-'组合输入'!$H3^2)*H131)</f>
        <v/>
      </c>
      <c r="J131" s="7">
        <f>IF(I131="","",NORM.S.DIST(I131,TRUE))</f>
        <v/>
      </c>
      <c r="K131" s="13">
        <f>IF(J131="","",IF(J131&lt;='组合输入'!$K3,"AAA",IF(J131&lt;='组合输入'!$L3,"AA",IF(J131&lt;='组合输入'!$M3,"A",IF(J131&lt;='组合输入'!$N3,"BBB",IF(J131&lt;='组合输入'!$O3,"BB",IF(J131&lt;='组合输入'!$P3,"B",IF(J131&lt;='组合输入'!$Q3,"CCC","D")))))))</f>
        <v/>
      </c>
      <c r="L131" s="12">
        <f>IF(K131="","",INDEX('状态价值'!$D3:$K3,MATCH(K131,'状态价值'!$D$1:$K$1,0)))</f>
        <v/>
      </c>
      <c r="M131" s="15">
        <f>NORM.S.INV(RAND())</f>
        <v/>
      </c>
      <c r="N131" s="15">
        <f>IF('组合输入'!$C4="","",'组合输入'!$H4*$B131+SQRT(1-'组合输入'!$H4^2)*M131)</f>
        <v/>
      </c>
      <c r="O131" s="7">
        <f>IF(N131="","",NORM.S.DIST(N131,TRUE))</f>
        <v/>
      </c>
      <c r="P131" s="13">
        <f>IF(O131="","",IF(O131&lt;='组合输入'!$K4,"AAA",IF(O131&lt;='组合输入'!$L4,"AA",IF(O131&lt;='组合输入'!$M4,"A",IF(O131&lt;='组合输入'!$N4,"BBB",IF(O131&lt;='组合输入'!$O4,"BB",IF(O131&lt;='组合输入'!$P4,"B",IF(O131&lt;='组合输入'!$Q4,"CCC","D")))))))</f>
        <v/>
      </c>
      <c r="Q131" s="12">
        <f>IF(P131="","",INDEX('状态价值'!$D4:$K4,MATCH(P131,'状态价值'!$D$1:$K$1,0)))</f>
        <v/>
      </c>
      <c r="R131" s="15">
        <f>NORM.S.INV(RAND())</f>
        <v/>
      </c>
      <c r="S131" s="15">
        <f>IF('组合输入'!$C5="","",'组合输入'!$H5*$B131+SQRT(1-'组合输入'!$H5^2)*R131)</f>
        <v/>
      </c>
      <c r="T131" s="7">
        <f>IF(S131="","",NORM.S.DIST(S131,TRUE))</f>
        <v/>
      </c>
      <c r="U131" s="13">
        <f>IF(T131="","",IF(T131&lt;='组合输入'!$K5,"AAA",IF(T131&lt;='组合输入'!$L5,"AA",IF(T131&lt;='组合输入'!$M5,"A",IF(T131&lt;='组合输入'!$N5,"BBB",IF(T131&lt;='组合输入'!$O5,"BB",IF(T131&lt;='组合输入'!$P5,"B",IF(T131&lt;='组合输入'!$Q5,"CCC","D")))))))</f>
        <v/>
      </c>
      <c r="V131" s="12">
        <f>IF(U131="","",INDEX('状态价值'!$D5:$K5,MATCH(U131,'状态价值'!$D$1:$K$1,0)))</f>
        <v/>
      </c>
      <c r="W131" s="15">
        <f>NORM.S.INV(RAND())</f>
        <v/>
      </c>
      <c r="X131" s="15">
        <f>IF('组合输入'!$C6="","",'组合输入'!$H6*$B131+SQRT(1-'组合输入'!$H6^2)*W131)</f>
        <v/>
      </c>
      <c r="Y131" s="7">
        <f>IF(X131="","",NORM.S.DIST(X131,TRUE))</f>
        <v/>
      </c>
      <c r="Z131" s="13">
        <f>IF(Y131="","",IF(Y131&lt;='组合输入'!$K6,"AAA",IF(Y131&lt;='组合输入'!$L6,"AA",IF(Y131&lt;='组合输入'!$M6,"A",IF(Y131&lt;='组合输入'!$N6,"BBB",IF(Y131&lt;='组合输入'!$O6,"BB",IF(Y131&lt;='组合输入'!$P6,"B",IF(Y131&lt;='组合输入'!$Q6,"CCC","D")))))))</f>
        <v/>
      </c>
      <c r="AA131" s="12">
        <f>IF(Z131="","",INDEX('状态价值'!$D6:$K6,MATCH(Z131,'状态价值'!$D$1:$K$1,0)))</f>
        <v/>
      </c>
      <c r="AB131" s="15">
        <f>NORM.S.INV(RAND())</f>
        <v/>
      </c>
      <c r="AC131" s="15">
        <f>IF('组合输入'!$C7="","",'组合输入'!$H7*$B131+SQRT(1-'组合输入'!$H7^2)*AB131)</f>
        <v/>
      </c>
      <c r="AD131" s="7">
        <f>IF(AC131="","",NORM.S.DIST(AC131,TRUE))</f>
        <v/>
      </c>
      <c r="AE131" s="13">
        <f>IF(AD131="","",IF(AD131&lt;='组合输入'!$K7,"AAA",IF(AD131&lt;='组合输入'!$L7,"AA",IF(AD131&lt;='组合输入'!$M7,"A",IF(AD131&lt;='组合输入'!$N7,"BBB",IF(AD131&lt;='组合输入'!$O7,"BB",IF(AD131&lt;='组合输入'!$P7,"B",IF(AD131&lt;='组合输入'!$Q7,"CCC","D")))))))</f>
        <v/>
      </c>
      <c r="AF131" s="12">
        <f>IF(AE131="","",INDEX('状态价值'!$D7:$K7,MATCH(AE131,'状态价值'!$D$1:$K$1,0)))</f>
        <v/>
      </c>
      <c r="AG131" s="15">
        <f>NORM.S.INV(RAND())</f>
        <v/>
      </c>
      <c r="AH131" s="15">
        <f>IF('组合输入'!$C8="","",'组合输入'!$H8*$B131+SQRT(1-'组合输入'!$H8^2)*AG131)</f>
        <v/>
      </c>
      <c r="AI131" s="7">
        <f>IF(AH131="","",NORM.S.DIST(AH131,TRUE))</f>
        <v/>
      </c>
      <c r="AJ131" s="13">
        <f>IF(AI131="","",IF(AI131&lt;='组合输入'!$K8,"AAA",IF(AI131&lt;='组合输入'!$L8,"AA",IF(AI131&lt;='组合输入'!$M8,"A",IF(AI131&lt;='组合输入'!$N8,"BBB",IF(AI131&lt;='组合输入'!$O8,"BB",IF(AI131&lt;='组合输入'!$P8,"B",IF(AI131&lt;='组合输入'!$Q8,"CCC","D")))))))</f>
        <v/>
      </c>
      <c r="AK131" s="12">
        <f>IF(AJ131="","",INDEX('状态价值'!$D8:$K8,MATCH(AJ131,'状态价值'!$D$1:$K$1,0)))</f>
        <v/>
      </c>
      <c r="AL131" s="15">
        <f>NORM.S.INV(RAND())</f>
        <v/>
      </c>
      <c r="AM131" s="15">
        <f>IF('组合输入'!$C9="","",'组合输入'!$H9*$B131+SQRT(1-'组合输入'!$H9^2)*AL131)</f>
        <v/>
      </c>
      <c r="AN131" s="7">
        <f>IF(AM131="","",NORM.S.DIST(AM131,TRUE))</f>
        <v/>
      </c>
      <c r="AO131" s="13">
        <f>IF(AN131="","",IF(AN131&lt;='组合输入'!$K9,"AAA",IF(AN131&lt;='组合输入'!$L9,"AA",IF(AN131&lt;='组合输入'!$M9,"A",IF(AN131&lt;='组合输入'!$N9,"BBB",IF(AN131&lt;='组合输入'!$O9,"BB",IF(AN131&lt;='组合输入'!$P9,"B",IF(AN131&lt;='组合输入'!$Q9,"CCC","D")))))))</f>
        <v/>
      </c>
      <c r="AP131" s="12">
        <f>IF(AO131="","",INDEX('状态价值'!$D9:$K9,MATCH(AO131,'状态价值'!$D$1:$K$1,0)))</f>
        <v/>
      </c>
      <c r="AQ131" s="15">
        <f>NORM.S.INV(RAND())</f>
        <v/>
      </c>
      <c r="AR131" s="15">
        <f>IF('组合输入'!$C10="","",'组合输入'!$H10*$B131+SQRT(1-'组合输入'!$H10^2)*AQ131)</f>
        <v/>
      </c>
      <c r="AS131" s="7">
        <f>IF(AR131="","",NORM.S.DIST(AR131,TRUE))</f>
        <v/>
      </c>
      <c r="AT131" s="13">
        <f>IF(AS131="","",IF(AS131&lt;='组合输入'!$K10,"AAA",IF(AS131&lt;='组合输入'!$L10,"AA",IF(AS131&lt;='组合输入'!$M10,"A",IF(AS131&lt;='组合输入'!$N10,"BBB",IF(AS131&lt;='组合输入'!$O10,"BB",IF(AS131&lt;='组合输入'!$P10,"B",IF(AS131&lt;='组合输入'!$Q10,"CCC","D")))))))</f>
        <v/>
      </c>
      <c r="AU131" s="12">
        <f>IF(AT131="","",INDEX('状态价值'!$D10:$K10,MATCH(AT131,'状态价值'!$D$1:$K$1,0)))</f>
        <v/>
      </c>
      <c r="AV131" s="15">
        <f>NORM.S.INV(RAND())</f>
        <v/>
      </c>
      <c r="AW131" s="15">
        <f>IF('组合输入'!$C11="","",'组合输入'!$H11*$B131+SQRT(1-'组合输入'!$H11^2)*AV131)</f>
        <v/>
      </c>
      <c r="AX131" s="7">
        <f>IF(AW131="","",NORM.S.DIST(AW131,TRUE))</f>
        <v/>
      </c>
      <c r="AY131" s="13">
        <f>IF(AX131="","",IF(AX131&lt;='组合输入'!$K11,"AAA",IF(AX131&lt;='组合输入'!$L11,"AA",IF(AX131&lt;='组合输入'!$M11,"A",IF(AX131&lt;='组合输入'!$N11,"BBB",IF(AX131&lt;='组合输入'!$O11,"BB",IF(AX131&lt;='组合输入'!$P11,"B",IF(AX131&lt;='组合输入'!$Q11,"CCC","D")))))))</f>
        <v/>
      </c>
      <c r="AZ131" s="12">
        <f>IF(AY131="","",INDEX('状态价值'!$D11:$K11,MATCH(AY131,'状态价值'!$D$1:$K$1,0)))</f>
        <v/>
      </c>
      <c r="BA131" s="12">
        <f>G131+L131+Q131+V131+AA131+AF131+AK131+AP131+AU131+AZ131</f>
        <v/>
      </c>
      <c r="BB131" s="12">
        <f>SUM('组合输入'!$J$2:$J$11)-BA131</f>
        <v/>
      </c>
    </row>
    <row r="132">
      <c r="A132" s="11" t="n">
        <v>131</v>
      </c>
      <c r="B132" s="14">
        <f>NORM.S.INV(RAND())</f>
        <v/>
      </c>
      <c r="C132" s="14">
        <f>NORM.S.INV(RAND())</f>
        <v/>
      </c>
      <c r="D132" s="15">
        <f>IF('组合输入'!$C2="","",'组合输入'!$H2*$B132+SQRT(1-'组合输入'!$H2^2)*C132)</f>
        <v/>
      </c>
      <c r="E132" s="7">
        <f>IF(D132="","",NORM.S.DIST(D132,TRUE))</f>
        <v/>
      </c>
      <c r="F132" s="13">
        <f>IF(E132="","",IF(E132&lt;='组合输入'!$K2,"AAA",IF(E132&lt;='组合输入'!$L2,"AA",IF(E132&lt;='组合输入'!$M2,"A",IF(E132&lt;='组合输入'!$N2,"BBB",IF(E132&lt;='组合输入'!$O2,"BB",IF(E132&lt;='组合输入'!$P2,"B",IF(E132&lt;='组合输入'!$Q2,"CCC","D")))))))</f>
        <v/>
      </c>
      <c r="G132" s="12">
        <f>IF(F132="","",INDEX('状态价值'!$D2:$K2,MATCH(F132,'状态价值'!$D$1:$K$1,0)))</f>
        <v/>
      </c>
      <c r="H132" s="15">
        <f>NORM.S.INV(RAND())</f>
        <v/>
      </c>
      <c r="I132" s="15">
        <f>IF('组合输入'!$C3="","",'组合输入'!$H3*$B132+SQRT(1-'组合输入'!$H3^2)*H132)</f>
        <v/>
      </c>
      <c r="J132" s="7">
        <f>IF(I132="","",NORM.S.DIST(I132,TRUE))</f>
        <v/>
      </c>
      <c r="K132" s="13">
        <f>IF(J132="","",IF(J132&lt;='组合输入'!$K3,"AAA",IF(J132&lt;='组合输入'!$L3,"AA",IF(J132&lt;='组合输入'!$M3,"A",IF(J132&lt;='组合输入'!$N3,"BBB",IF(J132&lt;='组合输入'!$O3,"BB",IF(J132&lt;='组合输入'!$P3,"B",IF(J132&lt;='组合输入'!$Q3,"CCC","D")))))))</f>
        <v/>
      </c>
      <c r="L132" s="12">
        <f>IF(K132="","",INDEX('状态价值'!$D3:$K3,MATCH(K132,'状态价值'!$D$1:$K$1,0)))</f>
        <v/>
      </c>
      <c r="M132" s="15">
        <f>NORM.S.INV(RAND())</f>
        <v/>
      </c>
      <c r="N132" s="15">
        <f>IF('组合输入'!$C4="","",'组合输入'!$H4*$B132+SQRT(1-'组合输入'!$H4^2)*M132)</f>
        <v/>
      </c>
      <c r="O132" s="7">
        <f>IF(N132="","",NORM.S.DIST(N132,TRUE))</f>
        <v/>
      </c>
      <c r="P132" s="13">
        <f>IF(O132="","",IF(O132&lt;='组合输入'!$K4,"AAA",IF(O132&lt;='组合输入'!$L4,"AA",IF(O132&lt;='组合输入'!$M4,"A",IF(O132&lt;='组合输入'!$N4,"BBB",IF(O132&lt;='组合输入'!$O4,"BB",IF(O132&lt;='组合输入'!$P4,"B",IF(O132&lt;='组合输入'!$Q4,"CCC","D")))))))</f>
        <v/>
      </c>
      <c r="Q132" s="12">
        <f>IF(P132="","",INDEX('状态价值'!$D4:$K4,MATCH(P132,'状态价值'!$D$1:$K$1,0)))</f>
        <v/>
      </c>
      <c r="R132" s="15">
        <f>NORM.S.INV(RAND())</f>
        <v/>
      </c>
      <c r="S132" s="15">
        <f>IF('组合输入'!$C5="","",'组合输入'!$H5*$B132+SQRT(1-'组合输入'!$H5^2)*R132)</f>
        <v/>
      </c>
      <c r="T132" s="7">
        <f>IF(S132="","",NORM.S.DIST(S132,TRUE))</f>
        <v/>
      </c>
      <c r="U132" s="13">
        <f>IF(T132="","",IF(T132&lt;='组合输入'!$K5,"AAA",IF(T132&lt;='组合输入'!$L5,"AA",IF(T132&lt;='组合输入'!$M5,"A",IF(T132&lt;='组合输入'!$N5,"BBB",IF(T132&lt;='组合输入'!$O5,"BB",IF(T132&lt;='组合输入'!$P5,"B",IF(T132&lt;='组合输入'!$Q5,"CCC","D")))))))</f>
        <v/>
      </c>
      <c r="V132" s="12">
        <f>IF(U132="","",INDEX('状态价值'!$D5:$K5,MATCH(U132,'状态价值'!$D$1:$K$1,0)))</f>
        <v/>
      </c>
      <c r="W132" s="15">
        <f>NORM.S.INV(RAND())</f>
        <v/>
      </c>
      <c r="X132" s="15">
        <f>IF('组合输入'!$C6="","",'组合输入'!$H6*$B132+SQRT(1-'组合输入'!$H6^2)*W132)</f>
        <v/>
      </c>
      <c r="Y132" s="7">
        <f>IF(X132="","",NORM.S.DIST(X132,TRUE))</f>
        <v/>
      </c>
      <c r="Z132" s="13">
        <f>IF(Y132="","",IF(Y132&lt;='组合输入'!$K6,"AAA",IF(Y132&lt;='组合输入'!$L6,"AA",IF(Y132&lt;='组合输入'!$M6,"A",IF(Y132&lt;='组合输入'!$N6,"BBB",IF(Y132&lt;='组合输入'!$O6,"BB",IF(Y132&lt;='组合输入'!$P6,"B",IF(Y132&lt;='组合输入'!$Q6,"CCC","D")))))))</f>
        <v/>
      </c>
      <c r="AA132" s="12">
        <f>IF(Z132="","",INDEX('状态价值'!$D6:$K6,MATCH(Z132,'状态价值'!$D$1:$K$1,0)))</f>
        <v/>
      </c>
      <c r="AB132" s="15">
        <f>NORM.S.INV(RAND())</f>
        <v/>
      </c>
      <c r="AC132" s="15">
        <f>IF('组合输入'!$C7="","",'组合输入'!$H7*$B132+SQRT(1-'组合输入'!$H7^2)*AB132)</f>
        <v/>
      </c>
      <c r="AD132" s="7">
        <f>IF(AC132="","",NORM.S.DIST(AC132,TRUE))</f>
        <v/>
      </c>
      <c r="AE132" s="13">
        <f>IF(AD132="","",IF(AD132&lt;='组合输入'!$K7,"AAA",IF(AD132&lt;='组合输入'!$L7,"AA",IF(AD132&lt;='组合输入'!$M7,"A",IF(AD132&lt;='组合输入'!$N7,"BBB",IF(AD132&lt;='组合输入'!$O7,"BB",IF(AD132&lt;='组合输入'!$P7,"B",IF(AD132&lt;='组合输入'!$Q7,"CCC","D")))))))</f>
        <v/>
      </c>
      <c r="AF132" s="12">
        <f>IF(AE132="","",INDEX('状态价值'!$D7:$K7,MATCH(AE132,'状态价值'!$D$1:$K$1,0)))</f>
        <v/>
      </c>
      <c r="AG132" s="15">
        <f>NORM.S.INV(RAND())</f>
        <v/>
      </c>
      <c r="AH132" s="15">
        <f>IF('组合输入'!$C8="","",'组合输入'!$H8*$B132+SQRT(1-'组合输入'!$H8^2)*AG132)</f>
        <v/>
      </c>
      <c r="AI132" s="7">
        <f>IF(AH132="","",NORM.S.DIST(AH132,TRUE))</f>
        <v/>
      </c>
      <c r="AJ132" s="13">
        <f>IF(AI132="","",IF(AI132&lt;='组合输入'!$K8,"AAA",IF(AI132&lt;='组合输入'!$L8,"AA",IF(AI132&lt;='组合输入'!$M8,"A",IF(AI132&lt;='组合输入'!$N8,"BBB",IF(AI132&lt;='组合输入'!$O8,"BB",IF(AI132&lt;='组合输入'!$P8,"B",IF(AI132&lt;='组合输入'!$Q8,"CCC","D")))))))</f>
        <v/>
      </c>
      <c r="AK132" s="12">
        <f>IF(AJ132="","",INDEX('状态价值'!$D8:$K8,MATCH(AJ132,'状态价值'!$D$1:$K$1,0)))</f>
        <v/>
      </c>
      <c r="AL132" s="15">
        <f>NORM.S.INV(RAND())</f>
        <v/>
      </c>
      <c r="AM132" s="15">
        <f>IF('组合输入'!$C9="","",'组合输入'!$H9*$B132+SQRT(1-'组合输入'!$H9^2)*AL132)</f>
        <v/>
      </c>
      <c r="AN132" s="7">
        <f>IF(AM132="","",NORM.S.DIST(AM132,TRUE))</f>
        <v/>
      </c>
      <c r="AO132" s="13">
        <f>IF(AN132="","",IF(AN132&lt;='组合输入'!$K9,"AAA",IF(AN132&lt;='组合输入'!$L9,"AA",IF(AN132&lt;='组合输入'!$M9,"A",IF(AN132&lt;='组合输入'!$N9,"BBB",IF(AN132&lt;='组合输入'!$O9,"BB",IF(AN132&lt;='组合输入'!$P9,"B",IF(AN132&lt;='组合输入'!$Q9,"CCC","D")))))))</f>
        <v/>
      </c>
      <c r="AP132" s="12">
        <f>IF(AO132="","",INDEX('状态价值'!$D9:$K9,MATCH(AO132,'状态价值'!$D$1:$K$1,0)))</f>
        <v/>
      </c>
      <c r="AQ132" s="15">
        <f>NORM.S.INV(RAND())</f>
        <v/>
      </c>
      <c r="AR132" s="15">
        <f>IF('组合输入'!$C10="","",'组合输入'!$H10*$B132+SQRT(1-'组合输入'!$H10^2)*AQ132)</f>
        <v/>
      </c>
      <c r="AS132" s="7">
        <f>IF(AR132="","",NORM.S.DIST(AR132,TRUE))</f>
        <v/>
      </c>
      <c r="AT132" s="13">
        <f>IF(AS132="","",IF(AS132&lt;='组合输入'!$K10,"AAA",IF(AS132&lt;='组合输入'!$L10,"AA",IF(AS132&lt;='组合输入'!$M10,"A",IF(AS132&lt;='组合输入'!$N10,"BBB",IF(AS132&lt;='组合输入'!$O10,"BB",IF(AS132&lt;='组合输入'!$P10,"B",IF(AS132&lt;='组合输入'!$Q10,"CCC","D")))))))</f>
        <v/>
      </c>
      <c r="AU132" s="12">
        <f>IF(AT132="","",INDEX('状态价值'!$D10:$K10,MATCH(AT132,'状态价值'!$D$1:$K$1,0)))</f>
        <v/>
      </c>
      <c r="AV132" s="15">
        <f>NORM.S.INV(RAND())</f>
        <v/>
      </c>
      <c r="AW132" s="15">
        <f>IF('组合输入'!$C11="","",'组合输入'!$H11*$B132+SQRT(1-'组合输入'!$H11^2)*AV132)</f>
        <v/>
      </c>
      <c r="AX132" s="7">
        <f>IF(AW132="","",NORM.S.DIST(AW132,TRUE))</f>
        <v/>
      </c>
      <c r="AY132" s="13">
        <f>IF(AX132="","",IF(AX132&lt;='组合输入'!$K11,"AAA",IF(AX132&lt;='组合输入'!$L11,"AA",IF(AX132&lt;='组合输入'!$M11,"A",IF(AX132&lt;='组合输入'!$N11,"BBB",IF(AX132&lt;='组合输入'!$O11,"BB",IF(AX132&lt;='组合输入'!$P11,"B",IF(AX132&lt;='组合输入'!$Q11,"CCC","D")))))))</f>
        <v/>
      </c>
      <c r="AZ132" s="12">
        <f>IF(AY132="","",INDEX('状态价值'!$D11:$K11,MATCH(AY132,'状态价值'!$D$1:$K$1,0)))</f>
        <v/>
      </c>
      <c r="BA132" s="12">
        <f>G132+L132+Q132+V132+AA132+AF132+AK132+AP132+AU132+AZ132</f>
        <v/>
      </c>
      <c r="BB132" s="12">
        <f>SUM('组合输入'!$J$2:$J$11)-BA132</f>
        <v/>
      </c>
    </row>
    <row r="133">
      <c r="A133" s="11" t="n">
        <v>132</v>
      </c>
      <c r="B133" s="14">
        <f>NORM.S.INV(RAND())</f>
        <v/>
      </c>
      <c r="C133" s="14">
        <f>NORM.S.INV(RAND())</f>
        <v/>
      </c>
      <c r="D133" s="15">
        <f>IF('组合输入'!$C2="","",'组合输入'!$H2*$B133+SQRT(1-'组合输入'!$H2^2)*C133)</f>
        <v/>
      </c>
      <c r="E133" s="7">
        <f>IF(D133="","",NORM.S.DIST(D133,TRUE))</f>
        <v/>
      </c>
      <c r="F133" s="13">
        <f>IF(E133="","",IF(E133&lt;='组合输入'!$K2,"AAA",IF(E133&lt;='组合输入'!$L2,"AA",IF(E133&lt;='组合输入'!$M2,"A",IF(E133&lt;='组合输入'!$N2,"BBB",IF(E133&lt;='组合输入'!$O2,"BB",IF(E133&lt;='组合输入'!$P2,"B",IF(E133&lt;='组合输入'!$Q2,"CCC","D")))))))</f>
        <v/>
      </c>
      <c r="G133" s="12">
        <f>IF(F133="","",INDEX('状态价值'!$D2:$K2,MATCH(F133,'状态价值'!$D$1:$K$1,0)))</f>
        <v/>
      </c>
      <c r="H133" s="15">
        <f>NORM.S.INV(RAND())</f>
        <v/>
      </c>
      <c r="I133" s="15">
        <f>IF('组合输入'!$C3="","",'组合输入'!$H3*$B133+SQRT(1-'组合输入'!$H3^2)*H133)</f>
        <v/>
      </c>
      <c r="J133" s="7">
        <f>IF(I133="","",NORM.S.DIST(I133,TRUE))</f>
        <v/>
      </c>
      <c r="K133" s="13">
        <f>IF(J133="","",IF(J133&lt;='组合输入'!$K3,"AAA",IF(J133&lt;='组合输入'!$L3,"AA",IF(J133&lt;='组合输入'!$M3,"A",IF(J133&lt;='组合输入'!$N3,"BBB",IF(J133&lt;='组合输入'!$O3,"BB",IF(J133&lt;='组合输入'!$P3,"B",IF(J133&lt;='组合输入'!$Q3,"CCC","D")))))))</f>
        <v/>
      </c>
      <c r="L133" s="12">
        <f>IF(K133="","",INDEX('状态价值'!$D3:$K3,MATCH(K133,'状态价值'!$D$1:$K$1,0)))</f>
        <v/>
      </c>
      <c r="M133" s="15">
        <f>NORM.S.INV(RAND())</f>
        <v/>
      </c>
      <c r="N133" s="15">
        <f>IF('组合输入'!$C4="","",'组合输入'!$H4*$B133+SQRT(1-'组合输入'!$H4^2)*M133)</f>
        <v/>
      </c>
      <c r="O133" s="7">
        <f>IF(N133="","",NORM.S.DIST(N133,TRUE))</f>
        <v/>
      </c>
      <c r="P133" s="13">
        <f>IF(O133="","",IF(O133&lt;='组合输入'!$K4,"AAA",IF(O133&lt;='组合输入'!$L4,"AA",IF(O133&lt;='组合输入'!$M4,"A",IF(O133&lt;='组合输入'!$N4,"BBB",IF(O133&lt;='组合输入'!$O4,"BB",IF(O133&lt;='组合输入'!$P4,"B",IF(O133&lt;='组合输入'!$Q4,"CCC","D")))))))</f>
        <v/>
      </c>
      <c r="Q133" s="12">
        <f>IF(P133="","",INDEX('状态价值'!$D4:$K4,MATCH(P133,'状态价值'!$D$1:$K$1,0)))</f>
        <v/>
      </c>
      <c r="R133" s="15">
        <f>NORM.S.INV(RAND())</f>
        <v/>
      </c>
      <c r="S133" s="15">
        <f>IF('组合输入'!$C5="","",'组合输入'!$H5*$B133+SQRT(1-'组合输入'!$H5^2)*R133)</f>
        <v/>
      </c>
      <c r="T133" s="7">
        <f>IF(S133="","",NORM.S.DIST(S133,TRUE))</f>
        <v/>
      </c>
      <c r="U133" s="13">
        <f>IF(T133="","",IF(T133&lt;='组合输入'!$K5,"AAA",IF(T133&lt;='组合输入'!$L5,"AA",IF(T133&lt;='组合输入'!$M5,"A",IF(T133&lt;='组合输入'!$N5,"BBB",IF(T133&lt;='组合输入'!$O5,"BB",IF(T133&lt;='组合输入'!$P5,"B",IF(T133&lt;='组合输入'!$Q5,"CCC","D")))))))</f>
        <v/>
      </c>
      <c r="V133" s="12">
        <f>IF(U133="","",INDEX('状态价值'!$D5:$K5,MATCH(U133,'状态价值'!$D$1:$K$1,0)))</f>
        <v/>
      </c>
      <c r="W133" s="15">
        <f>NORM.S.INV(RAND())</f>
        <v/>
      </c>
      <c r="X133" s="15">
        <f>IF('组合输入'!$C6="","",'组合输入'!$H6*$B133+SQRT(1-'组合输入'!$H6^2)*W133)</f>
        <v/>
      </c>
      <c r="Y133" s="7">
        <f>IF(X133="","",NORM.S.DIST(X133,TRUE))</f>
        <v/>
      </c>
      <c r="Z133" s="13">
        <f>IF(Y133="","",IF(Y133&lt;='组合输入'!$K6,"AAA",IF(Y133&lt;='组合输入'!$L6,"AA",IF(Y133&lt;='组合输入'!$M6,"A",IF(Y133&lt;='组合输入'!$N6,"BBB",IF(Y133&lt;='组合输入'!$O6,"BB",IF(Y133&lt;='组合输入'!$P6,"B",IF(Y133&lt;='组合输入'!$Q6,"CCC","D")))))))</f>
        <v/>
      </c>
      <c r="AA133" s="12">
        <f>IF(Z133="","",INDEX('状态价值'!$D6:$K6,MATCH(Z133,'状态价值'!$D$1:$K$1,0)))</f>
        <v/>
      </c>
      <c r="AB133" s="15">
        <f>NORM.S.INV(RAND())</f>
        <v/>
      </c>
      <c r="AC133" s="15">
        <f>IF('组合输入'!$C7="","",'组合输入'!$H7*$B133+SQRT(1-'组合输入'!$H7^2)*AB133)</f>
        <v/>
      </c>
      <c r="AD133" s="7">
        <f>IF(AC133="","",NORM.S.DIST(AC133,TRUE))</f>
        <v/>
      </c>
      <c r="AE133" s="13">
        <f>IF(AD133="","",IF(AD133&lt;='组合输入'!$K7,"AAA",IF(AD133&lt;='组合输入'!$L7,"AA",IF(AD133&lt;='组合输入'!$M7,"A",IF(AD133&lt;='组合输入'!$N7,"BBB",IF(AD133&lt;='组合输入'!$O7,"BB",IF(AD133&lt;='组合输入'!$P7,"B",IF(AD133&lt;='组合输入'!$Q7,"CCC","D")))))))</f>
        <v/>
      </c>
      <c r="AF133" s="12">
        <f>IF(AE133="","",INDEX('状态价值'!$D7:$K7,MATCH(AE133,'状态价值'!$D$1:$K$1,0)))</f>
        <v/>
      </c>
      <c r="AG133" s="15">
        <f>NORM.S.INV(RAND())</f>
        <v/>
      </c>
      <c r="AH133" s="15">
        <f>IF('组合输入'!$C8="","",'组合输入'!$H8*$B133+SQRT(1-'组合输入'!$H8^2)*AG133)</f>
        <v/>
      </c>
      <c r="AI133" s="7">
        <f>IF(AH133="","",NORM.S.DIST(AH133,TRUE))</f>
        <v/>
      </c>
      <c r="AJ133" s="13">
        <f>IF(AI133="","",IF(AI133&lt;='组合输入'!$K8,"AAA",IF(AI133&lt;='组合输入'!$L8,"AA",IF(AI133&lt;='组合输入'!$M8,"A",IF(AI133&lt;='组合输入'!$N8,"BBB",IF(AI133&lt;='组合输入'!$O8,"BB",IF(AI133&lt;='组合输入'!$P8,"B",IF(AI133&lt;='组合输入'!$Q8,"CCC","D")))))))</f>
        <v/>
      </c>
      <c r="AK133" s="12">
        <f>IF(AJ133="","",INDEX('状态价值'!$D8:$K8,MATCH(AJ133,'状态价值'!$D$1:$K$1,0)))</f>
        <v/>
      </c>
      <c r="AL133" s="15">
        <f>NORM.S.INV(RAND())</f>
        <v/>
      </c>
      <c r="AM133" s="15">
        <f>IF('组合输入'!$C9="","",'组合输入'!$H9*$B133+SQRT(1-'组合输入'!$H9^2)*AL133)</f>
        <v/>
      </c>
      <c r="AN133" s="7">
        <f>IF(AM133="","",NORM.S.DIST(AM133,TRUE))</f>
        <v/>
      </c>
      <c r="AO133" s="13">
        <f>IF(AN133="","",IF(AN133&lt;='组合输入'!$K9,"AAA",IF(AN133&lt;='组合输入'!$L9,"AA",IF(AN133&lt;='组合输入'!$M9,"A",IF(AN133&lt;='组合输入'!$N9,"BBB",IF(AN133&lt;='组合输入'!$O9,"BB",IF(AN133&lt;='组合输入'!$P9,"B",IF(AN133&lt;='组合输入'!$Q9,"CCC","D")))))))</f>
        <v/>
      </c>
      <c r="AP133" s="12">
        <f>IF(AO133="","",INDEX('状态价值'!$D9:$K9,MATCH(AO133,'状态价值'!$D$1:$K$1,0)))</f>
        <v/>
      </c>
      <c r="AQ133" s="15">
        <f>NORM.S.INV(RAND())</f>
        <v/>
      </c>
      <c r="AR133" s="15">
        <f>IF('组合输入'!$C10="","",'组合输入'!$H10*$B133+SQRT(1-'组合输入'!$H10^2)*AQ133)</f>
        <v/>
      </c>
      <c r="AS133" s="7">
        <f>IF(AR133="","",NORM.S.DIST(AR133,TRUE))</f>
        <v/>
      </c>
      <c r="AT133" s="13">
        <f>IF(AS133="","",IF(AS133&lt;='组合输入'!$K10,"AAA",IF(AS133&lt;='组合输入'!$L10,"AA",IF(AS133&lt;='组合输入'!$M10,"A",IF(AS133&lt;='组合输入'!$N10,"BBB",IF(AS133&lt;='组合输入'!$O10,"BB",IF(AS133&lt;='组合输入'!$P10,"B",IF(AS133&lt;='组合输入'!$Q10,"CCC","D")))))))</f>
        <v/>
      </c>
      <c r="AU133" s="12">
        <f>IF(AT133="","",INDEX('状态价值'!$D10:$K10,MATCH(AT133,'状态价值'!$D$1:$K$1,0)))</f>
        <v/>
      </c>
      <c r="AV133" s="15">
        <f>NORM.S.INV(RAND())</f>
        <v/>
      </c>
      <c r="AW133" s="15">
        <f>IF('组合输入'!$C11="","",'组合输入'!$H11*$B133+SQRT(1-'组合输入'!$H11^2)*AV133)</f>
        <v/>
      </c>
      <c r="AX133" s="7">
        <f>IF(AW133="","",NORM.S.DIST(AW133,TRUE))</f>
        <v/>
      </c>
      <c r="AY133" s="13">
        <f>IF(AX133="","",IF(AX133&lt;='组合输入'!$K11,"AAA",IF(AX133&lt;='组合输入'!$L11,"AA",IF(AX133&lt;='组合输入'!$M11,"A",IF(AX133&lt;='组合输入'!$N11,"BBB",IF(AX133&lt;='组合输入'!$O11,"BB",IF(AX133&lt;='组合输入'!$P11,"B",IF(AX133&lt;='组合输入'!$Q11,"CCC","D")))))))</f>
        <v/>
      </c>
      <c r="AZ133" s="12">
        <f>IF(AY133="","",INDEX('状态价值'!$D11:$K11,MATCH(AY133,'状态价值'!$D$1:$K$1,0)))</f>
        <v/>
      </c>
      <c r="BA133" s="12">
        <f>G133+L133+Q133+V133+AA133+AF133+AK133+AP133+AU133+AZ133</f>
        <v/>
      </c>
      <c r="BB133" s="12">
        <f>SUM('组合输入'!$J$2:$J$11)-BA133</f>
        <v/>
      </c>
    </row>
    <row r="134">
      <c r="A134" s="11" t="n">
        <v>133</v>
      </c>
      <c r="B134" s="14">
        <f>NORM.S.INV(RAND())</f>
        <v/>
      </c>
      <c r="C134" s="14">
        <f>NORM.S.INV(RAND())</f>
        <v/>
      </c>
      <c r="D134" s="15">
        <f>IF('组合输入'!$C2="","",'组合输入'!$H2*$B134+SQRT(1-'组合输入'!$H2^2)*C134)</f>
        <v/>
      </c>
      <c r="E134" s="7">
        <f>IF(D134="","",NORM.S.DIST(D134,TRUE))</f>
        <v/>
      </c>
      <c r="F134" s="13">
        <f>IF(E134="","",IF(E134&lt;='组合输入'!$K2,"AAA",IF(E134&lt;='组合输入'!$L2,"AA",IF(E134&lt;='组合输入'!$M2,"A",IF(E134&lt;='组合输入'!$N2,"BBB",IF(E134&lt;='组合输入'!$O2,"BB",IF(E134&lt;='组合输入'!$P2,"B",IF(E134&lt;='组合输入'!$Q2,"CCC","D")))))))</f>
        <v/>
      </c>
      <c r="G134" s="12">
        <f>IF(F134="","",INDEX('状态价值'!$D2:$K2,MATCH(F134,'状态价值'!$D$1:$K$1,0)))</f>
        <v/>
      </c>
      <c r="H134" s="15">
        <f>NORM.S.INV(RAND())</f>
        <v/>
      </c>
      <c r="I134" s="15">
        <f>IF('组合输入'!$C3="","",'组合输入'!$H3*$B134+SQRT(1-'组合输入'!$H3^2)*H134)</f>
        <v/>
      </c>
      <c r="J134" s="7">
        <f>IF(I134="","",NORM.S.DIST(I134,TRUE))</f>
        <v/>
      </c>
      <c r="K134" s="13">
        <f>IF(J134="","",IF(J134&lt;='组合输入'!$K3,"AAA",IF(J134&lt;='组合输入'!$L3,"AA",IF(J134&lt;='组合输入'!$M3,"A",IF(J134&lt;='组合输入'!$N3,"BBB",IF(J134&lt;='组合输入'!$O3,"BB",IF(J134&lt;='组合输入'!$P3,"B",IF(J134&lt;='组合输入'!$Q3,"CCC","D")))))))</f>
        <v/>
      </c>
      <c r="L134" s="12">
        <f>IF(K134="","",INDEX('状态价值'!$D3:$K3,MATCH(K134,'状态价值'!$D$1:$K$1,0)))</f>
        <v/>
      </c>
      <c r="M134" s="15">
        <f>NORM.S.INV(RAND())</f>
        <v/>
      </c>
      <c r="N134" s="15">
        <f>IF('组合输入'!$C4="","",'组合输入'!$H4*$B134+SQRT(1-'组合输入'!$H4^2)*M134)</f>
        <v/>
      </c>
      <c r="O134" s="7">
        <f>IF(N134="","",NORM.S.DIST(N134,TRUE))</f>
        <v/>
      </c>
      <c r="P134" s="13">
        <f>IF(O134="","",IF(O134&lt;='组合输入'!$K4,"AAA",IF(O134&lt;='组合输入'!$L4,"AA",IF(O134&lt;='组合输入'!$M4,"A",IF(O134&lt;='组合输入'!$N4,"BBB",IF(O134&lt;='组合输入'!$O4,"BB",IF(O134&lt;='组合输入'!$P4,"B",IF(O134&lt;='组合输入'!$Q4,"CCC","D")))))))</f>
        <v/>
      </c>
      <c r="Q134" s="12">
        <f>IF(P134="","",INDEX('状态价值'!$D4:$K4,MATCH(P134,'状态价值'!$D$1:$K$1,0)))</f>
        <v/>
      </c>
      <c r="R134" s="15">
        <f>NORM.S.INV(RAND())</f>
        <v/>
      </c>
      <c r="S134" s="15">
        <f>IF('组合输入'!$C5="","",'组合输入'!$H5*$B134+SQRT(1-'组合输入'!$H5^2)*R134)</f>
        <v/>
      </c>
      <c r="T134" s="7">
        <f>IF(S134="","",NORM.S.DIST(S134,TRUE))</f>
        <v/>
      </c>
      <c r="U134" s="13">
        <f>IF(T134="","",IF(T134&lt;='组合输入'!$K5,"AAA",IF(T134&lt;='组合输入'!$L5,"AA",IF(T134&lt;='组合输入'!$M5,"A",IF(T134&lt;='组合输入'!$N5,"BBB",IF(T134&lt;='组合输入'!$O5,"BB",IF(T134&lt;='组合输入'!$P5,"B",IF(T134&lt;='组合输入'!$Q5,"CCC","D")))))))</f>
        <v/>
      </c>
      <c r="V134" s="12">
        <f>IF(U134="","",INDEX('状态价值'!$D5:$K5,MATCH(U134,'状态价值'!$D$1:$K$1,0)))</f>
        <v/>
      </c>
      <c r="W134" s="15">
        <f>NORM.S.INV(RAND())</f>
        <v/>
      </c>
      <c r="X134" s="15">
        <f>IF('组合输入'!$C6="","",'组合输入'!$H6*$B134+SQRT(1-'组合输入'!$H6^2)*W134)</f>
        <v/>
      </c>
      <c r="Y134" s="7">
        <f>IF(X134="","",NORM.S.DIST(X134,TRUE))</f>
        <v/>
      </c>
      <c r="Z134" s="13">
        <f>IF(Y134="","",IF(Y134&lt;='组合输入'!$K6,"AAA",IF(Y134&lt;='组合输入'!$L6,"AA",IF(Y134&lt;='组合输入'!$M6,"A",IF(Y134&lt;='组合输入'!$N6,"BBB",IF(Y134&lt;='组合输入'!$O6,"BB",IF(Y134&lt;='组合输入'!$P6,"B",IF(Y134&lt;='组合输入'!$Q6,"CCC","D")))))))</f>
        <v/>
      </c>
      <c r="AA134" s="12">
        <f>IF(Z134="","",INDEX('状态价值'!$D6:$K6,MATCH(Z134,'状态价值'!$D$1:$K$1,0)))</f>
        <v/>
      </c>
      <c r="AB134" s="15">
        <f>NORM.S.INV(RAND())</f>
        <v/>
      </c>
      <c r="AC134" s="15">
        <f>IF('组合输入'!$C7="","",'组合输入'!$H7*$B134+SQRT(1-'组合输入'!$H7^2)*AB134)</f>
        <v/>
      </c>
      <c r="AD134" s="7">
        <f>IF(AC134="","",NORM.S.DIST(AC134,TRUE))</f>
        <v/>
      </c>
      <c r="AE134" s="13">
        <f>IF(AD134="","",IF(AD134&lt;='组合输入'!$K7,"AAA",IF(AD134&lt;='组合输入'!$L7,"AA",IF(AD134&lt;='组合输入'!$M7,"A",IF(AD134&lt;='组合输入'!$N7,"BBB",IF(AD134&lt;='组合输入'!$O7,"BB",IF(AD134&lt;='组合输入'!$P7,"B",IF(AD134&lt;='组合输入'!$Q7,"CCC","D")))))))</f>
        <v/>
      </c>
      <c r="AF134" s="12">
        <f>IF(AE134="","",INDEX('状态价值'!$D7:$K7,MATCH(AE134,'状态价值'!$D$1:$K$1,0)))</f>
        <v/>
      </c>
      <c r="AG134" s="15">
        <f>NORM.S.INV(RAND())</f>
        <v/>
      </c>
      <c r="AH134" s="15">
        <f>IF('组合输入'!$C8="","",'组合输入'!$H8*$B134+SQRT(1-'组合输入'!$H8^2)*AG134)</f>
        <v/>
      </c>
      <c r="AI134" s="7">
        <f>IF(AH134="","",NORM.S.DIST(AH134,TRUE))</f>
        <v/>
      </c>
      <c r="AJ134" s="13">
        <f>IF(AI134="","",IF(AI134&lt;='组合输入'!$K8,"AAA",IF(AI134&lt;='组合输入'!$L8,"AA",IF(AI134&lt;='组合输入'!$M8,"A",IF(AI134&lt;='组合输入'!$N8,"BBB",IF(AI134&lt;='组合输入'!$O8,"BB",IF(AI134&lt;='组合输入'!$P8,"B",IF(AI134&lt;='组合输入'!$Q8,"CCC","D")))))))</f>
        <v/>
      </c>
      <c r="AK134" s="12">
        <f>IF(AJ134="","",INDEX('状态价值'!$D8:$K8,MATCH(AJ134,'状态价值'!$D$1:$K$1,0)))</f>
        <v/>
      </c>
      <c r="AL134" s="15">
        <f>NORM.S.INV(RAND())</f>
        <v/>
      </c>
      <c r="AM134" s="15">
        <f>IF('组合输入'!$C9="","",'组合输入'!$H9*$B134+SQRT(1-'组合输入'!$H9^2)*AL134)</f>
        <v/>
      </c>
      <c r="AN134" s="7">
        <f>IF(AM134="","",NORM.S.DIST(AM134,TRUE))</f>
        <v/>
      </c>
      <c r="AO134" s="13">
        <f>IF(AN134="","",IF(AN134&lt;='组合输入'!$K9,"AAA",IF(AN134&lt;='组合输入'!$L9,"AA",IF(AN134&lt;='组合输入'!$M9,"A",IF(AN134&lt;='组合输入'!$N9,"BBB",IF(AN134&lt;='组合输入'!$O9,"BB",IF(AN134&lt;='组合输入'!$P9,"B",IF(AN134&lt;='组合输入'!$Q9,"CCC","D")))))))</f>
        <v/>
      </c>
      <c r="AP134" s="12">
        <f>IF(AO134="","",INDEX('状态价值'!$D9:$K9,MATCH(AO134,'状态价值'!$D$1:$K$1,0)))</f>
        <v/>
      </c>
      <c r="AQ134" s="15">
        <f>NORM.S.INV(RAND())</f>
        <v/>
      </c>
      <c r="AR134" s="15">
        <f>IF('组合输入'!$C10="","",'组合输入'!$H10*$B134+SQRT(1-'组合输入'!$H10^2)*AQ134)</f>
        <v/>
      </c>
      <c r="AS134" s="7">
        <f>IF(AR134="","",NORM.S.DIST(AR134,TRUE))</f>
        <v/>
      </c>
      <c r="AT134" s="13">
        <f>IF(AS134="","",IF(AS134&lt;='组合输入'!$K10,"AAA",IF(AS134&lt;='组合输入'!$L10,"AA",IF(AS134&lt;='组合输入'!$M10,"A",IF(AS134&lt;='组合输入'!$N10,"BBB",IF(AS134&lt;='组合输入'!$O10,"BB",IF(AS134&lt;='组合输入'!$P10,"B",IF(AS134&lt;='组合输入'!$Q10,"CCC","D")))))))</f>
        <v/>
      </c>
      <c r="AU134" s="12">
        <f>IF(AT134="","",INDEX('状态价值'!$D10:$K10,MATCH(AT134,'状态价值'!$D$1:$K$1,0)))</f>
        <v/>
      </c>
      <c r="AV134" s="15">
        <f>NORM.S.INV(RAND())</f>
        <v/>
      </c>
      <c r="AW134" s="15">
        <f>IF('组合输入'!$C11="","",'组合输入'!$H11*$B134+SQRT(1-'组合输入'!$H11^2)*AV134)</f>
        <v/>
      </c>
      <c r="AX134" s="7">
        <f>IF(AW134="","",NORM.S.DIST(AW134,TRUE))</f>
        <v/>
      </c>
      <c r="AY134" s="13">
        <f>IF(AX134="","",IF(AX134&lt;='组合输入'!$K11,"AAA",IF(AX134&lt;='组合输入'!$L11,"AA",IF(AX134&lt;='组合输入'!$M11,"A",IF(AX134&lt;='组合输入'!$N11,"BBB",IF(AX134&lt;='组合输入'!$O11,"BB",IF(AX134&lt;='组合输入'!$P11,"B",IF(AX134&lt;='组合输入'!$Q11,"CCC","D")))))))</f>
        <v/>
      </c>
      <c r="AZ134" s="12">
        <f>IF(AY134="","",INDEX('状态价值'!$D11:$K11,MATCH(AY134,'状态价值'!$D$1:$K$1,0)))</f>
        <v/>
      </c>
      <c r="BA134" s="12">
        <f>G134+L134+Q134+V134+AA134+AF134+AK134+AP134+AU134+AZ134</f>
        <v/>
      </c>
      <c r="BB134" s="12">
        <f>SUM('组合输入'!$J$2:$J$11)-BA134</f>
        <v/>
      </c>
    </row>
    <row r="135">
      <c r="A135" s="11" t="n">
        <v>134</v>
      </c>
      <c r="B135" s="14">
        <f>NORM.S.INV(RAND())</f>
        <v/>
      </c>
      <c r="C135" s="14">
        <f>NORM.S.INV(RAND())</f>
        <v/>
      </c>
      <c r="D135" s="15">
        <f>IF('组合输入'!$C2="","",'组合输入'!$H2*$B135+SQRT(1-'组合输入'!$H2^2)*C135)</f>
        <v/>
      </c>
      <c r="E135" s="7">
        <f>IF(D135="","",NORM.S.DIST(D135,TRUE))</f>
        <v/>
      </c>
      <c r="F135" s="13">
        <f>IF(E135="","",IF(E135&lt;='组合输入'!$K2,"AAA",IF(E135&lt;='组合输入'!$L2,"AA",IF(E135&lt;='组合输入'!$M2,"A",IF(E135&lt;='组合输入'!$N2,"BBB",IF(E135&lt;='组合输入'!$O2,"BB",IF(E135&lt;='组合输入'!$P2,"B",IF(E135&lt;='组合输入'!$Q2,"CCC","D")))))))</f>
        <v/>
      </c>
      <c r="G135" s="12">
        <f>IF(F135="","",INDEX('状态价值'!$D2:$K2,MATCH(F135,'状态价值'!$D$1:$K$1,0)))</f>
        <v/>
      </c>
      <c r="H135" s="15">
        <f>NORM.S.INV(RAND())</f>
        <v/>
      </c>
      <c r="I135" s="15">
        <f>IF('组合输入'!$C3="","",'组合输入'!$H3*$B135+SQRT(1-'组合输入'!$H3^2)*H135)</f>
        <v/>
      </c>
      <c r="J135" s="7">
        <f>IF(I135="","",NORM.S.DIST(I135,TRUE))</f>
        <v/>
      </c>
      <c r="K135" s="13">
        <f>IF(J135="","",IF(J135&lt;='组合输入'!$K3,"AAA",IF(J135&lt;='组合输入'!$L3,"AA",IF(J135&lt;='组合输入'!$M3,"A",IF(J135&lt;='组合输入'!$N3,"BBB",IF(J135&lt;='组合输入'!$O3,"BB",IF(J135&lt;='组合输入'!$P3,"B",IF(J135&lt;='组合输入'!$Q3,"CCC","D")))))))</f>
        <v/>
      </c>
      <c r="L135" s="12">
        <f>IF(K135="","",INDEX('状态价值'!$D3:$K3,MATCH(K135,'状态价值'!$D$1:$K$1,0)))</f>
        <v/>
      </c>
      <c r="M135" s="15">
        <f>NORM.S.INV(RAND())</f>
        <v/>
      </c>
      <c r="N135" s="15">
        <f>IF('组合输入'!$C4="","",'组合输入'!$H4*$B135+SQRT(1-'组合输入'!$H4^2)*M135)</f>
        <v/>
      </c>
      <c r="O135" s="7">
        <f>IF(N135="","",NORM.S.DIST(N135,TRUE))</f>
        <v/>
      </c>
      <c r="P135" s="13">
        <f>IF(O135="","",IF(O135&lt;='组合输入'!$K4,"AAA",IF(O135&lt;='组合输入'!$L4,"AA",IF(O135&lt;='组合输入'!$M4,"A",IF(O135&lt;='组合输入'!$N4,"BBB",IF(O135&lt;='组合输入'!$O4,"BB",IF(O135&lt;='组合输入'!$P4,"B",IF(O135&lt;='组合输入'!$Q4,"CCC","D")))))))</f>
        <v/>
      </c>
      <c r="Q135" s="12">
        <f>IF(P135="","",INDEX('状态价值'!$D4:$K4,MATCH(P135,'状态价值'!$D$1:$K$1,0)))</f>
        <v/>
      </c>
      <c r="R135" s="15">
        <f>NORM.S.INV(RAND())</f>
        <v/>
      </c>
      <c r="S135" s="15">
        <f>IF('组合输入'!$C5="","",'组合输入'!$H5*$B135+SQRT(1-'组合输入'!$H5^2)*R135)</f>
        <v/>
      </c>
      <c r="T135" s="7">
        <f>IF(S135="","",NORM.S.DIST(S135,TRUE))</f>
        <v/>
      </c>
      <c r="U135" s="13">
        <f>IF(T135="","",IF(T135&lt;='组合输入'!$K5,"AAA",IF(T135&lt;='组合输入'!$L5,"AA",IF(T135&lt;='组合输入'!$M5,"A",IF(T135&lt;='组合输入'!$N5,"BBB",IF(T135&lt;='组合输入'!$O5,"BB",IF(T135&lt;='组合输入'!$P5,"B",IF(T135&lt;='组合输入'!$Q5,"CCC","D")))))))</f>
        <v/>
      </c>
      <c r="V135" s="12">
        <f>IF(U135="","",INDEX('状态价值'!$D5:$K5,MATCH(U135,'状态价值'!$D$1:$K$1,0)))</f>
        <v/>
      </c>
      <c r="W135" s="15">
        <f>NORM.S.INV(RAND())</f>
        <v/>
      </c>
      <c r="X135" s="15">
        <f>IF('组合输入'!$C6="","",'组合输入'!$H6*$B135+SQRT(1-'组合输入'!$H6^2)*W135)</f>
        <v/>
      </c>
      <c r="Y135" s="7">
        <f>IF(X135="","",NORM.S.DIST(X135,TRUE))</f>
        <v/>
      </c>
      <c r="Z135" s="13">
        <f>IF(Y135="","",IF(Y135&lt;='组合输入'!$K6,"AAA",IF(Y135&lt;='组合输入'!$L6,"AA",IF(Y135&lt;='组合输入'!$M6,"A",IF(Y135&lt;='组合输入'!$N6,"BBB",IF(Y135&lt;='组合输入'!$O6,"BB",IF(Y135&lt;='组合输入'!$P6,"B",IF(Y135&lt;='组合输入'!$Q6,"CCC","D")))))))</f>
        <v/>
      </c>
      <c r="AA135" s="12">
        <f>IF(Z135="","",INDEX('状态价值'!$D6:$K6,MATCH(Z135,'状态价值'!$D$1:$K$1,0)))</f>
        <v/>
      </c>
      <c r="AB135" s="15">
        <f>NORM.S.INV(RAND())</f>
        <v/>
      </c>
      <c r="AC135" s="15">
        <f>IF('组合输入'!$C7="","",'组合输入'!$H7*$B135+SQRT(1-'组合输入'!$H7^2)*AB135)</f>
        <v/>
      </c>
      <c r="AD135" s="7">
        <f>IF(AC135="","",NORM.S.DIST(AC135,TRUE))</f>
        <v/>
      </c>
      <c r="AE135" s="13">
        <f>IF(AD135="","",IF(AD135&lt;='组合输入'!$K7,"AAA",IF(AD135&lt;='组合输入'!$L7,"AA",IF(AD135&lt;='组合输入'!$M7,"A",IF(AD135&lt;='组合输入'!$N7,"BBB",IF(AD135&lt;='组合输入'!$O7,"BB",IF(AD135&lt;='组合输入'!$P7,"B",IF(AD135&lt;='组合输入'!$Q7,"CCC","D")))))))</f>
        <v/>
      </c>
      <c r="AF135" s="12">
        <f>IF(AE135="","",INDEX('状态价值'!$D7:$K7,MATCH(AE135,'状态价值'!$D$1:$K$1,0)))</f>
        <v/>
      </c>
      <c r="AG135" s="15">
        <f>NORM.S.INV(RAND())</f>
        <v/>
      </c>
      <c r="AH135" s="15">
        <f>IF('组合输入'!$C8="","",'组合输入'!$H8*$B135+SQRT(1-'组合输入'!$H8^2)*AG135)</f>
        <v/>
      </c>
      <c r="AI135" s="7">
        <f>IF(AH135="","",NORM.S.DIST(AH135,TRUE))</f>
        <v/>
      </c>
      <c r="AJ135" s="13">
        <f>IF(AI135="","",IF(AI135&lt;='组合输入'!$K8,"AAA",IF(AI135&lt;='组合输入'!$L8,"AA",IF(AI135&lt;='组合输入'!$M8,"A",IF(AI135&lt;='组合输入'!$N8,"BBB",IF(AI135&lt;='组合输入'!$O8,"BB",IF(AI135&lt;='组合输入'!$P8,"B",IF(AI135&lt;='组合输入'!$Q8,"CCC","D")))))))</f>
        <v/>
      </c>
      <c r="AK135" s="12">
        <f>IF(AJ135="","",INDEX('状态价值'!$D8:$K8,MATCH(AJ135,'状态价值'!$D$1:$K$1,0)))</f>
        <v/>
      </c>
      <c r="AL135" s="15">
        <f>NORM.S.INV(RAND())</f>
        <v/>
      </c>
      <c r="AM135" s="15">
        <f>IF('组合输入'!$C9="","",'组合输入'!$H9*$B135+SQRT(1-'组合输入'!$H9^2)*AL135)</f>
        <v/>
      </c>
      <c r="AN135" s="7">
        <f>IF(AM135="","",NORM.S.DIST(AM135,TRUE))</f>
        <v/>
      </c>
      <c r="AO135" s="13">
        <f>IF(AN135="","",IF(AN135&lt;='组合输入'!$K9,"AAA",IF(AN135&lt;='组合输入'!$L9,"AA",IF(AN135&lt;='组合输入'!$M9,"A",IF(AN135&lt;='组合输入'!$N9,"BBB",IF(AN135&lt;='组合输入'!$O9,"BB",IF(AN135&lt;='组合输入'!$P9,"B",IF(AN135&lt;='组合输入'!$Q9,"CCC","D")))))))</f>
        <v/>
      </c>
      <c r="AP135" s="12">
        <f>IF(AO135="","",INDEX('状态价值'!$D9:$K9,MATCH(AO135,'状态价值'!$D$1:$K$1,0)))</f>
        <v/>
      </c>
      <c r="AQ135" s="15">
        <f>NORM.S.INV(RAND())</f>
        <v/>
      </c>
      <c r="AR135" s="15">
        <f>IF('组合输入'!$C10="","",'组合输入'!$H10*$B135+SQRT(1-'组合输入'!$H10^2)*AQ135)</f>
        <v/>
      </c>
      <c r="AS135" s="7">
        <f>IF(AR135="","",NORM.S.DIST(AR135,TRUE))</f>
        <v/>
      </c>
      <c r="AT135" s="13">
        <f>IF(AS135="","",IF(AS135&lt;='组合输入'!$K10,"AAA",IF(AS135&lt;='组合输入'!$L10,"AA",IF(AS135&lt;='组合输入'!$M10,"A",IF(AS135&lt;='组合输入'!$N10,"BBB",IF(AS135&lt;='组合输入'!$O10,"BB",IF(AS135&lt;='组合输入'!$P10,"B",IF(AS135&lt;='组合输入'!$Q10,"CCC","D")))))))</f>
        <v/>
      </c>
      <c r="AU135" s="12">
        <f>IF(AT135="","",INDEX('状态价值'!$D10:$K10,MATCH(AT135,'状态价值'!$D$1:$K$1,0)))</f>
        <v/>
      </c>
      <c r="AV135" s="15">
        <f>NORM.S.INV(RAND())</f>
        <v/>
      </c>
      <c r="AW135" s="15">
        <f>IF('组合输入'!$C11="","",'组合输入'!$H11*$B135+SQRT(1-'组合输入'!$H11^2)*AV135)</f>
        <v/>
      </c>
      <c r="AX135" s="7">
        <f>IF(AW135="","",NORM.S.DIST(AW135,TRUE))</f>
        <v/>
      </c>
      <c r="AY135" s="13">
        <f>IF(AX135="","",IF(AX135&lt;='组合输入'!$K11,"AAA",IF(AX135&lt;='组合输入'!$L11,"AA",IF(AX135&lt;='组合输入'!$M11,"A",IF(AX135&lt;='组合输入'!$N11,"BBB",IF(AX135&lt;='组合输入'!$O11,"BB",IF(AX135&lt;='组合输入'!$P11,"B",IF(AX135&lt;='组合输入'!$Q11,"CCC","D")))))))</f>
        <v/>
      </c>
      <c r="AZ135" s="12">
        <f>IF(AY135="","",INDEX('状态价值'!$D11:$K11,MATCH(AY135,'状态价值'!$D$1:$K$1,0)))</f>
        <v/>
      </c>
      <c r="BA135" s="12">
        <f>G135+L135+Q135+V135+AA135+AF135+AK135+AP135+AU135+AZ135</f>
        <v/>
      </c>
      <c r="BB135" s="12">
        <f>SUM('组合输入'!$J$2:$J$11)-BA135</f>
        <v/>
      </c>
    </row>
    <row r="136">
      <c r="A136" s="11" t="n">
        <v>135</v>
      </c>
      <c r="B136" s="14">
        <f>NORM.S.INV(RAND())</f>
        <v/>
      </c>
      <c r="C136" s="14">
        <f>NORM.S.INV(RAND())</f>
        <v/>
      </c>
      <c r="D136" s="15">
        <f>IF('组合输入'!$C2="","",'组合输入'!$H2*$B136+SQRT(1-'组合输入'!$H2^2)*C136)</f>
        <v/>
      </c>
      <c r="E136" s="7">
        <f>IF(D136="","",NORM.S.DIST(D136,TRUE))</f>
        <v/>
      </c>
      <c r="F136" s="13">
        <f>IF(E136="","",IF(E136&lt;='组合输入'!$K2,"AAA",IF(E136&lt;='组合输入'!$L2,"AA",IF(E136&lt;='组合输入'!$M2,"A",IF(E136&lt;='组合输入'!$N2,"BBB",IF(E136&lt;='组合输入'!$O2,"BB",IF(E136&lt;='组合输入'!$P2,"B",IF(E136&lt;='组合输入'!$Q2,"CCC","D")))))))</f>
        <v/>
      </c>
      <c r="G136" s="12">
        <f>IF(F136="","",INDEX('状态价值'!$D2:$K2,MATCH(F136,'状态价值'!$D$1:$K$1,0)))</f>
        <v/>
      </c>
      <c r="H136" s="15">
        <f>NORM.S.INV(RAND())</f>
        <v/>
      </c>
      <c r="I136" s="15">
        <f>IF('组合输入'!$C3="","",'组合输入'!$H3*$B136+SQRT(1-'组合输入'!$H3^2)*H136)</f>
        <v/>
      </c>
      <c r="J136" s="7">
        <f>IF(I136="","",NORM.S.DIST(I136,TRUE))</f>
        <v/>
      </c>
      <c r="K136" s="13">
        <f>IF(J136="","",IF(J136&lt;='组合输入'!$K3,"AAA",IF(J136&lt;='组合输入'!$L3,"AA",IF(J136&lt;='组合输入'!$M3,"A",IF(J136&lt;='组合输入'!$N3,"BBB",IF(J136&lt;='组合输入'!$O3,"BB",IF(J136&lt;='组合输入'!$P3,"B",IF(J136&lt;='组合输入'!$Q3,"CCC","D")))))))</f>
        <v/>
      </c>
      <c r="L136" s="12">
        <f>IF(K136="","",INDEX('状态价值'!$D3:$K3,MATCH(K136,'状态价值'!$D$1:$K$1,0)))</f>
        <v/>
      </c>
      <c r="M136" s="15">
        <f>NORM.S.INV(RAND())</f>
        <v/>
      </c>
      <c r="N136" s="15">
        <f>IF('组合输入'!$C4="","",'组合输入'!$H4*$B136+SQRT(1-'组合输入'!$H4^2)*M136)</f>
        <v/>
      </c>
      <c r="O136" s="7">
        <f>IF(N136="","",NORM.S.DIST(N136,TRUE))</f>
        <v/>
      </c>
      <c r="P136" s="13">
        <f>IF(O136="","",IF(O136&lt;='组合输入'!$K4,"AAA",IF(O136&lt;='组合输入'!$L4,"AA",IF(O136&lt;='组合输入'!$M4,"A",IF(O136&lt;='组合输入'!$N4,"BBB",IF(O136&lt;='组合输入'!$O4,"BB",IF(O136&lt;='组合输入'!$P4,"B",IF(O136&lt;='组合输入'!$Q4,"CCC","D")))))))</f>
        <v/>
      </c>
      <c r="Q136" s="12">
        <f>IF(P136="","",INDEX('状态价值'!$D4:$K4,MATCH(P136,'状态价值'!$D$1:$K$1,0)))</f>
        <v/>
      </c>
      <c r="R136" s="15">
        <f>NORM.S.INV(RAND())</f>
        <v/>
      </c>
      <c r="S136" s="15">
        <f>IF('组合输入'!$C5="","",'组合输入'!$H5*$B136+SQRT(1-'组合输入'!$H5^2)*R136)</f>
        <v/>
      </c>
      <c r="T136" s="7">
        <f>IF(S136="","",NORM.S.DIST(S136,TRUE))</f>
        <v/>
      </c>
      <c r="U136" s="13">
        <f>IF(T136="","",IF(T136&lt;='组合输入'!$K5,"AAA",IF(T136&lt;='组合输入'!$L5,"AA",IF(T136&lt;='组合输入'!$M5,"A",IF(T136&lt;='组合输入'!$N5,"BBB",IF(T136&lt;='组合输入'!$O5,"BB",IF(T136&lt;='组合输入'!$P5,"B",IF(T136&lt;='组合输入'!$Q5,"CCC","D")))))))</f>
        <v/>
      </c>
      <c r="V136" s="12">
        <f>IF(U136="","",INDEX('状态价值'!$D5:$K5,MATCH(U136,'状态价值'!$D$1:$K$1,0)))</f>
        <v/>
      </c>
      <c r="W136" s="15">
        <f>NORM.S.INV(RAND())</f>
        <v/>
      </c>
      <c r="X136" s="15">
        <f>IF('组合输入'!$C6="","",'组合输入'!$H6*$B136+SQRT(1-'组合输入'!$H6^2)*W136)</f>
        <v/>
      </c>
      <c r="Y136" s="7">
        <f>IF(X136="","",NORM.S.DIST(X136,TRUE))</f>
        <v/>
      </c>
      <c r="Z136" s="13">
        <f>IF(Y136="","",IF(Y136&lt;='组合输入'!$K6,"AAA",IF(Y136&lt;='组合输入'!$L6,"AA",IF(Y136&lt;='组合输入'!$M6,"A",IF(Y136&lt;='组合输入'!$N6,"BBB",IF(Y136&lt;='组合输入'!$O6,"BB",IF(Y136&lt;='组合输入'!$P6,"B",IF(Y136&lt;='组合输入'!$Q6,"CCC","D")))))))</f>
        <v/>
      </c>
      <c r="AA136" s="12">
        <f>IF(Z136="","",INDEX('状态价值'!$D6:$K6,MATCH(Z136,'状态价值'!$D$1:$K$1,0)))</f>
        <v/>
      </c>
      <c r="AB136" s="15">
        <f>NORM.S.INV(RAND())</f>
        <v/>
      </c>
      <c r="AC136" s="15">
        <f>IF('组合输入'!$C7="","",'组合输入'!$H7*$B136+SQRT(1-'组合输入'!$H7^2)*AB136)</f>
        <v/>
      </c>
      <c r="AD136" s="7">
        <f>IF(AC136="","",NORM.S.DIST(AC136,TRUE))</f>
        <v/>
      </c>
      <c r="AE136" s="13">
        <f>IF(AD136="","",IF(AD136&lt;='组合输入'!$K7,"AAA",IF(AD136&lt;='组合输入'!$L7,"AA",IF(AD136&lt;='组合输入'!$M7,"A",IF(AD136&lt;='组合输入'!$N7,"BBB",IF(AD136&lt;='组合输入'!$O7,"BB",IF(AD136&lt;='组合输入'!$P7,"B",IF(AD136&lt;='组合输入'!$Q7,"CCC","D")))))))</f>
        <v/>
      </c>
      <c r="AF136" s="12">
        <f>IF(AE136="","",INDEX('状态价值'!$D7:$K7,MATCH(AE136,'状态价值'!$D$1:$K$1,0)))</f>
        <v/>
      </c>
      <c r="AG136" s="15">
        <f>NORM.S.INV(RAND())</f>
        <v/>
      </c>
      <c r="AH136" s="15">
        <f>IF('组合输入'!$C8="","",'组合输入'!$H8*$B136+SQRT(1-'组合输入'!$H8^2)*AG136)</f>
        <v/>
      </c>
      <c r="AI136" s="7">
        <f>IF(AH136="","",NORM.S.DIST(AH136,TRUE))</f>
        <v/>
      </c>
      <c r="AJ136" s="13">
        <f>IF(AI136="","",IF(AI136&lt;='组合输入'!$K8,"AAA",IF(AI136&lt;='组合输入'!$L8,"AA",IF(AI136&lt;='组合输入'!$M8,"A",IF(AI136&lt;='组合输入'!$N8,"BBB",IF(AI136&lt;='组合输入'!$O8,"BB",IF(AI136&lt;='组合输入'!$P8,"B",IF(AI136&lt;='组合输入'!$Q8,"CCC","D")))))))</f>
        <v/>
      </c>
      <c r="AK136" s="12">
        <f>IF(AJ136="","",INDEX('状态价值'!$D8:$K8,MATCH(AJ136,'状态价值'!$D$1:$K$1,0)))</f>
        <v/>
      </c>
      <c r="AL136" s="15">
        <f>NORM.S.INV(RAND())</f>
        <v/>
      </c>
      <c r="AM136" s="15">
        <f>IF('组合输入'!$C9="","",'组合输入'!$H9*$B136+SQRT(1-'组合输入'!$H9^2)*AL136)</f>
        <v/>
      </c>
      <c r="AN136" s="7">
        <f>IF(AM136="","",NORM.S.DIST(AM136,TRUE))</f>
        <v/>
      </c>
      <c r="AO136" s="13">
        <f>IF(AN136="","",IF(AN136&lt;='组合输入'!$K9,"AAA",IF(AN136&lt;='组合输入'!$L9,"AA",IF(AN136&lt;='组合输入'!$M9,"A",IF(AN136&lt;='组合输入'!$N9,"BBB",IF(AN136&lt;='组合输入'!$O9,"BB",IF(AN136&lt;='组合输入'!$P9,"B",IF(AN136&lt;='组合输入'!$Q9,"CCC","D")))))))</f>
        <v/>
      </c>
      <c r="AP136" s="12">
        <f>IF(AO136="","",INDEX('状态价值'!$D9:$K9,MATCH(AO136,'状态价值'!$D$1:$K$1,0)))</f>
        <v/>
      </c>
      <c r="AQ136" s="15">
        <f>NORM.S.INV(RAND())</f>
        <v/>
      </c>
      <c r="AR136" s="15">
        <f>IF('组合输入'!$C10="","",'组合输入'!$H10*$B136+SQRT(1-'组合输入'!$H10^2)*AQ136)</f>
        <v/>
      </c>
      <c r="AS136" s="7">
        <f>IF(AR136="","",NORM.S.DIST(AR136,TRUE))</f>
        <v/>
      </c>
      <c r="AT136" s="13">
        <f>IF(AS136="","",IF(AS136&lt;='组合输入'!$K10,"AAA",IF(AS136&lt;='组合输入'!$L10,"AA",IF(AS136&lt;='组合输入'!$M10,"A",IF(AS136&lt;='组合输入'!$N10,"BBB",IF(AS136&lt;='组合输入'!$O10,"BB",IF(AS136&lt;='组合输入'!$P10,"B",IF(AS136&lt;='组合输入'!$Q10,"CCC","D")))))))</f>
        <v/>
      </c>
      <c r="AU136" s="12">
        <f>IF(AT136="","",INDEX('状态价值'!$D10:$K10,MATCH(AT136,'状态价值'!$D$1:$K$1,0)))</f>
        <v/>
      </c>
      <c r="AV136" s="15">
        <f>NORM.S.INV(RAND())</f>
        <v/>
      </c>
      <c r="AW136" s="15">
        <f>IF('组合输入'!$C11="","",'组合输入'!$H11*$B136+SQRT(1-'组合输入'!$H11^2)*AV136)</f>
        <v/>
      </c>
      <c r="AX136" s="7">
        <f>IF(AW136="","",NORM.S.DIST(AW136,TRUE))</f>
        <v/>
      </c>
      <c r="AY136" s="13">
        <f>IF(AX136="","",IF(AX136&lt;='组合输入'!$K11,"AAA",IF(AX136&lt;='组合输入'!$L11,"AA",IF(AX136&lt;='组合输入'!$M11,"A",IF(AX136&lt;='组合输入'!$N11,"BBB",IF(AX136&lt;='组合输入'!$O11,"BB",IF(AX136&lt;='组合输入'!$P11,"B",IF(AX136&lt;='组合输入'!$Q11,"CCC","D")))))))</f>
        <v/>
      </c>
      <c r="AZ136" s="12">
        <f>IF(AY136="","",INDEX('状态价值'!$D11:$K11,MATCH(AY136,'状态价值'!$D$1:$K$1,0)))</f>
        <v/>
      </c>
      <c r="BA136" s="12">
        <f>G136+L136+Q136+V136+AA136+AF136+AK136+AP136+AU136+AZ136</f>
        <v/>
      </c>
      <c r="BB136" s="12">
        <f>SUM('组合输入'!$J$2:$J$11)-BA136</f>
        <v/>
      </c>
    </row>
    <row r="137">
      <c r="A137" s="11" t="n">
        <v>136</v>
      </c>
      <c r="B137" s="14">
        <f>NORM.S.INV(RAND())</f>
        <v/>
      </c>
      <c r="C137" s="14">
        <f>NORM.S.INV(RAND())</f>
        <v/>
      </c>
      <c r="D137" s="15">
        <f>IF('组合输入'!$C2="","",'组合输入'!$H2*$B137+SQRT(1-'组合输入'!$H2^2)*C137)</f>
        <v/>
      </c>
      <c r="E137" s="7">
        <f>IF(D137="","",NORM.S.DIST(D137,TRUE))</f>
        <v/>
      </c>
      <c r="F137" s="13">
        <f>IF(E137="","",IF(E137&lt;='组合输入'!$K2,"AAA",IF(E137&lt;='组合输入'!$L2,"AA",IF(E137&lt;='组合输入'!$M2,"A",IF(E137&lt;='组合输入'!$N2,"BBB",IF(E137&lt;='组合输入'!$O2,"BB",IF(E137&lt;='组合输入'!$P2,"B",IF(E137&lt;='组合输入'!$Q2,"CCC","D")))))))</f>
        <v/>
      </c>
      <c r="G137" s="12">
        <f>IF(F137="","",INDEX('状态价值'!$D2:$K2,MATCH(F137,'状态价值'!$D$1:$K$1,0)))</f>
        <v/>
      </c>
      <c r="H137" s="15">
        <f>NORM.S.INV(RAND())</f>
        <v/>
      </c>
      <c r="I137" s="15">
        <f>IF('组合输入'!$C3="","",'组合输入'!$H3*$B137+SQRT(1-'组合输入'!$H3^2)*H137)</f>
        <v/>
      </c>
      <c r="J137" s="7">
        <f>IF(I137="","",NORM.S.DIST(I137,TRUE))</f>
        <v/>
      </c>
      <c r="K137" s="13">
        <f>IF(J137="","",IF(J137&lt;='组合输入'!$K3,"AAA",IF(J137&lt;='组合输入'!$L3,"AA",IF(J137&lt;='组合输入'!$M3,"A",IF(J137&lt;='组合输入'!$N3,"BBB",IF(J137&lt;='组合输入'!$O3,"BB",IF(J137&lt;='组合输入'!$P3,"B",IF(J137&lt;='组合输入'!$Q3,"CCC","D")))))))</f>
        <v/>
      </c>
      <c r="L137" s="12">
        <f>IF(K137="","",INDEX('状态价值'!$D3:$K3,MATCH(K137,'状态价值'!$D$1:$K$1,0)))</f>
        <v/>
      </c>
      <c r="M137" s="15">
        <f>NORM.S.INV(RAND())</f>
        <v/>
      </c>
      <c r="N137" s="15">
        <f>IF('组合输入'!$C4="","",'组合输入'!$H4*$B137+SQRT(1-'组合输入'!$H4^2)*M137)</f>
        <v/>
      </c>
      <c r="O137" s="7">
        <f>IF(N137="","",NORM.S.DIST(N137,TRUE))</f>
        <v/>
      </c>
      <c r="P137" s="13">
        <f>IF(O137="","",IF(O137&lt;='组合输入'!$K4,"AAA",IF(O137&lt;='组合输入'!$L4,"AA",IF(O137&lt;='组合输入'!$M4,"A",IF(O137&lt;='组合输入'!$N4,"BBB",IF(O137&lt;='组合输入'!$O4,"BB",IF(O137&lt;='组合输入'!$P4,"B",IF(O137&lt;='组合输入'!$Q4,"CCC","D")))))))</f>
        <v/>
      </c>
      <c r="Q137" s="12">
        <f>IF(P137="","",INDEX('状态价值'!$D4:$K4,MATCH(P137,'状态价值'!$D$1:$K$1,0)))</f>
        <v/>
      </c>
      <c r="R137" s="15">
        <f>NORM.S.INV(RAND())</f>
        <v/>
      </c>
      <c r="S137" s="15">
        <f>IF('组合输入'!$C5="","",'组合输入'!$H5*$B137+SQRT(1-'组合输入'!$H5^2)*R137)</f>
        <v/>
      </c>
      <c r="T137" s="7">
        <f>IF(S137="","",NORM.S.DIST(S137,TRUE))</f>
        <v/>
      </c>
      <c r="U137" s="13">
        <f>IF(T137="","",IF(T137&lt;='组合输入'!$K5,"AAA",IF(T137&lt;='组合输入'!$L5,"AA",IF(T137&lt;='组合输入'!$M5,"A",IF(T137&lt;='组合输入'!$N5,"BBB",IF(T137&lt;='组合输入'!$O5,"BB",IF(T137&lt;='组合输入'!$P5,"B",IF(T137&lt;='组合输入'!$Q5,"CCC","D")))))))</f>
        <v/>
      </c>
      <c r="V137" s="12">
        <f>IF(U137="","",INDEX('状态价值'!$D5:$K5,MATCH(U137,'状态价值'!$D$1:$K$1,0)))</f>
        <v/>
      </c>
      <c r="W137" s="15">
        <f>NORM.S.INV(RAND())</f>
        <v/>
      </c>
      <c r="X137" s="15">
        <f>IF('组合输入'!$C6="","",'组合输入'!$H6*$B137+SQRT(1-'组合输入'!$H6^2)*W137)</f>
        <v/>
      </c>
      <c r="Y137" s="7">
        <f>IF(X137="","",NORM.S.DIST(X137,TRUE))</f>
        <v/>
      </c>
      <c r="Z137" s="13">
        <f>IF(Y137="","",IF(Y137&lt;='组合输入'!$K6,"AAA",IF(Y137&lt;='组合输入'!$L6,"AA",IF(Y137&lt;='组合输入'!$M6,"A",IF(Y137&lt;='组合输入'!$N6,"BBB",IF(Y137&lt;='组合输入'!$O6,"BB",IF(Y137&lt;='组合输入'!$P6,"B",IF(Y137&lt;='组合输入'!$Q6,"CCC","D")))))))</f>
        <v/>
      </c>
      <c r="AA137" s="12">
        <f>IF(Z137="","",INDEX('状态价值'!$D6:$K6,MATCH(Z137,'状态价值'!$D$1:$K$1,0)))</f>
        <v/>
      </c>
      <c r="AB137" s="15">
        <f>NORM.S.INV(RAND())</f>
        <v/>
      </c>
      <c r="AC137" s="15">
        <f>IF('组合输入'!$C7="","",'组合输入'!$H7*$B137+SQRT(1-'组合输入'!$H7^2)*AB137)</f>
        <v/>
      </c>
      <c r="AD137" s="7">
        <f>IF(AC137="","",NORM.S.DIST(AC137,TRUE))</f>
        <v/>
      </c>
      <c r="AE137" s="13">
        <f>IF(AD137="","",IF(AD137&lt;='组合输入'!$K7,"AAA",IF(AD137&lt;='组合输入'!$L7,"AA",IF(AD137&lt;='组合输入'!$M7,"A",IF(AD137&lt;='组合输入'!$N7,"BBB",IF(AD137&lt;='组合输入'!$O7,"BB",IF(AD137&lt;='组合输入'!$P7,"B",IF(AD137&lt;='组合输入'!$Q7,"CCC","D")))))))</f>
        <v/>
      </c>
      <c r="AF137" s="12">
        <f>IF(AE137="","",INDEX('状态价值'!$D7:$K7,MATCH(AE137,'状态价值'!$D$1:$K$1,0)))</f>
        <v/>
      </c>
      <c r="AG137" s="15">
        <f>NORM.S.INV(RAND())</f>
        <v/>
      </c>
      <c r="AH137" s="15">
        <f>IF('组合输入'!$C8="","",'组合输入'!$H8*$B137+SQRT(1-'组合输入'!$H8^2)*AG137)</f>
        <v/>
      </c>
      <c r="AI137" s="7">
        <f>IF(AH137="","",NORM.S.DIST(AH137,TRUE))</f>
        <v/>
      </c>
      <c r="AJ137" s="13">
        <f>IF(AI137="","",IF(AI137&lt;='组合输入'!$K8,"AAA",IF(AI137&lt;='组合输入'!$L8,"AA",IF(AI137&lt;='组合输入'!$M8,"A",IF(AI137&lt;='组合输入'!$N8,"BBB",IF(AI137&lt;='组合输入'!$O8,"BB",IF(AI137&lt;='组合输入'!$P8,"B",IF(AI137&lt;='组合输入'!$Q8,"CCC","D")))))))</f>
        <v/>
      </c>
      <c r="AK137" s="12">
        <f>IF(AJ137="","",INDEX('状态价值'!$D8:$K8,MATCH(AJ137,'状态价值'!$D$1:$K$1,0)))</f>
        <v/>
      </c>
      <c r="AL137" s="15">
        <f>NORM.S.INV(RAND())</f>
        <v/>
      </c>
      <c r="AM137" s="15">
        <f>IF('组合输入'!$C9="","",'组合输入'!$H9*$B137+SQRT(1-'组合输入'!$H9^2)*AL137)</f>
        <v/>
      </c>
      <c r="AN137" s="7">
        <f>IF(AM137="","",NORM.S.DIST(AM137,TRUE))</f>
        <v/>
      </c>
      <c r="AO137" s="13">
        <f>IF(AN137="","",IF(AN137&lt;='组合输入'!$K9,"AAA",IF(AN137&lt;='组合输入'!$L9,"AA",IF(AN137&lt;='组合输入'!$M9,"A",IF(AN137&lt;='组合输入'!$N9,"BBB",IF(AN137&lt;='组合输入'!$O9,"BB",IF(AN137&lt;='组合输入'!$P9,"B",IF(AN137&lt;='组合输入'!$Q9,"CCC","D")))))))</f>
        <v/>
      </c>
      <c r="AP137" s="12">
        <f>IF(AO137="","",INDEX('状态价值'!$D9:$K9,MATCH(AO137,'状态价值'!$D$1:$K$1,0)))</f>
        <v/>
      </c>
      <c r="AQ137" s="15">
        <f>NORM.S.INV(RAND())</f>
        <v/>
      </c>
      <c r="AR137" s="15">
        <f>IF('组合输入'!$C10="","",'组合输入'!$H10*$B137+SQRT(1-'组合输入'!$H10^2)*AQ137)</f>
        <v/>
      </c>
      <c r="AS137" s="7">
        <f>IF(AR137="","",NORM.S.DIST(AR137,TRUE))</f>
        <v/>
      </c>
      <c r="AT137" s="13">
        <f>IF(AS137="","",IF(AS137&lt;='组合输入'!$K10,"AAA",IF(AS137&lt;='组合输入'!$L10,"AA",IF(AS137&lt;='组合输入'!$M10,"A",IF(AS137&lt;='组合输入'!$N10,"BBB",IF(AS137&lt;='组合输入'!$O10,"BB",IF(AS137&lt;='组合输入'!$P10,"B",IF(AS137&lt;='组合输入'!$Q10,"CCC","D")))))))</f>
        <v/>
      </c>
      <c r="AU137" s="12">
        <f>IF(AT137="","",INDEX('状态价值'!$D10:$K10,MATCH(AT137,'状态价值'!$D$1:$K$1,0)))</f>
        <v/>
      </c>
      <c r="AV137" s="15">
        <f>NORM.S.INV(RAND())</f>
        <v/>
      </c>
      <c r="AW137" s="15">
        <f>IF('组合输入'!$C11="","",'组合输入'!$H11*$B137+SQRT(1-'组合输入'!$H11^2)*AV137)</f>
        <v/>
      </c>
      <c r="AX137" s="7">
        <f>IF(AW137="","",NORM.S.DIST(AW137,TRUE))</f>
        <v/>
      </c>
      <c r="AY137" s="13">
        <f>IF(AX137="","",IF(AX137&lt;='组合输入'!$K11,"AAA",IF(AX137&lt;='组合输入'!$L11,"AA",IF(AX137&lt;='组合输入'!$M11,"A",IF(AX137&lt;='组合输入'!$N11,"BBB",IF(AX137&lt;='组合输入'!$O11,"BB",IF(AX137&lt;='组合输入'!$P11,"B",IF(AX137&lt;='组合输入'!$Q11,"CCC","D")))))))</f>
        <v/>
      </c>
      <c r="AZ137" s="12">
        <f>IF(AY137="","",INDEX('状态价值'!$D11:$K11,MATCH(AY137,'状态价值'!$D$1:$K$1,0)))</f>
        <v/>
      </c>
      <c r="BA137" s="12">
        <f>G137+L137+Q137+V137+AA137+AF137+AK137+AP137+AU137+AZ137</f>
        <v/>
      </c>
      <c r="BB137" s="12">
        <f>SUM('组合输入'!$J$2:$J$11)-BA137</f>
        <v/>
      </c>
    </row>
    <row r="138">
      <c r="A138" s="11" t="n">
        <v>137</v>
      </c>
      <c r="B138" s="14">
        <f>NORM.S.INV(RAND())</f>
        <v/>
      </c>
      <c r="C138" s="14">
        <f>NORM.S.INV(RAND())</f>
        <v/>
      </c>
      <c r="D138" s="15">
        <f>IF('组合输入'!$C2="","",'组合输入'!$H2*$B138+SQRT(1-'组合输入'!$H2^2)*C138)</f>
        <v/>
      </c>
      <c r="E138" s="7">
        <f>IF(D138="","",NORM.S.DIST(D138,TRUE))</f>
        <v/>
      </c>
      <c r="F138" s="13">
        <f>IF(E138="","",IF(E138&lt;='组合输入'!$K2,"AAA",IF(E138&lt;='组合输入'!$L2,"AA",IF(E138&lt;='组合输入'!$M2,"A",IF(E138&lt;='组合输入'!$N2,"BBB",IF(E138&lt;='组合输入'!$O2,"BB",IF(E138&lt;='组合输入'!$P2,"B",IF(E138&lt;='组合输入'!$Q2,"CCC","D")))))))</f>
        <v/>
      </c>
      <c r="G138" s="12">
        <f>IF(F138="","",INDEX('状态价值'!$D2:$K2,MATCH(F138,'状态价值'!$D$1:$K$1,0)))</f>
        <v/>
      </c>
      <c r="H138" s="15">
        <f>NORM.S.INV(RAND())</f>
        <v/>
      </c>
      <c r="I138" s="15">
        <f>IF('组合输入'!$C3="","",'组合输入'!$H3*$B138+SQRT(1-'组合输入'!$H3^2)*H138)</f>
        <v/>
      </c>
      <c r="J138" s="7">
        <f>IF(I138="","",NORM.S.DIST(I138,TRUE))</f>
        <v/>
      </c>
      <c r="K138" s="13">
        <f>IF(J138="","",IF(J138&lt;='组合输入'!$K3,"AAA",IF(J138&lt;='组合输入'!$L3,"AA",IF(J138&lt;='组合输入'!$M3,"A",IF(J138&lt;='组合输入'!$N3,"BBB",IF(J138&lt;='组合输入'!$O3,"BB",IF(J138&lt;='组合输入'!$P3,"B",IF(J138&lt;='组合输入'!$Q3,"CCC","D")))))))</f>
        <v/>
      </c>
      <c r="L138" s="12">
        <f>IF(K138="","",INDEX('状态价值'!$D3:$K3,MATCH(K138,'状态价值'!$D$1:$K$1,0)))</f>
        <v/>
      </c>
      <c r="M138" s="15">
        <f>NORM.S.INV(RAND())</f>
        <v/>
      </c>
      <c r="N138" s="15">
        <f>IF('组合输入'!$C4="","",'组合输入'!$H4*$B138+SQRT(1-'组合输入'!$H4^2)*M138)</f>
        <v/>
      </c>
      <c r="O138" s="7">
        <f>IF(N138="","",NORM.S.DIST(N138,TRUE))</f>
        <v/>
      </c>
      <c r="P138" s="13">
        <f>IF(O138="","",IF(O138&lt;='组合输入'!$K4,"AAA",IF(O138&lt;='组合输入'!$L4,"AA",IF(O138&lt;='组合输入'!$M4,"A",IF(O138&lt;='组合输入'!$N4,"BBB",IF(O138&lt;='组合输入'!$O4,"BB",IF(O138&lt;='组合输入'!$P4,"B",IF(O138&lt;='组合输入'!$Q4,"CCC","D")))))))</f>
        <v/>
      </c>
      <c r="Q138" s="12">
        <f>IF(P138="","",INDEX('状态价值'!$D4:$K4,MATCH(P138,'状态价值'!$D$1:$K$1,0)))</f>
        <v/>
      </c>
      <c r="R138" s="15">
        <f>NORM.S.INV(RAND())</f>
        <v/>
      </c>
      <c r="S138" s="15">
        <f>IF('组合输入'!$C5="","",'组合输入'!$H5*$B138+SQRT(1-'组合输入'!$H5^2)*R138)</f>
        <v/>
      </c>
      <c r="T138" s="7">
        <f>IF(S138="","",NORM.S.DIST(S138,TRUE))</f>
        <v/>
      </c>
      <c r="U138" s="13">
        <f>IF(T138="","",IF(T138&lt;='组合输入'!$K5,"AAA",IF(T138&lt;='组合输入'!$L5,"AA",IF(T138&lt;='组合输入'!$M5,"A",IF(T138&lt;='组合输入'!$N5,"BBB",IF(T138&lt;='组合输入'!$O5,"BB",IF(T138&lt;='组合输入'!$P5,"B",IF(T138&lt;='组合输入'!$Q5,"CCC","D")))))))</f>
        <v/>
      </c>
      <c r="V138" s="12">
        <f>IF(U138="","",INDEX('状态价值'!$D5:$K5,MATCH(U138,'状态价值'!$D$1:$K$1,0)))</f>
        <v/>
      </c>
      <c r="W138" s="15">
        <f>NORM.S.INV(RAND())</f>
        <v/>
      </c>
      <c r="X138" s="15">
        <f>IF('组合输入'!$C6="","",'组合输入'!$H6*$B138+SQRT(1-'组合输入'!$H6^2)*W138)</f>
        <v/>
      </c>
      <c r="Y138" s="7">
        <f>IF(X138="","",NORM.S.DIST(X138,TRUE))</f>
        <v/>
      </c>
      <c r="Z138" s="13">
        <f>IF(Y138="","",IF(Y138&lt;='组合输入'!$K6,"AAA",IF(Y138&lt;='组合输入'!$L6,"AA",IF(Y138&lt;='组合输入'!$M6,"A",IF(Y138&lt;='组合输入'!$N6,"BBB",IF(Y138&lt;='组合输入'!$O6,"BB",IF(Y138&lt;='组合输入'!$P6,"B",IF(Y138&lt;='组合输入'!$Q6,"CCC","D")))))))</f>
        <v/>
      </c>
      <c r="AA138" s="12">
        <f>IF(Z138="","",INDEX('状态价值'!$D6:$K6,MATCH(Z138,'状态价值'!$D$1:$K$1,0)))</f>
        <v/>
      </c>
      <c r="AB138" s="15">
        <f>NORM.S.INV(RAND())</f>
        <v/>
      </c>
      <c r="AC138" s="15">
        <f>IF('组合输入'!$C7="","",'组合输入'!$H7*$B138+SQRT(1-'组合输入'!$H7^2)*AB138)</f>
        <v/>
      </c>
      <c r="AD138" s="7">
        <f>IF(AC138="","",NORM.S.DIST(AC138,TRUE))</f>
        <v/>
      </c>
      <c r="AE138" s="13">
        <f>IF(AD138="","",IF(AD138&lt;='组合输入'!$K7,"AAA",IF(AD138&lt;='组合输入'!$L7,"AA",IF(AD138&lt;='组合输入'!$M7,"A",IF(AD138&lt;='组合输入'!$N7,"BBB",IF(AD138&lt;='组合输入'!$O7,"BB",IF(AD138&lt;='组合输入'!$P7,"B",IF(AD138&lt;='组合输入'!$Q7,"CCC","D")))))))</f>
        <v/>
      </c>
      <c r="AF138" s="12">
        <f>IF(AE138="","",INDEX('状态价值'!$D7:$K7,MATCH(AE138,'状态价值'!$D$1:$K$1,0)))</f>
        <v/>
      </c>
      <c r="AG138" s="15">
        <f>NORM.S.INV(RAND())</f>
        <v/>
      </c>
      <c r="AH138" s="15">
        <f>IF('组合输入'!$C8="","",'组合输入'!$H8*$B138+SQRT(1-'组合输入'!$H8^2)*AG138)</f>
        <v/>
      </c>
      <c r="AI138" s="7">
        <f>IF(AH138="","",NORM.S.DIST(AH138,TRUE))</f>
        <v/>
      </c>
      <c r="AJ138" s="13">
        <f>IF(AI138="","",IF(AI138&lt;='组合输入'!$K8,"AAA",IF(AI138&lt;='组合输入'!$L8,"AA",IF(AI138&lt;='组合输入'!$M8,"A",IF(AI138&lt;='组合输入'!$N8,"BBB",IF(AI138&lt;='组合输入'!$O8,"BB",IF(AI138&lt;='组合输入'!$P8,"B",IF(AI138&lt;='组合输入'!$Q8,"CCC","D")))))))</f>
        <v/>
      </c>
      <c r="AK138" s="12">
        <f>IF(AJ138="","",INDEX('状态价值'!$D8:$K8,MATCH(AJ138,'状态价值'!$D$1:$K$1,0)))</f>
        <v/>
      </c>
      <c r="AL138" s="15">
        <f>NORM.S.INV(RAND())</f>
        <v/>
      </c>
      <c r="AM138" s="15">
        <f>IF('组合输入'!$C9="","",'组合输入'!$H9*$B138+SQRT(1-'组合输入'!$H9^2)*AL138)</f>
        <v/>
      </c>
      <c r="AN138" s="7">
        <f>IF(AM138="","",NORM.S.DIST(AM138,TRUE))</f>
        <v/>
      </c>
      <c r="AO138" s="13">
        <f>IF(AN138="","",IF(AN138&lt;='组合输入'!$K9,"AAA",IF(AN138&lt;='组合输入'!$L9,"AA",IF(AN138&lt;='组合输入'!$M9,"A",IF(AN138&lt;='组合输入'!$N9,"BBB",IF(AN138&lt;='组合输入'!$O9,"BB",IF(AN138&lt;='组合输入'!$P9,"B",IF(AN138&lt;='组合输入'!$Q9,"CCC","D")))))))</f>
        <v/>
      </c>
      <c r="AP138" s="12">
        <f>IF(AO138="","",INDEX('状态价值'!$D9:$K9,MATCH(AO138,'状态价值'!$D$1:$K$1,0)))</f>
        <v/>
      </c>
      <c r="AQ138" s="15">
        <f>NORM.S.INV(RAND())</f>
        <v/>
      </c>
      <c r="AR138" s="15">
        <f>IF('组合输入'!$C10="","",'组合输入'!$H10*$B138+SQRT(1-'组合输入'!$H10^2)*AQ138)</f>
        <v/>
      </c>
      <c r="AS138" s="7">
        <f>IF(AR138="","",NORM.S.DIST(AR138,TRUE))</f>
        <v/>
      </c>
      <c r="AT138" s="13">
        <f>IF(AS138="","",IF(AS138&lt;='组合输入'!$K10,"AAA",IF(AS138&lt;='组合输入'!$L10,"AA",IF(AS138&lt;='组合输入'!$M10,"A",IF(AS138&lt;='组合输入'!$N10,"BBB",IF(AS138&lt;='组合输入'!$O10,"BB",IF(AS138&lt;='组合输入'!$P10,"B",IF(AS138&lt;='组合输入'!$Q10,"CCC","D")))))))</f>
        <v/>
      </c>
      <c r="AU138" s="12">
        <f>IF(AT138="","",INDEX('状态价值'!$D10:$K10,MATCH(AT138,'状态价值'!$D$1:$K$1,0)))</f>
        <v/>
      </c>
      <c r="AV138" s="15">
        <f>NORM.S.INV(RAND())</f>
        <v/>
      </c>
      <c r="AW138" s="15">
        <f>IF('组合输入'!$C11="","",'组合输入'!$H11*$B138+SQRT(1-'组合输入'!$H11^2)*AV138)</f>
        <v/>
      </c>
      <c r="AX138" s="7">
        <f>IF(AW138="","",NORM.S.DIST(AW138,TRUE))</f>
        <v/>
      </c>
      <c r="AY138" s="13">
        <f>IF(AX138="","",IF(AX138&lt;='组合输入'!$K11,"AAA",IF(AX138&lt;='组合输入'!$L11,"AA",IF(AX138&lt;='组合输入'!$M11,"A",IF(AX138&lt;='组合输入'!$N11,"BBB",IF(AX138&lt;='组合输入'!$O11,"BB",IF(AX138&lt;='组合输入'!$P11,"B",IF(AX138&lt;='组合输入'!$Q11,"CCC","D")))))))</f>
        <v/>
      </c>
      <c r="AZ138" s="12">
        <f>IF(AY138="","",INDEX('状态价值'!$D11:$K11,MATCH(AY138,'状态价值'!$D$1:$K$1,0)))</f>
        <v/>
      </c>
      <c r="BA138" s="12">
        <f>G138+L138+Q138+V138+AA138+AF138+AK138+AP138+AU138+AZ138</f>
        <v/>
      </c>
      <c r="BB138" s="12">
        <f>SUM('组合输入'!$J$2:$J$11)-BA138</f>
        <v/>
      </c>
    </row>
    <row r="139">
      <c r="A139" s="11" t="n">
        <v>138</v>
      </c>
      <c r="B139" s="14">
        <f>NORM.S.INV(RAND())</f>
        <v/>
      </c>
      <c r="C139" s="14">
        <f>NORM.S.INV(RAND())</f>
        <v/>
      </c>
      <c r="D139" s="15">
        <f>IF('组合输入'!$C2="","",'组合输入'!$H2*$B139+SQRT(1-'组合输入'!$H2^2)*C139)</f>
        <v/>
      </c>
      <c r="E139" s="7">
        <f>IF(D139="","",NORM.S.DIST(D139,TRUE))</f>
        <v/>
      </c>
      <c r="F139" s="13">
        <f>IF(E139="","",IF(E139&lt;='组合输入'!$K2,"AAA",IF(E139&lt;='组合输入'!$L2,"AA",IF(E139&lt;='组合输入'!$M2,"A",IF(E139&lt;='组合输入'!$N2,"BBB",IF(E139&lt;='组合输入'!$O2,"BB",IF(E139&lt;='组合输入'!$P2,"B",IF(E139&lt;='组合输入'!$Q2,"CCC","D")))))))</f>
        <v/>
      </c>
      <c r="G139" s="12">
        <f>IF(F139="","",INDEX('状态价值'!$D2:$K2,MATCH(F139,'状态价值'!$D$1:$K$1,0)))</f>
        <v/>
      </c>
      <c r="H139" s="15">
        <f>NORM.S.INV(RAND())</f>
        <v/>
      </c>
      <c r="I139" s="15">
        <f>IF('组合输入'!$C3="","",'组合输入'!$H3*$B139+SQRT(1-'组合输入'!$H3^2)*H139)</f>
        <v/>
      </c>
      <c r="J139" s="7">
        <f>IF(I139="","",NORM.S.DIST(I139,TRUE))</f>
        <v/>
      </c>
      <c r="K139" s="13">
        <f>IF(J139="","",IF(J139&lt;='组合输入'!$K3,"AAA",IF(J139&lt;='组合输入'!$L3,"AA",IF(J139&lt;='组合输入'!$M3,"A",IF(J139&lt;='组合输入'!$N3,"BBB",IF(J139&lt;='组合输入'!$O3,"BB",IF(J139&lt;='组合输入'!$P3,"B",IF(J139&lt;='组合输入'!$Q3,"CCC","D")))))))</f>
        <v/>
      </c>
      <c r="L139" s="12">
        <f>IF(K139="","",INDEX('状态价值'!$D3:$K3,MATCH(K139,'状态价值'!$D$1:$K$1,0)))</f>
        <v/>
      </c>
      <c r="M139" s="15">
        <f>NORM.S.INV(RAND())</f>
        <v/>
      </c>
      <c r="N139" s="15">
        <f>IF('组合输入'!$C4="","",'组合输入'!$H4*$B139+SQRT(1-'组合输入'!$H4^2)*M139)</f>
        <v/>
      </c>
      <c r="O139" s="7">
        <f>IF(N139="","",NORM.S.DIST(N139,TRUE))</f>
        <v/>
      </c>
      <c r="P139" s="13">
        <f>IF(O139="","",IF(O139&lt;='组合输入'!$K4,"AAA",IF(O139&lt;='组合输入'!$L4,"AA",IF(O139&lt;='组合输入'!$M4,"A",IF(O139&lt;='组合输入'!$N4,"BBB",IF(O139&lt;='组合输入'!$O4,"BB",IF(O139&lt;='组合输入'!$P4,"B",IF(O139&lt;='组合输入'!$Q4,"CCC","D")))))))</f>
        <v/>
      </c>
      <c r="Q139" s="12">
        <f>IF(P139="","",INDEX('状态价值'!$D4:$K4,MATCH(P139,'状态价值'!$D$1:$K$1,0)))</f>
        <v/>
      </c>
      <c r="R139" s="15">
        <f>NORM.S.INV(RAND())</f>
        <v/>
      </c>
      <c r="S139" s="15">
        <f>IF('组合输入'!$C5="","",'组合输入'!$H5*$B139+SQRT(1-'组合输入'!$H5^2)*R139)</f>
        <v/>
      </c>
      <c r="T139" s="7">
        <f>IF(S139="","",NORM.S.DIST(S139,TRUE))</f>
        <v/>
      </c>
      <c r="U139" s="13">
        <f>IF(T139="","",IF(T139&lt;='组合输入'!$K5,"AAA",IF(T139&lt;='组合输入'!$L5,"AA",IF(T139&lt;='组合输入'!$M5,"A",IF(T139&lt;='组合输入'!$N5,"BBB",IF(T139&lt;='组合输入'!$O5,"BB",IF(T139&lt;='组合输入'!$P5,"B",IF(T139&lt;='组合输入'!$Q5,"CCC","D")))))))</f>
        <v/>
      </c>
      <c r="V139" s="12">
        <f>IF(U139="","",INDEX('状态价值'!$D5:$K5,MATCH(U139,'状态价值'!$D$1:$K$1,0)))</f>
        <v/>
      </c>
      <c r="W139" s="15">
        <f>NORM.S.INV(RAND())</f>
        <v/>
      </c>
      <c r="X139" s="15">
        <f>IF('组合输入'!$C6="","",'组合输入'!$H6*$B139+SQRT(1-'组合输入'!$H6^2)*W139)</f>
        <v/>
      </c>
      <c r="Y139" s="7">
        <f>IF(X139="","",NORM.S.DIST(X139,TRUE))</f>
        <v/>
      </c>
      <c r="Z139" s="13">
        <f>IF(Y139="","",IF(Y139&lt;='组合输入'!$K6,"AAA",IF(Y139&lt;='组合输入'!$L6,"AA",IF(Y139&lt;='组合输入'!$M6,"A",IF(Y139&lt;='组合输入'!$N6,"BBB",IF(Y139&lt;='组合输入'!$O6,"BB",IF(Y139&lt;='组合输入'!$P6,"B",IF(Y139&lt;='组合输入'!$Q6,"CCC","D")))))))</f>
        <v/>
      </c>
      <c r="AA139" s="12">
        <f>IF(Z139="","",INDEX('状态价值'!$D6:$K6,MATCH(Z139,'状态价值'!$D$1:$K$1,0)))</f>
        <v/>
      </c>
      <c r="AB139" s="15">
        <f>NORM.S.INV(RAND())</f>
        <v/>
      </c>
      <c r="AC139" s="15">
        <f>IF('组合输入'!$C7="","",'组合输入'!$H7*$B139+SQRT(1-'组合输入'!$H7^2)*AB139)</f>
        <v/>
      </c>
      <c r="AD139" s="7">
        <f>IF(AC139="","",NORM.S.DIST(AC139,TRUE))</f>
        <v/>
      </c>
      <c r="AE139" s="13">
        <f>IF(AD139="","",IF(AD139&lt;='组合输入'!$K7,"AAA",IF(AD139&lt;='组合输入'!$L7,"AA",IF(AD139&lt;='组合输入'!$M7,"A",IF(AD139&lt;='组合输入'!$N7,"BBB",IF(AD139&lt;='组合输入'!$O7,"BB",IF(AD139&lt;='组合输入'!$P7,"B",IF(AD139&lt;='组合输入'!$Q7,"CCC","D")))))))</f>
        <v/>
      </c>
      <c r="AF139" s="12">
        <f>IF(AE139="","",INDEX('状态价值'!$D7:$K7,MATCH(AE139,'状态价值'!$D$1:$K$1,0)))</f>
        <v/>
      </c>
      <c r="AG139" s="15">
        <f>NORM.S.INV(RAND())</f>
        <v/>
      </c>
      <c r="AH139" s="15">
        <f>IF('组合输入'!$C8="","",'组合输入'!$H8*$B139+SQRT(1-'组合输入'!$H8^2)*AG139)</f>
        <v/>
      </c>
      <c r="AI139" s="7">
        <f>IF(AH139="","",NORM.S.DIST(AH139,TRUE))</f>
        <v/>
      </c>
      <c r="AJ139" s="13">
        <f>IF(AI139="","",IF(AI139&lt;='组合输入'!$K8,"AAA",IF(AI139&lt;='组合输入'!$L8,"AA",IF(AI139&lt;='组合输入'!$M8,"A",IF(AI139&lt;='组合输入'!$N8,"BBB",IF(AI139&lt;='组合输入'!$O8,"BB",IF(AI139&lt;='组合输入'!$P8,"B",IF(AI139&lt;='组合输入'!$Q8,"CCC","D")))))))</f>
        <v/>
      </c>
      <c r="AK139" s="12">
        <f>IF(AJ139="","",INDEX('状态价值'!$D8:$K8,MATCH(AJ139,'状态价值'!$D$1:$K$1,0)))</f>
        <v/>
      </c>
      <c r="AL139" s="15">
        <f>NORM.S.INV(RAND())</f>
        <v/>
      </c>
      <c r="AM139" s="15">
        <f>IF('组合输入'!$C9="","",'组合输入'!$H9*$B139+SQRT(1-'组合输入'!$H9^2)*AL139)</f>
        <v/>
      </c>
      <c r="AN139" s="7">
        <f>IF(AM139="","",NORM.S.DIST(AM139,TRUE))</f>
        <v/>
      </c>
      <c r="AO139" s="13">
        <f>IF(AN139="","",IF(AN139&lt;='组合输入'!$K9,"AAA",IF(AN139&lt;='组合输入'!$L9,"AA",IF(AN139&lt;='组合输入'!$M9,"A",IF(AN139&lt;='组合输入'!$N9,"BBB",IF(AN139&lt;='组合输入'!$O9,"BB",IF(AN139&lt;='组合输入'!$P9,"B",IF(AN139&lt;='组合输入'!$Q9,"CCC","D")))))))</f>
        <v/>
      </c>
      <c r="AP139" s="12">
        <f>IF(AO139="","",INDEX('状态价值'!$D9:$K9,MATCH(AO139,'状态价值'!$D$1:$K$1,0)))</f>
        <v/>
      </c>
      <c r="AQ139" s="15">
        <f>NORM.S.INV(RAND())</f>
        <v/>
      </c>
      <c r="AR139" s="15">
        <f>IF('组合输入'!$C10="","",'组合输入'!$H10*$B139+SQRT(1-'组合输入'!$H10^2)*AQ139)</f>
        <v/>
      </c>
      <c r="AS139" s="7">
        <f>IF(AR139="","",NORM.S.DIST(AR139,TRUE))</f>
        <v/>
      </c>
      <c r="AT139" s="13">
        <f>IF(AS139="","",IF(AS139&lt;='组合输入'!$K10,"AAA",IF(AS139&lt;='组合输入'!$L10,"AA",IF(AS139&lt;='组合输入'!$M10,"A",IF(AS139&lt;='组合输入'!$N10,"BBB",IF(AS139&lt;='组合输入'!$O10,"BB",IF(AS139&lt;='组合输入'!$P10,"B",IF(AS139&lt;='组合输入'!$Q10,"CCC","D")))))))</f>
        <v/>
      </c>
      <c r="AU139" s="12">
        <f>IF(AT139="","",INDEX('状态价值'!$D10:$K10,MATCH(AT139,'状态价值'!$D$1:$K$1,0)))</f>
        <v/>
      </c>
      <c r="AV139" s="15">
        <f>NORM.S.INV(RAND())</f>
        <v/>
      </c>
      <c r="AW139" s="15">
        <f>IF('组合输入'!$C11="","",'组合输入'!$H11*$B139+SQRT(1-'组合输入'!$H11^2)*AV139)</f>
        <v/>
      </c>
      <c r="AX139" s="7">
        <f>IF(AW139="","",NORM.S.DIST(AW139,TRUE))</f>
        <v/>
      </c>
      <c r="AY139" s="13">
        <f>IF(AX139="","",IF(AX139&lt;='组合输入'!$K11,"AAA",IF(AX139&lt;='组合输入'!$L11,"AA",IF(AX139&lt;='组合输入'!$M11,"A",IF(AX139&lt;='组合输入'!$N11,"BBB",IF(AX139&lt;='组合输入'!$O11,"BB",IF(AX139&lt;='组合输入'!$P11,"B",IF(AX139&lt;='组合输入'!$Q11,"CCC","D")))))))</f>
        <v/>
      </c>
      <c r="AZ139" s="12">
        <f>IF(AY139="","",INDEX('状态价值'!$D11:$K11,MATCH(AY139,'状态价值'!$D$1:$K$1,0)))</f>
        <v/>
      </c>
      <c r="BA139" s="12">
        <f>G139+L139+Q139+V139+AA139+AF139+AK139+AP139+AU139+AZ139</f>
        <v/>
      </c>
      <c r="BB139" s="12">
        <f>SUM('组合输入'!$J$2:$J$11)-BA139</f>
        <v/>
      </c>
    </row>
    <row r="140">
      <c r="A140" s="11" t="n">
        <v>139</v>
      </c>
      <c r="B140" s="14">
        <f>NORM.S.INV(RAND())</f>
        <v/>
      </c>
      <c r="C140" s="14">
        <f>NORM.S.INV(RAND())</f>
        <v/>
      </c>
      <c r="D140" s="15">
        <f>IF('组合输入'!$C2="","",'组合输入'!$H2*$B140+SQRT(1-'组合输入'!$H2^2)*C140)</f>
        <v/>
      </c>
      <c r="E140" s="7">
        <f>IF(D140="","",NORM.S.DIST(D140,TRUE))</f>
        <v/>
      </c>
      <c r="F140" s="13">
        <f>IF(E140="","",IF(E140&lt;='组合输入'!$K2,"AAA",IF(E140&lt;='组合输入'!$L2,"AA",IF(E140&lt;='组合输入'!$M2,"A",IF(E140&lt;='组合输入'!$N2,"BBB",IF(E140&lt;='组合输入'!$O2,"BB",IF(E140&lt;='组合输入'!$P2,"B",IF(E140&lt;='组合输入'!$Q2,"CCC","D")))))))</f>
        <v/>
      </c>
      <c r="G140" s="12">
        <f>IF(F140="","",INDEX('状态价值'!$D2:$K2,MATCH(F140,'状态价值'!$D$1:$K$1,0)))</f>
        <v/>
      </c>
      <c r="H140" s="15">
        <f>NORM.S.INV(RAND())</f>
        <v/>
      </c>
      <c r="I140" s="15">
        <f>IF('组合输入'!$C3="","",'组合输入'!$H3*$B140+SQRT(1-'组合输入'!$H3^2)*H140)</f>
        <v/>
      </c>
      <c r="J140" s="7">
        <f>IF(I140="","",NORM.S.DIST(I140,TRUE))</f>
        <v/>
      </c>
      <c r="K140" s="13">
        <f>IF(J140="","",IF(J140&lt;='组合输入'!$K3,"AAA",IF(J140&lt;='组合输入'!$L3,"AA",IF(J140&lt;='组合输入'!$M3,"A",IF(J140&lt;='组合输入'!$N3,"BBB",IF(J140&lt;='组合输入'!$O3,"BB",IF(J140&lt;='组合输入'!$P3,"B",IF(J140&lt;='组合输入'!$Q3,"CCC","D")))))))</f>
        <v/>
      </c>
      <c r="L140" s="12">
        <f>IF(K140="","",INDEX('状态价值'!$D3:$K3,MATCH(K140,'状态价值'!$D$1:$K$1,0)))</f>
        <v/>
      </c>
      <c r="M140" s="15">
        <f>NORM.S.INV(RAND())</f>
        <v/>
      </c>
      <c r="N140" s="15">
        <f>IF('组合输入'!$C4="","",'组合输入'!$H4*$B140+SQRT(1-'组合输入'!$H4^2)*M140)</f>
        <v/>
      </c>
      <c r="O140" s="7">
        <f>IF(N140="","",NORM.S.DIST(N140,TRUE))</f>
        <v/>
      </c>
      <c r="P140" s="13">
        <f>IF(O140="","",IF(O140&lt;='组合输入'!$K4,"AAA",IF(O140&lt;='组合输入'!$L4,"AA",IF(O140&lt;='组合输入'!$M4,"A",IF(O140&lt;='组合输入'!$N4,"BBB",IF(O140&lt;='组合输入'!$O4,"BB",IF(O140&lt;='组合输入'!$P4,"B",IF(O140&lt;='组合输入'!$Q4,"CCC","D")))))))</f>
        <v/>
      </c>
      <c r="Q140" s="12">
        <f>IF(P140="","",INDEX('状态价值'!$D4:$K4,MATCH(P140,'状态价值'!$D$1:$K$1,0)))</f>
        <v/>
      </c>
      <c r="R140" s="15">
        <f>NORM.S.INV(RAND())</f>
        <v/>
      </c>
      <c r="S140" s="15">
        <f>IF('组合输入'!$C5="","",'组合输入'!$H5*$B140+SQRT(1-'组合输入'!$H5^2)*R140)</f>
        <v/>
      </c>
      <c r="T140" s="7">
        <f>IF(S140="","",NORM.S.DIST(S140,TRUE))</f>
        <v/>
      </c>
      <c r="U140" s="13">
        <f>IF(T140="","",IF(T140&lt;='组合输入'!$K5,"AAA",IF(T140&lt;='组合输入'!$L5,"AA",IF(T140&lt;='组合输入'!$M5,"A",IF(T140&lt;='组合输入'!$N5,"BBB",IF(T140&lt;='组合输入'!$O5,"BB",IF(T140&lt;='组合输入'!$P5,"B",IF(T140&lt;='组合输入'!$Q5,"CCC","D")))))))</f>
        <v/>
      </c>
      <c r="V140" s="12">
        <f>IF(U140="","",INDEX('状态价值'!$D5:$K5,MATCH(U140,'状态价值'!$D$1:$K$1,0)))</f>
        <v/>
      </c>
      <c r="W140" s="15">
        <f>NORM.S.INV(RAND())</f>
        <v/>
      </c>
      <c r="X140" s="15">
        <f>IF('组合输入'!$C6="","",'组合输入'!$H6*$B140+SQRT(1-'组合输入'!$H6^2)*W140)</f>
        <v/>
      </c>
      <c r="Y140" s="7">
        <f>IF(X140="","",NORM.S.DIST(X140,TRUE))</f>
        <v/>
      </c>
      <c r="Z140" s="13">
        <f>IF(Y140="","",IF(Y140&lt;='组合输入'!$K6,"AAA",IF(Y140&lt;='组合输入'!$L6,"AA",IF(Y140&lt;='组合输入'!$M6,"A",IF(Y140&lt;='组合输入'!$N6,"BBB",IF(Y140&lt;='组合输入'!$O6,"BB",IF(Y140&lt;='组合输入'!$P6,"B",IF(Y140&lt;='组合输入'!$Q6,"CCC","D")))))))</f>
        <v/>
      </c>
      <c r="AA140" s="12">
        <f>IF(Z140="","",INDEX('状态价值'!$D6:$K6,MATCH(Z140,'状态价值'!$D$1:$K$1,0)))</f>
        <v/>
      </c>
      <c r="AB140" s="15">
        <f>NORM.S.INV(RAND())</f>
        <v/>
      </c>
      <c r="AC140" s="15">
        <f>IF('组合输入'!$C7="","",'组合输入'!$H7*$B140+SQRT(1-'组合输入'!$H7^2)*AB140)</f>
        <v/>
      </c>
      <c r="AD140" s="7">
        <f>IF(AC140="","",NORM.S.DIST(AC140,TRUE))</f>
        <v/>
      </c>
      <c r="AE140" s="13">
        <f>IF(AD140="","",IF(AD140&lt;='组合输入'!$K7,"AAA",IF(AD140&lt;='组合输入'!$L7,"AA",IF(AD140&lt;='组合输入'!$M7,"A",IF(AD140&lt;='组合输入'!$N7,"BBB",IF(AD140&lt;='组合输入'!$O7,"BB",IF(AD140&lt;='组合输入'!$P7,"B",IF(AD140&lt;='组合输入'!$Q7,"CCC","D")))))))</f>
        <v/>
      </c>
      <c r="AF140" s="12">
        <f>IF(AE140="","",INDEX('状态价值'!$D7:$K7,MATCH(AE140,'状态价值'!$D$1:$K$1,0)))</f>
        <v/>
      </c>
      <c r="AG140" s="15">
        <f>NORM.S.INV(RAND())</f>
        <v/>
      </c>
      <c r="AH140" s="15">
        <f>IF('组合输入'!$C8="","",'组合输入'!$H8*$B140+SQRT(1-'组合输入'!$H8^2)*AG140)</f>
        <v/>
      </c>
      <c r="AI140" s="7">
        <f>IF(AH140="","",NORM.S.DIST(AH140,TRUE))</f>
        <v/>
      </c>
      <c r="AJ140" s="13">
        <f>IF(AI140="","",IF(AI140&lt;='组合输入'!$K8,"AAA",IF(AI140&lt;='组合输入'!$L8,"AA",IF(AI140&lt;='组合输入'!$M8,"A",IF(AI140&lt;='组合输入'!$N8,"BBB",IF(AI140&lt;='组合输入'!$O8,"BB",IF(AI140&lt;='组合输入'!$P8,"B",IF(AI140&lt;='组合输入'!$Q8,"CCC","D")))))))</f>
        <v/>
      </c>
      <c r="AK140" s="12">
        <f>IF(AJ140="","",INDEX('状态价值'!$D8:$K8,MATCH(AJ140,'状态价值'!$D$1:$K$1,0)))</f>
        <v/>
      </c>
      <c r="AL140" s="15">
        <f>NORM.S.INV(RAND())</f>
        <v/>
      </c>
      <c r="AM140" s="15">
        <f>IF('组合输入'!$C9="","",'组合输入'!$H9*$B140+SQRT(1-'组合输入'!$H9^2)*AL140)</f>
        <v/>
      </c>
      <c r="AN140" s="7">
        <f>IF(AM140="","",NORM.S.DIST(AM140,TRUE))</f>
        <v/>
      </c>
      <c r="AO140" s="13">
        <f>IF(AN140="","",IF(AN140&lt;='组合输入'!$K9,"AAA",IF(AN140&lt;='组合输入'!$L9,"AA",IF(AN140&lt;='组合输入'!$M9,"A",IF(AN140&lt;='组合输入'!$N9,"BBB",IF(AN140&lt;='组合输入'!$O9,"BB",IF(AN140&lt;='组合输入'!$P9,"B",IF(AN140&lt;='组合输入'!$Q9,"CCC","D")))))))</f>
        <v/>
      </c>
      <c r="AP140" s="12">
        <f>IF(AO140="","",INDEX('状态价值'!$D9:$K9,MATCH(AO140,'状态价值'!$D$1:$K$1,0)))</f>
        <v/>
      </c>
      <c r="AQ140" s="15">
        <f>NORM.S.INV(RAND())</f>
        <v/>
      </c>
      <c r="AR140" s="15">
        <f>IF('组合输入'!$C10="","",'组合输入'!$H10*$B140+SQRT(1-'组合输入'!$H10^2)*AQ140)</f>
        <v/>
      </c>
      <c r="AS140" s="7">
        <f>IF(AR140="","",NORM.S.DIST(AR140,TRUE))</f>
        <v/>
      </c>
      <c r="AT140" s="13">
        <f>IF(AS140="","",IF(AS140&lt;='组合输入'!$K10,"AAA",IF(AS140&lt;='组合输入'!$L10,"AA",IF(AS140&lt;='组合输入'!$M10,"A",IF(AS140&lt;='组合输入'!$N10,"BBB",IF(AS140&lt;='组合输入'!$O10,"BB",IF(AS140&lt;='组合输入'!$P10,"B",IF(AS140&lt;='组合输入'!$Q10,"CCC","D")))))))</f>
        <v/>
      </c>
      <c r="AU140" s="12">
        <f>IF(AT140="","",INDEX('状态价值'!$D10:$K10,MATCH(AT140,'状态价值'!$D$1:$K$1,0)))</f>
        <v/>
      </c>
      <c r="AV140" s="15">
        <f>NORM.S.INV(RAND())</f>
        <v/>
      </c>
      <c r="AW140" s="15">
        <f>IF('组合输入'!$C11="","",'组合输入'!$H11*$B140+SQRT(1-'组合输入'!$H11^2)*AV140)</f>
        <v/>
      </c>
      <c r="AX140" s="7">
        <f>IF(AW140="","",NORM.S.DIST(AW140,TRUE))</f>
        <v/>
      </c>
      <c r="AY140" s="13">
        <f>IF(AX140="","",IF(AX140&lt;='组合输入'!$K11,"AAA",IF(AX140&lt;='组合输入'!$L11,"AA",IF(AX140&lt;='组合输入'!$M11,"A",IF(AX140&lt;='组合输入'!$N11,"BBB",IF(AX140&lt;='组合输入'!$O11,"BB",IF(AX140&lt;='组合输入'!$P11,"B",IF(AX140&lt;='组合输入'!$Q11,"CCC","D")))))))</f>
        <v/>
      </c>
      <c r="AZ140" s="12">
        <f>IF(AY140="","",INDEX('状态价值'!$D11:$K11,MATCH(AY140,'状态价值'!$D$1:$K$1,0)))</f>
        <v/>
      </c>
      <c r="BA140" s="12">
        <f>G140+L140+Q140+V140+AA140+AF140+AK140+AP140+AU140+AZ140</f>
        <v/>
      </c>
      <c r="BB140" s="12">
        <f>SUM('组合输入'!$J$2:$J$11)-BA140</f>
        <v/>
      </c>
    </row>
    <row r="141">
      <c r="A141" s="11" t="n">
        <v>140</v>
      </c>
      <c r="B141" s="14">
        <f>NORM.S.INV(RAND())</f>
        <v/>
      </c>
      <c r="C141" s="14">
        <f>NORM.S.INV(RAND())</f>
        <v/>
      </c>
      <c r="D141" s="15">
        <f>IF('组合输入'!$C2="","",'组合输入'!$H2*$B141+SQRT(1-'组合输入'!$H2^2)*C141)</f>
        <v/>
      </c>
      <c r="E141" s="7">
        <f>IF(D141="","",NORM.S.DIST(D141,TRUE))</f>
        <v/>
      </c>
      <c r="F141" s="13">
        <f>IF(E141="","",IF(E141&lt;='组合输入'!$K2,"AAA",IF(E141&lt;='组合输入'!$L2,"AA",IF(E141&lt;='组合输入'!$M2,"A",IF(E141&lt;='组合输入'!$N2,"BBB",IF(E141&lt;='组合输入'!$O2,"BB",IF(E141&lt;='组合输入'!$P2,"B",IF(E141&lt;='组合输入'!$Q2,"CCC","D")))))))</f>
        <v/>
      </c>
      <c r="G141" s="12">
        <f>IF(F141="","",INDEX('状态价值'!$D2:$K2,MATCH(F141,'状态价值'!$D$1:$K$1,0)))</f>
        <v/>
      </c>
      <c r="H141" s="15">
        <f>NORM.S.INV(RAND())</f>
        <v/>
      </c>
      <c r="I141" s="15">
        <f>IF('组合输入'!$C3="","",'组合输入'!$H3*$B141+SQRT(1-'组合输入'!$H3^2)*H141)</f>
        <v/>
      </c>
      <c r="J141" s="7">
        <f>IF(I141="","",NORM.S.DIST(I141,TRUE))</f>
        <v/>
      </c>
      <c r="K141" s="13">
        <f>IF(J141="","",IF(J141&lt;='组合输入'!$K3,"AAA",IF(J141&lt;='组合输入'!$L3,"AA",IF(J141&lt;='组合输入'!$M3,"A",IF(J141&lt;='组合输入'!$N3,"BBB",IF(J141&lt;='组合输入'!$O3,"BB",IF(J141&lt;='组合输入'!$P3,"B",IF(J141&lt;='组合输入'!$Q3,"CCC","D")))))))</f>
        <v/>
      </c>
      <c r="L141" s="12">
        <f>IF(K141="","",INDEX('状态价值'!$D3:$K3,MATCH(K141,'状态价值'!$D$1:$K$1,0)))</f>
        <v/>
      </c>
      <c r="M141" s="15">
        <f>NORM.S.INV(RAND())</f>
        <v/>
      </c>
      <c r="N141" s="15">
        <f>IF('组合输入'!$C4="","",'组合输入'!$H4*$B141+SQRT(1-'组合输入'!$H4^2)*M141)</f>
        <v/>
      </c>
      <c r="O141" s="7">
        <f>IF(N141="","",NORM.S.DIST(N141,TRUE))</f>
        <v/>
      </c>
      <c r="P141" s="13">
        <f>IF(O141="","",IF(O141&lt;='组合输入'!$K4,"AAA",IF(O141&lt;='组合输入'!$L4,"AA",IF(O141&lt;='组合输入'!$M4,"A",IF(O141&lt;='组合输入'!$N4,"BBB",IF(O141&lt;='组合输入'!$O4,"BB",IF(O141&lt;='组合输入'!$P4,"B",IF(O141&lt;='组合输入'!$Q4,"CCC","D")))))))</f>
        <v/>
      </c>
      <c r="Q141" s="12">
        <f>IF(P141="","",INDEX('状态价值'!$D4:$K4,MATCH(P141,'状态价值'!$D$1:$K$1,0)))</f>
        <v/>
      </c>
      <c r="R141" s="15">
        <f>NORM.S.INV(RAND())</f>
        <v/>
      </c>
      <c r="S141" s="15">
        <f>IF('组合输入'!$C5="","",'组合输入'!$H5*$B141+SQRT(1-'组合输入'!$H5^2)*R141)</f>
        <v/>
      </c>
      <c r="T141" s="7">
        <f>IF(S141="","",NORM.S.DIST(S141,TRUE))</f>
        <v/>
      </c>
      <c r="U141" s="13">
        <f>IF(T141="","",IF(T141&lt;='组合输入'!$K5,"AAA",IF(T141&lt;='组合输入'!$L5,"AA",IF(T141&lt;='组合输入'!$M5,"A",IF(T141&lt;='组合输入'!$N5,"BBB",IF(T141&lt;='组合输入'!$O5,"BB",IF(T141&lt;='组合输入'!$P5,"B",IF(T141&lt;='组合输入'!$Q5,"CCC","D")))))))</f>
        <v/>
      </c>
      <c r="V141" s="12">
        <f>IF(U141="","",INDEX('状态价值'!$D5:$K5,MATCH(U141,'状态价值'!$D$1:$K$1,0)))</f>
        <v/>
      </c>
      <c r="W141" s="15">
        <f>NORM.S.INV(RAND())</f>
        <v/>
      </c>
      <c r="X141" s="15">
        <f>IF('组合输入'!$C6="","",'组合输入'!$H6*$B141+SQRT(1-'组合输入'!$H6^2)*W141)</f>
        <v/>
      </c>
      <c r="Y141" s="7">
        <f>IF(X141="","",NORM.S.DIST(X141,TRUE))</f>
        <v/>
      </c>
      <c r="Z141" s="13">
        <f>IF(Y141="","",IF(Y141&lt;='组合输入'!$K6,"AAA",IF(Y141&lt;='组合输入'!$L6,"AA",IF(Y141&lt;='组合输入'!$M6,"A",IF(Y141&lt;='组合输入'!$N6,"BBB",IF(Y141&lt;='组合输入'!$O6,"BB",IF(Y141&lt;='组合输入'!$P6,"B",IF(Y141&lt;='组合输入'!$Q6,"CCC","D")))))))</f>
        <v/>
      </c>
      <c r="AA141" s="12">
        <f>IF(Z141="","",INDEX('状态价值'!$D6:$K6,MATCH(Z141,'状态价值'!$D$1:$K$1,0)))</f>
        <v/>
      </c>
      <c r="AB141" s="15">
        <f>NORM.S.INV(RAND())</f>
        <v/>
      </c>
      <c r="AC141" s="15">
        <f>IF('组合输入'!$C7="","",'组合输入'!$H7*$B141+SQRT(1-'组合输入'!$H7^2)*AB141)</f>
        <v/>
      </c>
      <c r="AD141" s="7">
        <f>IF(AC141="","",NORM.S.DIST(AC141,TRUE))</f>
        <v/>
      </c>
      <c r="AE141" s="13">
        <f>IF(AD141="","",IF(AD141&lt;='组合输入'!$K7,"AAA",IF(AD141&lt;='组合输入'!$L7,"AA",IF(AD141&lt;='组合输入'!$M7,"A",IF(AD141&lt;='组合输入'!$N7,"BBB",IF(AD141&lt;='组合输入'!$O7,"BB",IF(AD141&lt;='组合输入'!$P7,"B",IF(AD141&lt;='组合输入'!$Q7,"CCC","D")))))))</f>
        <v/>
      </c>
      <c r="AF141" s="12">
        <f>IF(AE141="","",INDEX('状态价值'!$D7:$K7,MATCH(AE141,'状态价值'!$D$1:$K$1,0)))</f>
        <v/>
      </c>
      <c r="AG141" s="15">
        <f>NORM.S.INV(RAND())</f>
        <v/>
      </c>
      <c r="AH141" s="15">
        <f>IF('组合输入'!$C8="","",'组合输入'!$H8*$B141+SQRT(1-'组合输入'!$H8^2)*AG141)</f>
        <v/>
      </c>
      <c r="AI141" s="7">
        <f>IF(AH141="","",NORM.S.DIST(AH141,TRUE))</f>
        <v/>
      </c>
      <c r="AJ141" s="13">
        <f>IF(AI141="","",IF(AI141&lt;='组合输入'!$K8,"AAA",IF(AI141&lt;='组合输入'!$L8,"AA",IF(AI141&lt;='组合输入'!$M8,"A",IF(AI141&lt;='组合输入'!$N8,"BBB",IF(AI141&lt;='组合输入'!$O8,"BB",IF(AI141&lt;='组合输入'!$P8,"B",IF(AI141&lt;='组合输入'!$Q8,"CCC","D")))))))</f>
        <v/>
      </c>
      <c r="AK141" s="12">
        <f>IF(AJ141="","",INDEX('状态价值'!$D8:$K8,MATCH(AJ141,'状态价值'!$D$1:$K$1,0)))</f>
        <v/>
      </c>
      <c r="AL141" s="15">
        <f>NORM.S.INV(RAND())</f>
        <v/>
      </c>
      <c r="AM141" s="15">
        <f>IF('组合输入'!$C9="","",'组合输入'!$H9*$B141+SQRT(1-'组合输入'!$H9^2)*AL141)</f>
        <v/>
      </c>
      <c r="AN141" s="7">
        <f>IF(AM141="","",NORM.S.DIST(AM141,TRUE))</f>
        <v/>
      </c>
      <c r="AO141" s="13">
        <f>IF(AN141="","",IF(AN141&lt;='组合输入'!$K9,"AAA",IF(AN141&lt;='组合输入'!$L9,"AA",IF(AN141&lt;='组合输入'!$M9,"A",IF(AN141&lt;='组合输入'!$N9,"BBB",IF(AN141&lt;='组合输入'!$O9,"BB",IF(AN141&lt;='组合输入'!$P9,"B",IF(AN141&lt;='组合输入'!$Q9,"CCC","D")))))))</f>
        <v/>
      </c>
      <c r="AP141" s="12">
        <f>IF(AO141="","",INDEX('状态价值'!$D9:$K9,MATCH(AO141,'状态价值'!$D$1:$K$1,0)))</f>
        <v/>
      </c>
      <c r="AQ141" s="15">
        <f>NORM.S.INV(RAND())</f>
        <v/>
      </c>
      <c r="AR141" s="15">
        <f>IF('组合输入'!$C10="","",'组合输入'!$H10*$B141+SQRT(1-'组合输入'!$H10^2)*AQ141)</f>
        <v/>
      </c>
      <c r="AS141" s="7">
        <f>IF(AR141="","",NORM.S.DIST(AR141,TRUE))</f>
        <v/>
      </c>
      <c r="AT141" s="13">
        <f>IF(AS141="","",IF(AS141&lt;='组合输入'!$K10,"AAA",IF(AS141&lt;='组合输入'!$L10,"AA",IF(AS141&lt;='组合输入'!$M10,"A",IF(AS141&lt;='组合输入'!$N10,"BBB",IF(AS141&lt;='组合输入'!$O10,"BB",IF(AS141&lt;='组合输入'!$P10,"B",IF(AS141&lt;='组合输入'!$Q10,"CCC","D")))))))</f>
        <v/>
      </c>
      <c r="AU141" s="12">
        <f>IF(AT141="","",INDEX('状态价值'!$D10:$K10,MATCH(AT141,'状态价值'!$D$1:$K$1,0)))</f>
        <v/>
      </c>
      <c r="AV141" s="15">
        <f>NORM.S.INV(RAND())</f>
        <v/>
      </c>
      <c r="AW141" s="15">
        <f>IF('组合输入'!$C11="","",'组合输入'!$H11*$B141+SQRT(1-'组合输入'!$H11^2)*AV141)</f>
        <v/>
      </c>
      <c r="AX141" s="7">
        <f>IF(AW141="","",NORM.S.DIST(AW141,TRUE))</f>
        <v/>
      </c>
      <c r="AY141" s="13">
        <f>IF(AX141="","",IF(AX141&lt;='组合输入'!$K11,"AAA",IF(AX141&lt;='组合输入'!$L11,"AA",IF(AX141&lt;='组合输入'!$M11,"A",IF(AX141&lt;='组合输入'!$N11,"BBB",IF(AX141&lt;='组合输入'!$O11,"BB",IF(AX141&lt;='组合输入'!$P11,"B",IF(AX141&lt;='组合输入'!$Q11,"CCC","D")))))))</f>
        <v/>
      </c>
      <c r="AZ141" s="12">
        <f>IF(AY141="","",INDEX('状态价值'!$D11:$K11,MATCH(AY141,'状态价值'!$D$1:$K$1,0)))</f>
        <v/>
      </c>
      <c r="BA141" s="12">
        <f>G141+L141+Q141+V141+AA141+AF141+AK141+AP141+AU141+AZ141</f>
        <v/>
      </c>
      <c r="BB141" s="12">
        <f>SUM('组合输入'!$J$2:$J$11)-BA141</f>
        <v/>
      </c>
    </row>
    <row r="142">
      <c r="A142" s="11" t="n">
        <v>141</v>
      </c>
      <c r="B142" s="14">
        <f>NORM.S.INV(RAND())</f>
        <v/>
      </c>
      <c r="C142" s="14">
        <f>NORM.S.INV(RAND())</f>
        <v/>
      </c>
      <c r="D142" s="15">
        <f>IF('组合输入'!$C2="","",'组合输入'!$H2*$B142+SQRT(1-'组合输入'!$H2^2)*C142)</f>
        <v/>
      </c>
      <c r="E142" s="7">
        <f>IF(D142="","",NORM.S.DIST(D142,TRUE))</f>
        <v/>
      </c>
      <c r="F142" s="13">
        <f>IF(E142="","",IF(E142&lt;='组合输入'!$K2,"AAA",IF(E142&lt;='组合输入'!$L2,"AA",IF(E142&lt;='组合输入'!$M2,"A",IF(E142&lt;='组合输入'!$N2,"BBB",IF(E142&lt;='组合输入'!$O2,"BB",IF(E142&lt;='组合输入'!$P2,"B",IF(E142&lt;='组合输入'!$Q2,"CCC","D")))))))</f>
        <v/>
      </c>
      <c r="G142" s="12">
        <f>IF(F142="","",INDEX('状态价值'!$D2:$K2,MATCH(F142,'状态价值'!$D$1:$K$1,0)))</f>
        <v/>
      </c>
      <c r="H142" s="15">
        <f>NORM.S.INV(RAND())</f>
        <v/>
      </c>
      <c r="I142" s="15">
        <f>IF('组合输入'!$C3="","",'组合输入'!$H3*$B142+SQRT(1-'组合输入'!$H3^2)*H142)</f>
        <v/>
      </c>
      <c r="J142" s="7">
        <f>IF(I142="","",NORM.S.DIST(I142,TRUE))</f>
        <v/>
      </c>
      <c r="K142" s="13">
        <f>IF(J142="","",IF(J142&lt;='组合输入'!$K3,"AAA",IF(J142&lt;='组合输入'!$L3,"AA",IF(J142&lt;='组合输入'!$M3,"A",IF(J142&lt;='组合输入'!$N3,"BBB",IF(J142&lt;='组合输入'!$O3,"BB",IF(J142&lt;='组合输入'!$P3,"B",IF(J142&lt;='组合输入'!$Q3,"CCC","D")))))))</f>
        <v/>
      </c>
      <c r="L142" s="12">
        <f>IF(K142="","",INDEX('状态价值'!$D3:$K3,MATCH(K142,'状态价值'!$D$1:$K$1,0)))</f>
        <v/>
      </c>
      <c r="M142" s="15">
        <f>NORM.S.INV(RAND())</f>
        <v/>
      </c>
      <c r="N142" s="15">
        <f>IF('组合输入'!$C4="","",'组合输入'!$H4*$B142+SQRT(1-'组合输入'!$H4^2)*M142)</f>
        <v/>
      </c>
      <c r="O142" s="7">
        <f>IF(N142="","",NORM.S.DIST(N142,TRUE))</f>
        <v/>
      </c>
      <c r="P142" s="13">
        <f>IF(O142="","",IF(O142&lt;='组合输入'!$K4,"AAA",IF(O142&lt;='组合输入'!$L4,"AA",IF(O142&lt;='组合输入'!$M4,"A",IF(O142&lt;='组合输入'!$N4,"BBB",IF(O142&lt;='组合输入'!$O4,"BB",IF(O142&lt;='组合输入'!$P4,"B",IF(O142&lt;='组合输入'!$Q4,"CCC","D")))))))</f>
        <v/>
      </c>
      <c r="Q142" s="12">
        <f>IF(P142="","",INDEX('状态价值'!$D4:$K4,MATCH(P142,'状态价值'!$D$1:$K$1,0)))</f>
        <v/>
      </c>
      <c r="R142" s="15">
        <f>NORM.S.INV(RAND())</f>
        <v/>
      </c>
      <c r="S142" s="15">
        <f>IF('组合输入'!$C5="","",'组合输入'!$H5*$B142+SQRT(1-'组合输入'!$H5^2)*R142)</f>
        <v/>
      </c>
      <c r="T142" s="7">
        <f>IF(S142="","",NORM.S.DIST(S142,TRUE))</f>
        <v/>
      </c>
      <c r="U142" s="13">
        <f>IF(T142="","",IF(T142&lt;='组合输入'!$K5,"AAA",IF(T142&lt;='组合输入'!$L5,"AA",IF(T142&lt;='组合输入'!$M5,"A",IF(T142&lt;='组合输入'!$N5,"BBB",IF(T142&lt;='组合输入'!$O5,"BB",IF(T142&lt;='组合输入'!$P5,"B",IF(T142&lt;='组合输入'!$Q5,"CCC","D")))))))</f>
        <v/>
      </c>
      <c r="V142" s="12">
        <f>IF(U142="","",INDEX('状态价值'!$D5:$K5,MATCH(U142,'状态价值'!$D$1:$K$1,0)))</f>
        <v/>
      </c>
      <c r="W142" s="15">
        <f>NORM.S.INV(RAND())</f>
        <v/>
      </c>
      <c r="X142" s="15">
        <f>IF('组合输入'!$C6="","",'组合输入'!$H6*$B142+SQRT(1-'组合输入'!$H6^2)*W142)</f>
        <v/>
      </c>
      <c r="Y142" s="7">
        <f>IF(X142="","",NORM.S.DIST(X142,TRUE))</f>
        <v/>
      </c>
      <c r="Z142" s="13">
        <f>IF(Y142="","",IF(Y142&lt;='组合输入'!$K6,"AAA",IF(Y142&lt;='组合输入'!$L6,"AA",IF(Y142&lt;='组合输入'!$M6,"A",IF(Y142&lt;='组合输入'!$N6,"BBB",IF(Y142&lt;='组合输入'!$O6,"BB",IF(Y142&lt;='组合输入'!$P6,"B",IF(Y142&lt;='组合输入'!$Q6,"CCC","D")))))))</f>
        <v/>
      </c>
      <c r="AA142" s="12">
        <f>IF(Z142="","",INDEX('状态价值'!$D6:$K6,MATCH(Z142,'状态价值'!$D$1:$K$1,0)))</f>
        <v/>
      </c>
      <c r="AB142" s="15">
        <f>NORM.S.INV(RAND())</f>
        <v/>
      </c>
      <c r="AC142" s="15">
        <f>IF('组合输入'!$C7="","",'组合输入'!$H7*$B142+SQRT(1-'组合输入'!$H7^2)*AB142)</f>
        <v/>
      </c>
      <c r="AD142" s="7">
        <f>IF(AC142="","",NORM.S.DIST(AC142,TRUE))</f>
        <v/>
      </c>
      <c r="AE142" s="13">
        <f>IF(AD142="","",IF(AD142&lt;='组合输入'!$K7,"AAA",IF(AD142&lt;='组合输入'!$L7,"AA",IF(AD142&lt;='组合输入'!$M7,"A",IF(AD142&lt;='组合输入'!$N7,"BBB",IF(AD142&lt;='组合输入'!$O7,"BB",IF(AD142&lt;='组合输入'!$P7,"B",IF(AD142&lt;='组合输入'!$Q7,"CCC","D")))))))</f>
        <v/>
      </c>
      <c r="AF142" s="12">
        <f>IF(AE142="","",INDEX('状态价值'!$D7:$K7,MATCH(AE142,'状态价值'!$D$1:$K$1,0)))</f>
        <v/>
      </c>
      <c r="AG142" s="15">
        <f>NORM.S.INV(RAND())</f>
        <v/>
      </c>
      <c r="AH142" s="15">
        <f>IF('组合输入'!$C8="","",'组合输入'!$H8*$B142+SQRT(1-'组合输入'!$H8^2)*AG142)</f>
        <v/>
      </c>
      <c r="AI142" s="7">
        <f>IF(AH142="","",NORM.S.DIST(AH142,TRUE))</f>
        <v/>
      </c>
      <c r="AJ142" s="13">
        <f>IF(AI142="","",IF(AI142&lt;='组合输入'!$K8,"AAA",IF(AI142&lt;='组合输入'!$L8,"AA",IF(AI142&lt;='组合输入'!$M8,"A",IF(AI142&lt;='组合输入'!$N8,"BBB",IF(AI142&lt;='组合输入'!$O8,"BB",IF(AI142&lt;='组合输入'!$P8,"B",IF(AI142&lt;='组合输入'!$Q8,"CCC","D")))))))</f>
        <v/>
      </c>
      <c r="AK142" s="12">
        <f>IF(AJ142="","",INDEX('状态价值'!$D8:$K8,MATCH(AJ142,'状态价值'!$D$1:$K$1,0)))</f>
        <v/>
      </c>
      <c r="AL142" s="15">
        <f>NORM.S.INV(RAND())</f>
        <v/>
      </c>
      <c r="AM142" s="15">
        <f>IF('组合输入'!$C9="","",'组合输入'!$H9*$B142+SQRT(1-'组合输入'!$H9^2)*AL142)</f>
        <v/>
      </c>
      <c r="AN142" s="7">
        <f>IF(AM142="","",NORM.S.DIST(AM142,TRUE))</f>
        <v/>
      </c>
      <c r="AO142" s="13">
        <f>IF(AN142="","",IF(AN142&lt;='组合输入'!$K9,"AAA",IF(AN142&lt;='组合输入'!$L9,"AA",IF(AN142&lt;='组合输入'!$M9,"A",IF(AN142&lt;='组合输入'!$N9,"BBB",IF(AN142&lt;='组合输入'!$O9,"BB",IF(AN142&lt;='组合输入'!$P9,"B",IF(AN142&lt;='组合输入'!$Q9,"CCC","D")))))))</f>
        <v/>
      </c>
      <c r="AP142" s="12">
        <f>IF(AO142="","",INDEX('状态价值'!$D9:$K9,MATCH(AO142,'状态价值'!$D$1:$K$1,0)))</f>
        <v/>
      </c>
      <c r="AQ142" s="15">
        <f>NORM.S.INV(RAND())</f>
        <v/>
      </c>
      <c r="AR142" s="15">
        <f>IF('组合输入'!$C10="","",'组合输入'!$H10*$B142+SQRT(1-'组合输入'!$H10^2)*AQ142)</f>
        <v/>
      </c>
      <c r="AS142" s="7">
        <f>IF(AR142="","",NORM.S.DIST(AR142,TRUE))</f>
        <v/>
      </c>
      <c r="AT142" s="13">
        <f>IF(AS142="","",IF(AS142&lt;='组合输入'!$K10,"AAA",IF(AS142&lt;='组合输入'!$L10,"AA",IF(AS142&lt;='组合输入'!$M10,"A",IF(AS142&lt;='组合输入'!$N10,"BBB",IF(AS142&lt;='组合输入'!$O10,"BB",IF(AS142&lt;='组合输入'!$P10,"B",IF(AS142&lt;='组合输入'!$Q10,"CCC","D")))))))</f>
        <v/>
      </c>
      <c r="AU142" s="12">
        <f>IF(AT142="","",INDEX('状态价值'!$D10:$K10,MATCH(AT142,'状态价值'!$D$1:$K$1,0)))</f>
        <v/>
      </c>
      <c r="AV142" s="15">
        <f>NORM.S.INV(RAND())</f>
        <v/>
      </c>
      <c r="AW142" s="15">
        <f>IF('组合输入'!$C11="","",'组合输入'!$H11*$B142+SQRT(1-'组合输入'!$H11^2)*AV142)</f>
        <v/>
      </c>
      <c r="AX142" s="7">
        <f>IF(AW142="","",NORM.S.DIST(AW142,TRUE))</f>
        <v/>
      </c>
      <c r="AY142" s="13">
        <f>IF(AX142="","",IF(AX142&lt;='组合输入'!$K11,"AAA",IF(AX142&lt;='组合输入'!$L11,"AA",IF(AX142&lt;='组合输入'!$M11,"A",IF(AX142&lt;='组合输入'!$N11,"BBB",IF(AX142&lt;='组合输入'!$O11,"BB",IF(AX142&lt;='组合输入'!$P11,"B",IF(AX142&lt;='组合输入'!$Q11,"CCC","D")))))))</f>
        <v/>
      </c>
      <c r="AZ142" s="12">
        <f>IF(AY142="","",INDEX('状态价值'!$D11:$K11,MATCH(AY142,'状态价值'!$D$1:$K$1,0)))</f>
        <v/>
      </c>
      <c r="BA142" s="12">
        <f>G142+L142+Q142+V142+AA142+AF142+AK142+AP142+AU142+AZ142</f>
        <v/>
      </c>
      <c r="BB142" s="12">
        <f>SUM('组合输入'!$J$2:$J$11)-BA142</f>
        <v/>
      </c>
    </row>
    <row r="143">
      <c r="A143" s="11" t="n">
        <v>142</v>
      </c>
      <c r="B143" s="14">
        <f>NORM.S.INV(RAND())</f>
        <v/>
      </c>
      <c r="C143" s="14">
        <f>NORM.S.INV(RAND())</f>
        <v/>
      </c>
      <c r="D143" s="15">
        <f>IF('组合输入'!$C2="","",'组合输入'!$H2*$B143+SQRT(1-'组合输入'!$H2^2)*C143)</f>
        <v/>
      </c>
      <c r="E143" s="7">
        <f>IF(D143="","",NORM.S.DIST(D143,TRUE))</f>
        <v/>
      </c>
      <c r="F143" s="13">
        <f>IF(E143="","",IF(E143&lt;='组合输入'!$K2,"AAA",IF(E143&lt;='组合输入'!$L2,"AA",IF(E143&lt;='组合输入'!$M2,"A",IF(E143&lt;='组合输入'!$N2,"BBB",IF(E143&lt;='组合输入'!$O2,"BB",IF(E143&lt;='组合输入'!$P2,"B",IF(E143&lt;='组合输入'!$Q2,"CCC","D")))))))</f>
        <v/>
      </c>
      <c r="G143" s="12">
        <f>IF(F143="","",INDEX('状态价值'!$D2:$K2,MATCH(F143,'状态价值'!$D$1:$K$1,0)))</f>
        <v/>
      </c>
      <c r="H143" s="15">
        <f>NORM.S.INV(RAND())</f>
        <v/>
      </c>
      <c r="I143" s="15">
        <f>IF('组合输入'!$C3="","",'组合输入'!$H3*$B143+SQRT(1-'组合输入'!$H3^2)*H143)</f>
        <v/>
      </c>
      <c r="J143" s="7">
        <f>IF(I143="","",NORM.S.DIST(I143,TRUE))</f>
        <v/>
      </c>
      <c r="K143" s="13">
        <f>IF(J143="","",IF(J143&lt;='组合输入'!$K3,"AAA",IF(J143&lt;='组合输入'!$L3,"AA",IF(J143&lt;='组合输入'!$M3,"A",IF(J143&lt;='组合输入'!$N3,"BBB",IF(J143&lt;='组合输入'!$O3,"BB",IF(J143&lt;='组合输入'!$P3,"B",IF(J143&lt;='组合输入'!$Q3,"CCC","D")))))))</f>
        <v/>
      </c>
      <c r="L143" s="12">
        <f>IF(K143="","",INDEX('状态价值'!$D3:$K3,MATCH(K143,'状态价值'!$D$1:$K$1,0)))</f>
        <v/>
      </c>
      <c r="M143" s="15">
        <f>NORM.S.INV(RAND())</f>
        <v/>
      </c>
      <c r="N143" s="15">
        <f>IF('组合输入'!$C4="","",'组合输入'!$H4*$B143+SQRT(1-'组合输入'!$H4^2)*M143)</f>
        <v/>
      </c>
      <c r="O143" s="7">
        <f>IF(N143="","",NORM.S.DIST(N143,TRUE))</f>
        <v/>
      </c>
      <c r="P143" s="13">
        <f>IF(O143="","",IF(O143&lt;='组合输入'!$K4,"AAA",IF(O143&lt;='组合输入'!$L4,"AA",IF(O143&lt;='组合输入'!$M4,"A",IF(O143&lt;='组合输入'!$N4,"BBB",IF(O143&lt;='组合输入'!$O4,"BB",IF(O143&lt;='组合输入'!$P4,"B",IF(O143&lt;='组合输入'!$Q4,"CCC","D")))))))</f>
        <v/>
      </c>
      <c r="Q143" s="12">
        <f>IF(P143="","",INDEX('状态价值'!$D4:$K4,MATCH(P143,'状态价值'!$D$1:$K$1,0)))</f>
        <v/>
      </c>
      <c r="R143" s="15">
        <f>NORM.S.INV(RAND())</f>
        <v/>
      </c>
      <c r="S143" s="15">
        <f>IF('组合输入'!$C5="","",'组合输入'!$H5*$B143+SQRT(1-'组合输入'!$H5^2)*R143)</f>
        <v/>
      </c>
      <c r="T143" s="7">
        <f>IF(S143="","",NORM.S.DIST(S143,TRUE))</f>
        <v/>
      </c>
      <c r="U143" s="13">
        <f>IF(T143="","",IF(T143&lt;='组合输入'!$K5,"AAA",IF(T143&lt;='组合输入'!$L5,"AA",IF(T143&lt;='组合输入'!$M5,"A",IF(T143&lt;='组合输入'!$N5,"BBB",IF(T143&lt;='组合输入'!$O5,"BB",IF(T143&lt;='组合输入'!$P5,"B",IF(T143&lt;='组合输入'!$Q5,"CCC","D")))))))</f>
        <v/>
      </c>
      <c r="V143" s="12">
        <f>IF(U143="","",INDEX('状态价值'!$D5:$K5,MATCH(U143,'状态价值'!$D$1:$K$1,0)))</f>
        <v/>
      </c>
      <c r="W143" s="15">
        <f>NORM.S.INV(RAND())</f>
        <v/>
      </c>
      <c r="X143" s="15">
        <f>IF('组合输入'!$C6="","",'组合输入'!$H6*$B143+SQRT(1-'组合输入'!$H6^2)*W143)</f>
        <v/>
      </c>
      <c r="Y143" s="7">
        <f>IF(X143="","",NORM.S.DIST(X143,TRUE))</f>
        <v/>
      </c>
      <c r="Z143" s="13">
        <f>IF(Y143="","",IF(Y143&lt;='组合输入'!$K6,"AAA",IF(Y143&lt;='组合输入'!$L6,"AA",IF(Y143&lt;='组合输入'!$M6,"A",IF(Y143&lt;='组合输入'!$N6,"BBB",IF(Y143&lt;='组合输入'!$O6,"BB",IF(Y143&lt;='组合输入'!$P6,"B",IF(Y143&lt;='组合输入'!$Q6,"CCC","D")))))))</f>
        <v/>
      </c>
      <c r="AA143" s="12">
        <f>IF(Z143="","",INDEX('状态价值'!$D6:$K6,MATCH(Z143,'状态价值'!$D$1:$K$1,0)))</f>
        <v/>
      </c>
      <c r="AB143" s="15">
        <f>NORM.S.INV(RAND())</f>
        <v/>
      </c>
      <c r="AC143" s="15">
        <f>IF('组合输入'!$C7="","",'组合输入'!$H7*$B143+SQRT(1-'组合输入'!$H7^2)*AB143)</f>
        <v/>
      </c>
      <c r="AD143" s="7">
        <f>IF(AC143="","",NORM.S.DIST(AC143,TRUE))</f>
        <v/>
      </c>
      <c r="AE143" s="13">
        <f>IF(AD143="","",IF(AD143&lt;='组合输入'!$K7,"AAA",IF(AD143&lt;='组合输入'!$L7,"AA",IF(AD143&lt;='组合输入'!$M7,"A",IF(AD143&lt;='组合输入'!$N7,"BBB",IF(AD143&lt;='组合输入'!$O7,"BB",IF(AD143&lt;='组合输入'!$P7,"B",IF(AD143&lt;='组合输入'!$Q7,"CCC","D")))))))</f>
        <v/>
      </c>
      <c r="AF143" s="12">
        <f>IF(AE143="","",INDEX('状态价值'!$D7:$K7,MATCH(AE143,'状态价值'!$D$1:$K$1,0)))</f>
        <v/>
      </c>
      <c r="AG143" s="15">
        <f>NORM.S.INV(RAND())</f>
        <v/>
      </c>
      <c r="AH143" s="15">
        <f>IF('组合输入'!$C8="","",'组合输入'!$H8*$B143+SQRT(1-'组合输入'!$H8^2)*AG143)</f>
        <v/>
      </c>
      <c r="AI143" s="7">
        <f>IF(AH143="","",NORM.S.DIST(AH143,TRUE))</f>
        <v/>
      </c>
      <c r="AJ143" s="13">
        <f>IF(AI143="","",IF(AI143&lt;='组合输入'!$K8,"AAA",IF(AI143&lt;='组合输入'!$L8,"AA",IF(AI143&lt;='组合输入'!$M8,"A",IF(AI143&lt;='组合输入'!$N8,"BBB",IF(AI143&lt;='组合输入'!$O8,"BB",IF(AI143&lt;='组合输入'!$P8,"B",IF(AI143&lt;='组合输入'!$Q8,"CCC","D")))))))</f>
        <v/>
      </c>
      <c r="AK143" s="12">
        <f>IF(AJ143="","",INDEX('状态价值'!$D8:$K8,MATCH(AJ143,'状态价值'!$D$1:$K$1,0)))</f>
        <v/>
      </c>
      <c r="AL143" s="15">
        <f>NORM.S.INV(RAND())</f>
        <v/>
      </c>
      <c r="AM143" s="15">
        <f>IF('组合输入'!$C9="","",'组合输入'!$H9*$B143+SQRT(1-'组合输入'!$H9^2)*AL143)</f>
        <v/>
      </c>
      <c r="AN143" s="7">
        <f>IF(AM143="","",NORM.S.DIST(AM143,TRUE))</f>
        <v/>
      </c>
      <c r="AO143" s="13">
        <f>IF(AN143="","",IF(AN143&lt;='组合输入'!$K9,"AAA",IF(AN143&lt;='组合输入'!$L9,"AA",IF(AN143&lt;='组合输入'!$M9,"A",IF(AN143&lt;='组合输入'!$N9,"BBB",IF(AN143&lt;='组合输入'!$O9,"BB",IF(AN143&lt;='组合输入'!$P9,"B",IF(AN143&lt;='组合输入'!$Q9,"CCC","D")))))))</f>
        <v/>
      </c>
      <c r="AP143" s="12">
        <f>IF(AO143="","",INDEX('状态价值'!$D9:$K9,MATCH(AO143,'状态价值'!$D$1:$K$1,0)))</f>
        <v/>
      </c>
      <c r="AQ143" s="15">
        <f>NORM.S.INV(RAND())</f>
        <v/>
      </c>
      <c r="AR143" s="15">
        <f>IF('组合输入'!$C10="","",'组合输入'!$H10*$B143+SQRT(1-'组合输入'!$H10^2)*AQ143)</f>
        <v/>
      </c>
      <c r="AS143" s="7">
        <f>IF(AR143="","",NORM.S.DIST(AR143,TRUE))</f>
        <v/>
      </c>
      <c r="AT143" s="13">
        <f>IF(AS143="","",IF(AS143&lt;='组合输入'!$K10,"AAA",IF(AS143&lt;='组合输入'!$L10,"AA",IF(AS143&lt;='组合输入'!$M10,"A",IF(AS143&lt;='组合输入'!$N10,"BBB",IF(AS143&lt;='组合输入'!$O10,"BB",IF(AS143&lt;='组合输入'!$P10,"B",IF(AS143&lt;='组合输入'!$Q10,"CCC","D")))))))</f>
        <v/>
      </c>
      <c r="AU143" s="12">
        <f>IF(AT143="","",INDEX('状态价值'!$D10:$K10,MATCH(AT143,'状态价值'!$D$1:$K$1,0)))</f>
        <v/>
      </c>
      <c r="AV143" s="15">
        <f>NORM.S.INV(RAND())</f>
        <v/>
      </c>
      <c r="AW143" s="15">
        <f>IF('组合输入'!$C11="","",'组合输入'!$H11*$B143+SQRT(1-'组合输入'!$H11^2)*AV143)</f>
        <v/>
      </c>
      <c r="AX143" s="7">
        <f>IF(AW143="","",NORM.S.DIST(AW143,TRUE))</f>
        <v/>
      </c>
      <c r="AY143" s="13">
        <f>IF(AX143="","",IF(AX143&lt;='组合输入'!$K11,"AAA",IF(AX143&lt;='组合输入'!$L11,"AA",IF(AX143&lt;='组合输入'!$M11,"A",IF(AX143&lt;='组合输入'!$N11,"BBB",IF(AX143&lt;='组合输入'!$O11,"BB",IF(AX143&lt;='组合输入'!$P11,"B",IF(AX143&lt;='组合输入'!$Q11,"CCC","D")))))))</f>
        <v/>
      </c>
      <c r="AZ143" s="12">
        <f>IF(AY143="","",INDEX('状态价值'!$D11:$K11,MATCH(AY143,'状态价值'!$D$1:$K$1,0)))</f>
        <v/>
      </c>
      <c r="BA143" s="12">
        <f>G143+L143+Q143+V143+AA143+AF143+AK143+AP143+AU143+AZ143</f>
        <v/>
      </c>
      <c r="BB143" s="12">
        <f>SUM('组合输入'!$J$2:$J$11)-BA143</f>
        <v/>
      </c>
    </row>
    <row r="144">
      <c r="A144" s="11" t="n">
        <v>143</v>
      </c>
      <c r="B144" s="14">
        <f>NORM.S.INV(RAND())</f>
        <v/>
      </c>
      <c r="C144" s="14">
        <f>NORM.S.INV(RAND())</f>
        <v/>
      </c>
      <c r="D144" s="15">
        <f>IF('组合输入'!$C2="","",'组合输入'!$H2*$B144+SQRT(1-'组合输入'!$H2^2)*C144)</f>
        <v/>
      </c>
      <c r="E144" s="7">
        <f>IF(D144="","",NORM.S.DIST(D144,TRUE))</f>
        <v/>
      </c>
      <c r="F144" s="13">
        <f>IF(E144="","",IF(E144&lt;='组合输入'!$K2,"AAA",IF(E144&lt;='组合输入'!$L2,"AA",IF(E144&lt;='组合输入'!$M2,"A",IF(E144&lt;='组合输入'!$N2,"BBB",IF(E144&lt;='组合输入'!$O2,"BB",IF(E144&lt;='组合输入'!$P2,"B",IF(E144&lt;='组合输入'!$Q2,"CCC","D")))))))</f>
        <v/>
      </c>
      <c r="G144" s="12">
        <f>IF(F144="","",INDEX('状态价值'!$D2:$K2,MATCH(F144,'状态价值'!$D$1:$K$1,0)))</f>
        <v/>
      </c>
      <c r="H144" s="15">
        <f>NORM.S.INV(RAND())</f>
        <v/>
      </c>
      <c r="I144" s="15">
        <f>IF('组合输入'!$C3="","",'组合输入'!$H3*$B144+SQRT(1-'组合输入'!$H3^2)*H144)</f>
        <v/>
      </c>
      <c r="J144" s="7">
        <f>IF(I144="","",NORM.S.DIST(I144,TRUE))</f>
        <v/>
      </c>
      <c r="K144" s="13">
        <f>IF(J144="","",IF(J144&lt;='组合输入'!$K3,"AAA",IF(J144&lt;='组合输入'!$L3,"AA",IF(J144&lt;='组合输入'!$M3,"A",IF(J144&lt;='组合输入'!$N3,"BBB",IF(J144&lt;='组合输入'!$O3,"BB",IF(J144&lt;='组合输入'!$P3,"B",IF(J144&lt;='组合输入'!$Q3,"CCC","D")))))))</f>
        <v/>
      </c>
      <c r="L144" s="12">
        <f>IF(K144="","",INDEX('状态价值'!$D3:$K3,MATCH(K144,'状态价值'!$D$1:$K$1,0)))</f>
        <v/>
      </c>
      <c r="M144" s="15">
        <f>NORM.S.INV(RAND())</f>
        <v/>
      </c>
      <c r="N144" s="15">
        <f>IF('组合输入'!$C4="","",'组合输入'!$H4*$B144+SQRT(1-'组合输入'!$H4^2)*M144)</f>
        <v/>
      </c>
      <c r="O144" s="7">
        <f>IF(N144="","",NORM.S.DIST(N144,TRUE))</f>
        <v/>
      </c>
      <c r="P144" s="13">
        <f>IF(O144="","",IF(O144&lt;='组合输入'!$K4,"AAA",IF(O144&lt;='组合输入'!$L4,"AA",IF(O144&lt;='组合输入'!$M4,"A",IF(O144&lt;='组合输入'!$N4,"BBB",IF(O144&lt;='组合输入'!$O4,"BB",IF(O144&lt;='组合输入'!$P4,"B",IF(O144&lt;='组合输入'!$Q4,"CCC","D")))))))</f>
        <v/>
      </c>
      <c r="Q144" s="12">
        <f>IF(P144="","",INDEX('状态价值'!$D4:$K4,MATCH(P144,'状态价值'!$D$1:$K$1,0)))</f>
        <v/>
      </c>
      <c r="R144" s="15">
        <f>NORM.S.INV(RAND())</f>
        <v/>
      </c>
      <c r="S144" s="15">
        <f>IF('组合输入'!$C5="","",'组合输入'!$H5*$B144+SQRT(1-'组合输入'!$H5^2)*R144)</f>
        <v/>
      </c>
      <c r="T144" s="7">
        <f>IF(S144="","",NORM.S.DIST(S144,TRUE))</f>
        <v/>
      </c>
      <c r="U144" s="13">
        <f>IF(T144="","",IF(T144&lt;='组合输入'!$K5,"AAA",IF(T144&lt;='组合输入'!$L5,"AA",IF(T144&lt;='组合输入'!$M5,"A",IF(T144&lt;='组合输入'!$N5,"BBB",IF(T144&lt;='组合输入'!$O5,"BB",IF(T144&lt;='组合输入'!$P5,"B",IF(T144&lt;='组合输入'!$Q5,"CCC","D")))))))</f>
        <v/>
      </c>
      <c r="V144" s="12">
        <f>IF(U144="","",INDEX('状态价值'!$D5:$K5,MATCH(U144,'状态价值'!$D$1:$K$1,0)))</f>
        <v/>
      </c>
      <c r="W144" s="15">
        <f>NORM.S.INV(RAND())</f>
        <v/>
      </c>
      <c r="X144" s="15">
        <f>IF('组合输入'!$C6="","",'组合输入'!$H6*$B144+SQRT(1-'组合输入'!$H6^2)*W144)</f>
        <v/>
      </c>
      <c r="Y144" s="7">
        <f>IF(X144="","",NORM.S.DIST(X144,TRUE))</f>
        <v/>
      </c>
      <c r="Z144" s="13">
        <f>IF(Y144="","",IF(Y144&lt;='组合输入'!$K6,"AAA",IF(Y144&lt;='组合输入'!$L6,"AA",IF(Y144&lt;='组合输入'!$M6,"A",IF(Y144&lt;='组合输入'!$N6,"BBB",IF(Y144&lt;='组合输入'!$O6,"BB",IF(Y144&lt;='组合输入'!$P6,"B",IF(Y144&lt;='组合输入'!$Q6,"CCC","D")))))))</f>
        <v/>
      </c>
      <c r="AA144" s="12">
        <f>IF(Z144="","",INDEX('状态价值'!$D6:$K6,MATCH(Z144,'状态价值'!$D$1:$K$1,0)))</f>
        <v/>
      </c>
      <c r="AB144" s="15">
        <f>NORM.S.INV(RAND())</f>
        <v/>
      </c>
      <c r="AC144" s="15">
        <f>IF('组合输入'!$C7="","",'组合输入'!$H7*$B144+SQRT(1-'组合输入'!$H7^2)*AB144)</f>
        <v/>
      </c>
      <c r="AD144" s="7">
        <f>IF(AC144="","",NORM.S.DIST(AC144,TRUE))</f>
        <v/>
      </c>
      <c r="AE144" s="13">
        <f>IF(AD144="","",IF(AD144&lt;='组合输入'!$K7,"AAA",IF(AD144&lt;='组合输入'!$L7,"AA",IF(AD144&lt;='组合输入'!$M7,"A",IF(AD144&lt;='组合输入'!$N7,"BBB",IF(AD144&lt;='组合输入'!$O7,"BB",IF(AD144&lt;='组合输入'!$P7,"B",IF(AD144&lt;='组合输入'!$Q7,"CCC","D")))))))</f>
        <v/>
      </c>
      <c r="AF144" s="12">
        <f>IF(AE144="","",INDEX('状态价值'!$D7:$K7,MATCH(AE144,'状态价值'!$D$1:$K$1,0)))</f>
        <v/>
      </c>
      <c r="AG144" s="15">
        <f>NORM.S.INV(RAND())</f>
        <v/>
      </c>
      <c r="AH144" s="15">
        <f>IF('组合输入'!$C8="","",'组合输入'!$H8*$B144+SQRT(1-'组合输入'!$H8^2)*AG144)</f>
        <v/>
      </c>
      <c r="AI144" s="7">
        <f>IF(AH144="","",NORM.S.DIST(AH144,TRUE))</f>
        <v/>
      </c>
      <c r="AJ144" s="13">
        <f>IF(AI144="","",IF(AI144&lt;='组合输入'!$K8,"AAA",IF(AI144&lt;='组合输入'!$L8,"AA",IF(AI144&lt;='组合输入'!$M8,"A",IF(AI144&lt;='组合输入'!$N8,"BBB",IF(AI144&lt;='组合输入'!$O8,"BB",IF(AI144&lt;='组合输入'!$P8,"B",IF(AI144&lt;='组合输入'!$Q8,"CCC","D")))))))</f>
        <v/>
      </c>
      <c r="AK144" s="12">
        <f>IF(AJ144="","",INDEX('状态价值'!$D8:$K8,MATCH(AJ144,'状态价值'!$D$1:$K$1,0)))</f>
        <v/>
      </c>
      <c r="AL144" s="15">
        <f>NORM.S.INV(RAND())</f>
        <v/>
      </c>
      <c r="AM144" s="15">
        <f>IF('组合输入'!$C9="","",'组合输入'!$H9*$B144+SQRT(1-'组合输入'!$H9^2)*AL144)</f>
        <v/>
      </c>
      <c r="AN144" s="7">
        <f>IF(AM144="","",NORM.S.DIST(AM144,TRUE))</f>
        <v/>
      </c>
      <c r="AO144" s="13">
        <f>IF(AN144="","",IF(AN144&lt;='组合输入'!$K9,"AAA",IF(AN144&lt;='组合输入'!$L9,"AA",IF(AN144&lt;='组合输入'!$M9,"A",IF(AN144&lt;='组合输入'!$N9,"BBB",IF(AN144&lt;='组合输入'!$O9,"BB",IF(AN144&lt;='组合输入'!$P9,"B",IF(AN144&lt;='组合输入'!$Q9,"CCC","D")))))))</f>
        <v/>
      </c>
      <c r="AP144" s="12">
        <f>IF(AO144="","",INDEX('状态价值'!$D9:$K9,MATCH(AO144,'状态价值'!$D$1:$K$1,0)))</f>
        <v/>
      </c>
      <c r="AQ144" s="15">
        <f>NORM.S.INV(RAND())</f>
        <v/>
      </c>
      <c r="AR144" s="15">
        <f>IF('组合输入'!$C10="","",'组合输入'!$H10*$B144+SQRT(1-'组合输入'!$H10^2)*AQ144)</f>
        <v/>
      </c>
      <c r="AS144" s="7">
        <f>IF(AR144="","",NORM.S.DIST(AR144,TRUE))</f>
        <v/>
      </c>
      <c r="AT144" s="13">
        <f>IF(AS144="","",IF(AS144&lt;='组合输入'!$K10,"AAA",IF(AS144&lt;='组合输入'!$L10,"AA",IF(AS144&lt;='组合输入'!$M10,"A",IF(AS144&lt;='组合输入'!$N10,"BBB",IF(AS144&lt;='组合输入'!$O10,"BB",IF(AS144&lt;='组合输入'!$P10,"B",IF(AS144&lt;='组合输入'!$Q10,"CCC","D")))))))</f>
        <v/>
      </c>
      <c r="AU144" s="12">
        <f>IF(AT144="","",INDEX('状态价值'!$D10:$K10,MATCH(AT144,'状态价值'!$D$1:$K$1,0)))</f>
        <v/>
      </c>
      <c r="AV144" s="15">
        <f>NORM.S.INV(RAND())</f>
        <v/>
      </c>
      <c r="AW144" s="15">
        <f>IF('组合输入'!$C11="","",'组合输入'!$H11*$B144+SQRT(1-'组合输入'!$H11^2)*AV144)</f>
        <v/>
      </c>
      <c r="AX144" s="7">
        <f>IF(AW144="","",NORM.S.DIST(AW144,TRUE))</f>
        <v/>
      </c>
      <c r="AY144" s="13">
        <f>IF(AX144="","",IF(AX144&lt;='组合输入'!$K11,"AAA",IF(AX144&lt;='组合输入'!$L11,"AA",IF(AX144&lt;='组合输入'!$M11,"A",IF(AX144&lt;='组合输入'!$N11,"BBB",IF(AX144&lt;='组合输入'!$O11,"BB",IF(AX144&lt;='组合输入'!$P11,"B",IF(AX144&lt;='组合输入'!$Q11,"CCC","D")))))))</f>
        <v/>
      </c>
      <c r="AZ144" s="12">
        <f>IF(AY144="","",INDEX('状态价值'!$D11:$K11,MATCH(AY144,'状态价值'!$D$1:$K$1,0)))</f>
        <v/>
      </c>
      <c r="BA144" s="12">
        <f>G144+L144+Q144+V144+AA144+AF144+AK144+AP144+AU144+AZ144</f>
        <v/>
      </c>
      <c r="BB144" s="12">
        <f>SUM('组合输入'!$J$2:$J$11)-BA144</f>
        <v/>
      </c>
    </row>
    <row r="145">
      <c r="A145" s="11" t="n">
        <v>144</v>
      </c>
      <c r="B145" s="14">
        <f>NORM.S.INV(RAND())</f>
        <v/>
      </c>
      <c r="C145" s="14">
        <f>NORM.S.INV(RAND())</f>
        <v/>
      </c>
      <c r="D145" s="15">
        <f>IF('组合输入'!$C2="","",'组合输入'!$H2*$B145+SQRT(1-'组合输入'!$H2^2)*C145)</f>
        <v/>
      </c>
      <c r="E145" s="7">
        <f>IF(D145="","",NORM.S.DIST(D145,TRUE))</f>
        <v/>
      </c>
      <c r="F145" s="13">
        <f>IF(E145="","",IF(E145&lt;='组合输入'!$K2,"AAA",IF(E145&lt;='组合输入'!$L2,"AA",IF(E145&lt;='组合输入'!$M2,"A",IF(E145&lt;='组合输入'!$N2,"BBB",IF(E145&lt;='组合输入'!$O2,"BB",IF(E145&lt;='组合输入'!$P2,"B",IF(E145&lt;='组合输入'!$Q2,"CCC","D")))))))</f>
        <v/>
      </c>
      <c r="G145" s="12">
        <f>IF(F145="","",INDEX('状态价值'!$D2:$K2,MATCH(F145,'状态价值'!$D$1:$K$1,0)))</f>
        <v/>
      </c>
      <c r="H145" s="15">
        <f>NORM.S.INV(RAND())</f>
        <v/>
      </c>
      <c r="I145" s="15">
        <f>IF('组合输入'!$C3="","",'组合输入'!$H3*$B145+SQRT(1-'组合输入'!$H3^2)*H145)</f>
        <v/>
      </c>
      <c r="J145" s="7">
        <f>IF(I145="","",NORM.S.DIST(I145,TRUE))</f>
        <v/>
      </c>
      <c r="K145" s="13">
        <f>IF(J145="","",IF(J145&lt;='组合输入'!$K3,"AAA",IF(J145&lt;='组合输入'!$L3,"AA",IF(J145&lt;='组合输入'!$M3,"A",IF(J145&lt;='组合输入'!$N3,"BBB",IF(J145&lt;='组合输入'!$O3,"BB",IF(J145&lt;='组合输入'!$P3,"B",IF(J145&lt;='组合输入'!$Q3,"CCC","D")))))))</f>
        <v/>
      </c>
      <c r="L145" s="12">
        <f>IF(K145="","",INDEX('状态价值'!$D3:$K3,MATCH(K145,'状态价值'!$D$1:$K$1,0)))</f>
        <v/>
      </c>
      <c r="M145" s="15">
        <f>NORM.S.INV(RAND())</f>
        <v/>
      </c>
      <c r="N145" s="15">
        <f>IF('组合输入'!$C4="","",'组合输入'!$H4*$B145+SQRT(1-'组合输入'!$H4^2)*M145)</f>
        <v/>
      </c>
      <c r="O145" s="7">
        <f>IF(N145="","",NORM.S.DIST(N145,TRUE))</f>
        <v/>
      </c>
      <c r="P145" s="13">
        <f>IF(O145="","",IF(O145&lt;='组合输入'!$K4,"AAA",IF(O145&lt;='组合输入'!$L4,"AA",IF(O145&lt;='组合输入'!$M4,"A",IF(O145&lt;='组合输入'!$N4,"BBB",IF(O145&lt;='组合输入'!$O4,"BB",IF(O145&lt;='组合输入'!$P4,"B",IF(O145&lt;='组合输入'!$Q4,"CCC","D")))))))</f>
        <v/>
      </c>
      <c r="Q145" s="12">
        <f>IF(P145="","",INDEX('状态价值'!$D4:$K4,MATCH(P145,'状态价值'!$D$1:$K$1,0)))</f>
        <v/>
      </c>
      <c r="R145" s="15">
        <f>NORM.S.INV(RAND())</f>
        <v/>
      </c>
      <c r="S145" s="15">
        <f>IF('组合输入'!$C5="","",'组合输入'!$H5*$B145+SQRT(1-'组合输入'!$H5^2)*R145)</f>
        <v/>
      </c>
      <c r="T145" s="7">
        <f>IF(S145="","",NORM.S.DIST(S145,TRUE))</f>
        <v/>
      </c>
      <c r="U145" s="13">
        <f>IF(T145="","",IF(T145&lt;='组合输入'!$K5,"AAA",IF(T145&lt;='组合输入'!$L5,"AA",IF(T145&lt;='组合输入'!$M5,"A",IF(T145&lt;='组合输入'!$N5,"BBB",IF(T145&lt;='组合输入'!$O5,"BB",IF(T145&lt;='组合输入'!$P5,"B",IF(T145&lt;='组合输入'!$Q5,"CCC","D")))))))</f>
        <v/>
      </c>
      <c r="V145" s="12">
        <f>IF(U145="","",INDEX('状态价值'!$D5:$K5,MATCH(U145,'状态价值'!$D$1:$K$1,0)))</f>
        <v/>
      </c>
      <c r="W145" s="15">
        <f>NORM.S.INV(RAND())</f>
        <v/>
      </c>
      <c r="X145" s="15">
        <f>IF('组合输入'!$C6="","",'组合输入'!$H6*$B145+SQRT(1-'组合输入'!$H6^2)*W145)</f>
        <v/>
      </c>
      <c r="Y145" s="7">
        <f>IF(X145="","",NORM.S.DIST(X145,TRUE))</f>
        <v/>
      </c>
      <c r="Z145" s="13">
        <f>IF(Y145="","",IF(Y145&lt;='组合输入'!$K6,"AAA",IF(Y145&lt;='组合输入'!$L6,"AA",IF(Y145&lt;='组合输入'!$M6,"A",IF(Y145&lt;='组合输入'!$N6,"BBB",IF(Y145&lt;='组合输入'!$O6,"BB",IF(Y145&lt;='组合输入'!$P6,"B",IF(Y145&lt;='组合输入'!$Q6,"CCC","D")))))))</f>
        <v/>
      </c>
      <c r="AA145" s="12">
        <f>IF(Z145="","",INDEX('状态价值'!$D6:$K6,MATCH(Z145,'状态价值'!$D$1:$K$1,0)))</f>
        <v/>
      </c>
      <c r="AB145" s="15">
        <f>NORM.S.INV(RAND())</f>
        <v/>
      </c>
      <c r="AC145" s="15">
        <f>IF('组合输入'!$C7="","",'组合输入'!$H7*$B145+SQRT(1-'组合输入'!$H7^2)*AB145)</f>
        <v/>
      </c>
      <c r="AD145" s="7">
        <f>IF(AC145="","",NORM.S.DIST(AC145,TRUE))</f>
        <v/>
      </c>
      <c r="AE145" s="13">
        <f>IF(AD145="","",IF(AD145&lt;='组合输入'!$K7,"AAA",IF(AD145&lt;='组合输入'!$L7,"AA",IF(AD145&lt;='组合输入'!$M7,"A",IF(AD145&lt;='组合输入'!$N7,"BBB",IF(AD145&lt;='组合输入'!$O7,"BB",IF(AD145&lt;='组合输入'!$P7,"B",IF(AD145&lt;='组合输入'!$Q7,"CCC","D")))))))</f>
        <v/>
      </c>
      <c r="AF145" s="12">
        <f>IF(AE145="","",INDEX('状态价值'!$D7:$K7,MATCH(AE145,'状态价值'!$D$1:$K$1,0)))</f>
        <v/>
      </c>
      <c r="AG145" s="15">
        <f>NORM.S.INV(RAND())</f>
        <v/>
      </c>
      <c r="AH145" s="15">
        <f>IF('组合输入'!$C8="","",'组合输入'!$H8*$B145+SQRT(1-'组合输入'!$H8^2)*AG145)</f>
        <v/>
      </c>
      <c r="AI145" s="7">
        <f>IF(AH145="","",NORM.S.DIST(AH145,TRUE))</f>
        <v/>
      </c>
      <c r="AJ145" s="13">
        <f>IF(AI145="","",IF(AI145&lt;='组合输入'!$K8,"AAA",IF(AI145&lt;='组合输入'!$L8,"AA",IF(AI145&lt;='组合输入'!$M8,"A",IF(AI145&lt;='组合输入'!$N8,"BBB",IF(AI145&lt;='组合输入'!$O8,"BB",IF(AI145&lt;='组合输入'!$P8,"B",IF(AI145&lt;='组合输入'!$Q8,"CCC","D")))))))</f>
        <v/>
      </c>
      <c r="AK145" s="12">
        <f>IF(AJ145="","",INDEX('状态价值'!$D8:$K8,MATCH(AJ145,'状态价值'!$D$1:$K$1,0)))</f>
        <v/>
      </c>
      <c r="AL145" s="15">
        <f>NORM.S.INV(RAND())</f>
        <v/>
      </c>
      <c r="AM145" s="15">
        <f>IF('组合输入'!$C9="","",'组合输入'!$H9*$B145+SQRT(1-'组合输入'!$H9^2)*AL145)</f>
        <v/>
      </c>
      <c r="AN145" s="7">
        <f>IF(AM145="","",NORM.S.DIST(AM145,TRUE))</f>
        <v/>
      </c>
      <c r="AO145" s="13">
        <f>IF(AN145="","",IF(AN145&lt;='组合输入'!$K9,"AAA",IF(AN145&lt;='组合输入'!$L9,"AA",IF(AN145&lt;='组合输入'!$M9,"A",IF(AN145&lt;='组合输入'!$N9,"BBB",IF(AN145&lt;='组合输入'!$O9,"BB",IF(AN145&lt;='组合输入'!$P9,"B",IF(AN145&lt;='组合输入'!$Q9,"CCC","D")))))))</f>
        <v/>
      </c>
      <c r="AP145" s="12">
        <f>IF(AO145="","",INDEX('状态价值'!$D9:$K9,MATCH(AO145,'状态价值'!$D$1:$K$1,0)))</f>
        <v/>
      </c>
      <c r="AQ145" s="15">
        <f>NORM.S.INV(RAND())</f>
        <v/>
      </c>
      <c r="AR145" s="15">
        <f>IF('组合输入'!$C10="","",'组合输入'!$H10*$B145+SQRT(1-'组合输入'!$H10^2)*AQ145)</f>
        <v/>
      </c>
      <c r="AS145" s="7">
        <f>IF(AR145="","",NORM.S.DIST(AR145,TRUE))</f>
        <v/>
      </c>
      <c r="AT145" s="13">
        <f>IF(AS145="","",IF(AS145&lt;='组合输入'!$K10,"AAA",IF(AS145&lt;='组合输入'!$L10,"AA",IF(AS145&lt;='组合输入'!$M10,"A",IF(AS145&lt;='组合输入'!$N10,"BBB",IF(AS145&lt;='组合输入'!$O10,"BB",IF(AS145&lt;='组合输入'!$P10,"B",IF(AS145&lt;='组合输入'!$Q10,"CCC","D")))))))</f>
        <v/>
      </c>
      <c r="AU145" s="12">
        <f>IF(AT145="","",INDEX('状态价值'!$D10:$K10,MATCH(AT145,'状态价值'!$D$1:$K$1,0)))</f>
        <v/>
      </c>
      <c r="AV145" s="15">
        <f>NORM.S.INV(RAND())</f>
        <v/>
      </c>
      <c r="AW145" s="15">
        <f>IF('组合输入'!$C11="","",'组合输入'!$H11*$B145+SQRT(1-'组合输入'!$H11^2)*AV145)</f>
        <v/>
      </c>
      <c r="AX145" s="7">
        <f>IF(AW145="","",NORM.S.DIST(AW145,TRUE))</f>
        <v/>
      </c>
      <c r="AY145" s="13">
        <f>IF(AX145="","",IF(AX145&lt;='组合输入'!$K11,"AAA",IF(AX145&lt;='组合输入'!$L11,"AA",IF(AX145&lt;='组合输入'!$M11,"A",IF(AX145&lt;='组合输入'!$N11,"BBB",IF(AX145&lt;='组合输入'!$O11,"BB",IF(AX145&lt;='组合输入'!$P11,"B",IF(AX145&lt;='组合输入'!$Q11,"CCC","D")))))))</f>
        <v/>
      </c>
      <c r="AZ145" s="12">
        <f>IF(AY145="","",INDEX('状态价值'!$D11:$K11,MATCH(AY145,'状态价值'!$D$1:$K$1,0)))</f>
        <v/>
      </c>
      <c r="BA145" s="12">
        <f>G145+L145+Q145+V145+AA145+AF145+AK145+AP145+AU145+AZ145</f>
        <v/>
      </c>
      <c r="BB145" s="12">
        <f>SUM('组合输入'!$J$2:$J$11)-BA145</f>
        <v/>
      </c>
    </row>
    <row r="146">
      <c r="A146" s="11" t="n">
        <v>145</v>
      </c>
      <c r="B146" s="14">
        <f>NORM.S.INV(RAND())</f>
        <v/>
      </c>
      <c r="C146" s="14">
        <f>NORM.S.INV(RAND())</f>
        <v/>
      </c>
      <c r="D146" s="15">
        <f>IF('组合输入'!$C2="","",'组合输入'!$H2*$B146+SQRT(1-'组合输入'!$H2^2)*C146)</f>
        <v/>
      </c>
      <c r="E146" s="7">
        <f>IF(D146="","",NORM.S.DIST(D146,TRUE))</f>
        <v/>
      </c>
      <c r="F146" s="13">
        <f>IF(E146="","",IF(E146&lt;='组合输入'!$K2,"AAA",IF(E146&lt;='组合输入'!$L2,"AA",IF(E146&lt;='组合输入'!$M2,"A",IF(E146&lt;='组合输入'!$N2,"BBB",IF(E146&lt;='组合输入'!$O2,"BB",IF(E146&lt;='组合输入'!$P2,"B",IF(E146&lt;='组合输入'!$Q2,"CCC","D")))))))</f>
        <v/>
      </c>
      <c r="G146" s="12">
        <f>IF(F146="","",INDEX('状态价值'!$D2:$K2,MATCH(F146,'状态价值'!$D$1:$K$1,0)))</f>
        <v/>
      </c>
      <c r="H146" s="15">
        <f>NORM.S.INV(RAND())</f>
        <v/>
      </c>
      <c r="I146" s="15">
        <f>IF('组合输入'!$C3="","",'组合输入'!$H3*$B146+SQRT(1-'组合输入'!$H3^2)*H146)</f>
        <v/>
      </c>
      <c r="J146" s="7">
        <f>IF(I146="","",NORM.S.DIST(I146,TRUE))</f>
        <v/>
      </c>
      <c r="K146" s="13">
        <f>IF(J146="","",IF(J146&lt;='组合输入'!$K3,"AAA",IF(J146&lt;='组合输入'!$L3,"AA",IF(J146&lt;='组合输入'!$M3,"A",IF(J146&lt;='组合输入'!$N3,"BBB",IF(J146&lt;='组合输入'!$O3,"BB",IF(J146&lt;='组合输入'!$P3,"B",IF(J146&lt;='组合输入'!$Q3,"CCC","D")))))))</f>
        <v/>
      </c>
      <c r="L146" s="12">
        <f>IF(K146="","",INDEX('状态价值'!$D3:$K3,MATCH(K146,'状态价值'!$D$1:$K$1,0)))</f>
        <v/>
      </c>
      <c r="M146" s="15">
        <f>NORM.S.INV(RAND())</f>
        <v/>
      </c>
      <c r="N146" s="15">
        <f>IF('组合输入'!$C4="","",'组合输入'!$H4*$B146+SQRT(1-'组合输入'!$H4^2)*M146)</f>
        <v/>
      </c>
      <c r="O146" s="7">
        <f>IF(N146="","",NORM.S.DIST(N146,TRUE))</f>
        <v/>
      </c>
      <c r="P146" s="13">
        <f>IF(O146="","",IF(O146&lt;='组合输入'!$K4,"AAA",IF(O146&lt;='组合输入'!$L4,"AA",IF(O146&lt;='组合输入'!$M4,"A",IF(O146&lt;='组合输入'!$N4,"BBB",IF(O146&lt;='组合输入'!$O4,"BB",IF(O146&lt;='组合输入'!$P4,"B",IF(O146&lt;='组合输入'!$Q4,"CCC","D")))))))</f>
        <v/>
      </c>
      <c r="Q146" s="12">
        <f>IF(P146="","",INDEX('状态价值'!$D4:$K4,MATCH(P146,'状态价值'!$D$1:$K$1,0)))</f>
        <v/>
      </c>
      <c r="R146" s="15">
        <f>NORM.S.INV(RAND())</f>
        <v/>
      </c>
      <c r="S146" s="15">
        <f>IF('组合输入'!$C5="","",'组合输入'!$H5*$B146+SQRT(1-'组合输入'!$H5^2)*R146)</f>
        <v/>
      </c>
      <c r="T146" s="7">
        <f>IF(S146="","",NORM.S.DIST(S146,TRUE))</f>
        <v/>
      </c>
      <c r="U146" s="13">
        <f>IF(T146="","",IF(T146&lt;='组合输入'!$K5,"AAA",IF(T146&lt;='组合输入'!$L5,"AA",IF(T146&lt;='组合输入'!$M5,"A",IF(T146&lt;='组合输入'!$N5,"BBB",IF(T146&lt;='组合输入'!$O5,"BB",IF(T146&lt;='组合输入'!$P5,"B",IF(T146&lt;='组合输入'!$Q5,"CCC","D")))))))</f>
        <v/>
      </c>
      <c r="V146" s="12">
        <f>IF(U146="","",INDEX('状态价值'!$D5:$K5,MATCH(U146,'状态价值'!$D$1:$K$1,0)))</f>
        <v/>
      </c>
      <c r="W146" s="15">
        <f>NORM.S.INV(RAND())</f>
        <v/>
      </c>
      <c r="X146" s="15">
        <f>IF('组合输入'!$C6="","",'组合输入'!$H6*$B146+SQRT(1-'组合输入'!$H6^2)*W146)</f>
        <v/>
      </c>
      <c r="Y146" s="7">
        <f>IF(X146="","",NORM.S.DIST(X146,TRUE))</f>
        <v/>
      </c>
      <c r="Z146" s="13">
        <f>IF(Y146="","",IF(Y146&lt;='组合输入'!$K6,"AAA",IF(Y146&lt;='组合输入'!$L6,"AA",IF(Y146&lt;='组合输入'!$M6,"A",IF(Y146&lt;='组合输入'!$N6,"BBB",IF(Y146&lt;='组合输入'!$O6,"BB",IF(Y146&lt;='组合输入'!$P6,"B",IF(Y146&lt;='组合输入'!$Q6,"CCC","D")))))))</f>
        <v/>
      </c>
      <c r="AA146" s="12">
        <f>IF(Z146="","",INDEX('状态价值'!$D6:$K6,MATCH(Z146,'状态价值'!$D$1:$K$1,0)))</f>
        <v/>
      </c>
      <c r="AB146" s="15">
        <f>NORM.S.INV(RAND())</f>
        <v/>
      </c>
      <c r="AC146" s="15">
        <f>IF('组合输入'!$C7="","",'组合输入'!$H7*$B146+SQRT(1-'组合输入'!$H7^2)*AB146)</f>
        <v/>
      </c>
      <c r="AD146" s="7">
        <f>IF(AC146="","",NORM.S.DIST(AC146,TRUE))</f>
        <v/>
      </c>
      <c r="AE146" s="13">
        <f>IF(AD146="","",IF(AD146&lt;='组合输入'!$K7,"AAA",IF(AD146&lt;='组合输入'!$L7,"AA",IF(AD146&lt;='组合输入'!$M7,"A",IF(AD146&lt;='组合输入'!$N7,"BBB",IF(AD146&lt;='组合输入'!$O7,"BB",IF(AD146&lt;='组合输入'!$P7,"B",IF(AD146&lt;='组合输入'!$Q7,"CCC","D")))))))</f>
        <v/>
      </c>
      <c r="AF146" s="12">
        <f>IF(AE146="","",INDEX('状态价值'!$D7:$K7,MATCH(AE146,'状态价值'!$D$1:$K$1,0)))</f>
        <v/>
      </c>
      <c r="AG146" s="15">
        <f>NORM.S.INV(RAND())</f>
        <v/>
      </c>
      <c r="AH146" s="15">
        <f>IF('组合输入'!$C8="","",'组合输入'!$H8*$B146+SQRT(1-'组合输入'!$H8^2)*AG146)</f>
        <v/>
      </c>
      <c r="AI146" s="7">
        <f>IF(AH146="","",NORM.S.DIST(AH146,TRUE))</f>
        <v/>
      </c>
      <c r="AJ146" s="13">
        <f>IF(AI146="","",IF(AI146&lt;='组合输入'!$K8,"AAA",IF(AI146&lt;='组合输入'!$L8,"AA",IF(AI146&lt;='组合输入'!$M8,"A",IF(AI146&lt;='组合输入'!$N8,"BBB",IF(AI146&lt;='组合输入'!$O8,"BB",IF(AI146&lt;='组合输入'!$P8,"B",IF(AI146&lt;='组合输入'!$Q8,"CCC","D")))))))</f>
        <v/>
      </c>
      <c r="AK146" s="12">
        <f>IF(AJ146="","",INDEX('状态价值'!$D8:$K8,MATCH(AJ146,'状态价值'!$D$1:$K$1,0)))</f>
        <v/>
      </c>
      <c r="AL146" s="15">
        <f>NORM.S.INV(RAND())</f>
        <v/>
      </c>
      <c r="AM146" s="15">
        <f>IF('组合输入'!$C9="","",'组合输入'!$H9*$B146+SQRT(1-'组合输入'!$H9^2)*AL146)</f>
        <v/>
      </c>
      <c r="AN146" s="7">
        <f>IF(AM146="","",NORM.S.DIST(AM146,TRUE))</f>
        <v/>
      </c>
      <c r="AO146" s="13">
        <f>IF(AN146="","",IF(AN146&lt;='组合输入'!$K9,"AAA",IF(AN146&lt;='组合输入'!$L9,"AA",IF(AN146&lt;='组合输入'!$M9,"A",IF(AN146&lt;='组合输入'!$N9,"BBB",IF(AN146&lt;='组合输入'!$O9,"BB",IF(AN146&lt;='组合输入'!$P9,"B",IF(AN146&lt;='组合输入'!$Q9,"CCC","D")))))))</f>
        <v/>
      </c>
      <c r="AP146" s="12">
        <f>IF(AO146="","",INDEX('状态价值'!$D9:$K9,MATCH(AO146,'状态价值'!$D$1:$K$1,0)))</f>
        <v/>
      </c>
      <c r="AQ146" s="15">
        <f>NORM.S.INV(RAND())</f>
        <v/>
      </c>
      <c r="AR146" s="15">
        <f>IF('组合输入'!$C10="","",'组合输入'!$H10*$B146+SQRT(1-'组合输入'!$H10^2)*AQ146)</f>
        <v/>
      </c>
      <c r="AS146" s="7">
        <f>IF(AR146="","",NORM.S.DIST(AR146,TRUE))</f>
        <v/>
      </c>
      <c r="AT146" s="13">
        <f>IF(AS146="","",IF(AS146&lt;='组合输入'!$K10,"AAA",IF(AS146&lt;='组合输入'!$L10,"AA",IF(AS146&lt;='组合输入'!$M10,"A",IF(AS146&lt;='组合输入'!$N10,"BBB",IF(AS146&lt;='组合输入'!$O10,"BB",IF(AS146&lt;='组合输入'!$P10,"B",IF(AS146&lt;='组合输入'!$Q10,"CCC","D")))))))</f>
        <v/>
      </c>
      <c r="AU146" s="12">
        <f>IF(AT146="","",INDEX('状态价值'!$D10:$K10,MATCH(AT146,'状态价值'!$D$1:$K$1,0)))</f>
        <v/>
      </c>
      <c r="AV146" s="15">
        <f>NORM.S.INV(RAND())</f>
        <v/>
      </c>
      <c r="AW146" s="15">
        <f>IF('组合输入'!$C11="","",'组合输入'!$H11*$B146+SQRT(1-'组合输入'!$H11^2)*AV146)</f>
        <v/>
      </c>
      <c r="AX146" s="7">
        <f>IF(AW146="","",NORM.S.DIST(AW146,TRUE))</f>
        <v/>
      </c>
      <c r="AY146" s="13">
        <f>IF(AX146="","",IF(AX146&lt;='组合输入'!$K11,"AAA",IF(AX146&lt;='组合输入'!$L11,"AA",IF(AX146&lt;='组合输入'!$M11,"A",IF(AX146&lt;='组合输入'!$N11,"BBB",IF(AX146&lt;='组合输入'!$O11,"BB",IF(AX146&lt;='组合输入'!$P11,"B",IF(AX146&lt;='组合输入'!$Q11,"CCC","D")))))))</f>
        <v/>
      </c>
      <c r="AZ146" s="12">
        <f>IF(AY146="","",INDEX('状态价值'!$D11:$K11,MATCH(AY146,'状态价值'!$D$1:$K$1,0)))</f>
        <v/>
      </c>
      <c r="BA146" s="12">
        <f>G146+L146+Q146+V146+AA146+AF146+AK146+AP146+AU146+AZ146</f>
        <v/>
      </c>
      <c r="BB146" s="12">
        <f>SUM('组合输入'!$J$2:$J$11)-BA146</f>
        <v/>
      </c>
    </row>
    <row r="147">
      <c r="A147" s="11" t="n">
        <v>146</v>
      </c>
      <c r="B147" s="14">
        <f>NORM.S.INV(RAND())</f>
        <v/>
      </c>
      <c r="C147" s="14">
        <f>NORM.S.INV(RAND())</f>
        <v/>
      </c>
      <c r="D147" s="15">
        <f>IF('组合输入'!$C2="","",'组合输入'!$H2*$B147+SQRT(1-'组合输入'!$H2^2)*C147)</f>
        <v/>
      </c>
      <c r="E147" s="7">
        <f>IF(D147="","",NORM.S.DIST(D147,TRUE))</f>
        <v/>
      </c>
      <c r="F147" s="13">
        <f>IF(E147="","",IF(E147&lt;='组合输入'!$K2,"AAA",IF(E147&lt;='组合输入'!$L2,"AA",IF(E147&lt;='组合输入'!$M2,"A",IF(E147&lt;='组合输入'!$N2,"BBB",IF(E147&lt;='组合输入'!$O2,"BB",IF(E147&lt;='组合输入'!$P2,"B",IF(E147&lt;='组合输入'!$Q2,"CCC","D")))))))</f>
        <v/>
      </c>
      <c r="G147" s="12">
        <f>IF(F147="","",INDEX('状态价值'!$D2:$K2,MATCH(F147,'状态价值'!$D$1:$K$1,0)))</f>
        <v/>
      </c>
      <c r="H147" s="15">
        <f>NORM.S.INV(RAND())</f>
        <v/>
      </c>
      <c r="I147" s="15">
        <f>IF('组合输入'!$C3="","",'组合输入'!$H3*$B147+SQRT(1-'组合输入'!$H3^2)*H147)</f>
        <v/>
      </c>
      <c r="J147" s="7">
        <f>IF(I147="","",NORM.S.DIST(I147,TRUE))</f>
        <v/>
      </c>
      <c r="K147" s="13">
        <f>IF(J147="","",IF(J147&lt;='组合输入'!$K3,"AAA",IF(J147&lt;='组合输入'!$L3,"AA",IF(J147&lt;='组合输入'!$M3,"A",IF(J147&lt;='组合输入'!$N3,"BBB",IF(J147&lt;='组合输入'!$O3,"BB",IF(J147&lt;='组合输入'!$P3,"B",IF(J147&lt;='组合输入'!$Q3,"CCC","D")))))))</f>
        <v/>
      </c>
      <c r="L147" s="12">
        <f>IF(K147="","",INDEX('状态价值'!$D3:$K3,MATCH(K147,'状态价值'!$D$1:$K$1,0)))</f>
        <v/>
      </c>
      <c r="M147" s="15">
        <f>NORM.S.INV(RAND())</f>
        <v/>
      </c>
      <c r="N147" s="15">
        <f>IF('组合输入'!$C4="","",'组合输入'!$H4*$B147+SQRT(1-'组合输入'!$H4^2)*M147)</f>
        <v/>
      </c>
      <c r="O147" s="7">
        <f>IF(N147="","",NORM.S.DIST(N147,TRUE))</f>
        <v/>
      </c>
      <c r="P147" s="13">
        <f>IF(O147="","",IF(O147&lt;='组合输入'!$K4,"AAA",IF(O147&lt;='组合输入'!$L4,"AA",IF(O147&lt;='组合输入'!$M4,"A",IF(O147&lt;='组合输入'!$N4,"BBB",IF(O147&lt;='组合输入'!$O4,"BB",IF(O147&lt;='组合输入'!$P4,"B",IF(O147&lt;='组合输入'!$Q4,"CCC","D")))))))</f>
        <v/>
      </c>
      <c r="Q147" s="12">
        <f>IF(P147="","",INDEX('状态价值'!$D4:$K4,MATCH(P147,'状态价值'!$D$1:$K$1,0)))</f>
        <v/>
      </c>
      <c r="R147" s="15">
        <f>NORM.S.INV(RAND())</f>
        <v/>
      </c>
      <c r="S147" s="15">
        <f>IF('组合输入'!$C5="","",'组合输入'!$H5*$B147+SQRT(1-'组合输入'!$H5^2)*R147)</f>
        <v/>
      </c>
      <c r="T147" s="7">
        <f>IF(S147="","",NORM.S.DIST(S147,TRUE))</f>
        <v/>
      </c>
      <c r="U147" s="13">
        <f>IF(T147="","",IF(T147&lt;='组合输入'!$K5,"AAA",IF(T147&lt;='组合输入'!$L5,"AA",IF(T147&lt;='组合输入'!$M5,"A",IF(T147&lt;='组合输入'!$N5,"BBB",IF(T147&lt;='组合输入'!$O5,"BB",IF(T147&lt;='组合输入'!$P5,"B",IF(T147&lt;='组合输入'!$Q5,"CCC","D")))))))</f>
        <v/>
      </c>
      <c r="V147" s="12">
        <f>IF(U147="","",INDEX('状态价值'!$D5:$K5,MATCH(U147,'状态价值'!$D$1:$K$1,0)))</f>
        <v/>
      </c>
      <c r="W147" s="15">
        <f>NORM.S.INV(RAND())</f>
        <v/>
      </c>
      <c r="X147" s="15">
        <f>IF('组合输入'!$C6="","",'组合输入'!$H6*$B147+SQRT(1-'组合输入'!$H6^2)*W147)</f>
        <v/>
      </c>
      <c r="Y147" s="7">
        <f>IF(X147="","",NORM.S.DIST(X147,TRUE))</f>
        <v/>
      </c>
      <c r="Z147" s="13">
        <f>IF(Y147="","",IF(Y147&lt;='组合输入'!$K6,"AAA",IF(Y147&lt;='组合输入'!$L6,"AA",IF(Y147&lt;='组合输入'!$M6,"A",IF(Y147&lt;='组合输入'!$N6,"BBB",IF(Y147&lt;='组合输入'!$O6,"BB",IF(Y147&lt;='组合输入'!$P6,"B",IF(Y147&lt;='组合输入'!$Q6,"CCC","D")))))))</f>
        <v/>
      </c>
      <c r="AA147" s="12">
        <f>IF(Z147="","",INDEX('状态价值'!$D6:$K6,MATCH(Z147,'状态价值'!$D$1:$K$1,0)))</f>
        <v/>
      </c>
      <c r="AB147" s="15">
        <f>NORM.S.INV(RAND())</f>
        <v/>
      </c>
      <c r="AC147" s="15">
        <f>IF('组合输入'!$C7="","",'组合输入'!$H7*$B147+SQRT(1-'组合输入'!$H7^2)*AB147)</f>
        <v/>
      </c>
      <c r="AD147" s="7">
        <f>IF(AC147="","",NORM.S.DIST(AC147,TRUE))</f>
        <v/>
      </c>
      <c r="AE147" s="13">
        <f>IF(AD147="","",IF(AD147&lt;='组合输入'!$K7,"AAA",IF(AD147&lt;='组合输入'!$L7,"AA",IF(AD147&lt;='组合输入'!$M7,"A",IF(AD147&lt;='组合输入'!$N7,"BBB",IF(AD147&lt;='组合输入'!$O7,"BB",IF(AD147&lt;='组合输入'!$P7,"B",IF(AD147&lt;='组合输入'!$Q7,"CCC","D")))))))</f>
        <v/>
      </c>
      <c r="AF147" s="12">
        <f>IF(AE147="","",INDEX('状态价值'!$D7:$K7,MATCH(AE147,'状态价值'!$D$1:$K$1,0)))</f>
        <v/>
      </c>
      <c r="AG147" s="15">
        <f>NORM.S.INV(RAND())</f>
        <v/>
      </c>
      <c r="AH147" s="15">
        <f>IF('组合输入'!$C8="","",'组合输入'!$H8*$B147+SQRT(1-'组合输入'!$H8^2)*AG147)</f>
        <v/>
      </c>
      <c r="AI147" s="7">
        <f>IF(AH147="","",NORM.S.DIST(AH147,TRUE))</f>
        <v/>
      </c>
      <c r="AJ147" s="13">
        <f>IF(AI147="","",IF(AI147&lt;='组合输入'!$K8,"AAA",IF(AI147&lt;='组合输入'!$L8,"AA",IF(AI147&lt;='组合输入'!$M8,"A",IF(AI147&lt;='组合输入'!$N8,"BBB",IF(AI147&lt;='组合输入'!$O8,"BB",IF(AI147&lt;='组合输入'!$P8,"B",IF(AI147&lt;='组合输入'!$Q8,"CCC","D")))))))</f>
        <v/>
      </c>
      <c r="AK147" s="12">
        <f>IF(AJ147="","",INDEX('状态价值'!$D8:$K8,MATCH(AJ147,'状态价值'!$D$1:$K$1,0)))</f>
        <v/>
      </c>
      <c r="AL147" s="15">
        <f>NORM.S.INV(RAND())</f>
        <v/>
      </c>
      <c r="AM147" s="15">
        <f>IF('组合输入'!$C9="","",'组合输入'!$H9*$B147+SQRT(1-'组合输入'!$H9^2)*AL147)</f>
        <v/>
      </c>
      <c r="AN147" s="7">
        <f>IF(AM147="","",NORM.S.DIST(AM147,TRUE))</f>
        <v/>
      </c>
      <c r="AO147" s="13">
        <f>IF(AN147="","",IF(AN147&lt;='组合输入'!$K9,"AAA",IF(AN147&lt;='组合输入'!$L9,"AA",IF(AN147&lt;='组合输入'!$M9,"A",IF(AN147&lt;='组合输入'!$N9,"BBB",IF(AN147&lt;='组合输入'!$O9,"BB",IF(AN147&lt;='组合输入'!$P9,"B",IF(AN147&lt;='组合输入'!$Q9,"CCC","D")))))))</f>
        <v/>
      </c>
      <c r="AP147" s="12">
        <f>IF(AO147="","",INDEX('状态价值'!$D9:$K9,MATCH(AO147,'状态价值'!$D$1:$K$1,0)))</f>
        <v/>
      </c>
      <c r="AQ147" s="15">
        <f>NORM.S.INV(RAND())</f>
        <v/>
      </c>
      <c r="AR147" s="15">
        <f>IF('组合输入'!$C10="","",'组合输入'!$H10*$B147+SQRT(1-'组合输入'!$H10^2)*AQ147)</f>
        <v/>
      </c>
      <c r="AS147" s="7">
        <f>IF(AR147="","",NORM.S.DIST(AR147,TRUE))</f>
        <v/>
      </c>
      <c r="AT147" s="13">
        <f>IF(AS147="","",IF(AS147&lt;='组合输入'!$K10,"AAA",IF(AS147&lt;='组合输入'!$L10,"AA",IF(AS147&lt;='组合输入'!$M10,"A",IF(AS147&lt;='组合输入'!$N10,"BBB",IF(AS147&lt;='组合输入'!$O10,"BB",IF(AS147&lt;='组合输入'!$P10,"B",IF(AS147&lt;='组合输入'!$Q10,"CCC","D")))))))</f>
        <v/>
      </c>
      <c r="AU147" s="12">
        <f>IF(AT147="","",INDEX('状态价值'!$D10:$K10,MATCH(AT147,'状态价值'!$D$1:$K$1,0)))</f>
        <v/>
      </c>
      <c r="AV147" s="15">
        <f>NORM.S.INV(RAND())</f>
        <v/>
      </c>
      <c r="AW147" s="15">
        <f>IF('组合输入'!$C11="","",'组合输入'!$H11*$B147+SQRT(1-'组合输入'!$H11^2)*AV147)</f>
        <v/>
      </c>
      <c r="AX147" s="7">
        <f>IF(AW147="","",NORM.S.DIST(AW147,TRUE))</f>
        <v/>
      </c>
      <c r="AY147" s="13">
        <f>IF(AX147="","",IF(AX147&lt;='组合输入'!$K11,"AAA",IF(AX147&lt;='组合输入'!$L11,"AA",IF(AX147&lt;='组合输入'!$M11,"A",IF(AX147&lt;='组合输入'!$N11,"BBB",IF(AX147&lt;='组合输入'!$O11,"BB",IF(AX147&lt;='组合输入'!$P11,"B",IF(AX147&lt;='组合输入'!$Q11,"CCC","D")))))))</f>
        <v/>
      </c>
      <c r="AZ147" s="12">
        <f>IF(AY147="","",INDEX('状态价值'!$D11:$K11,MATCH(AY147,'状态价值'!$D$1:$K$1,0)))</f>
        <v/>
      </c>
      <c r="BA147" s="12">
        <f>G147+L147+Q147+V147+AA147+AF147+AK147+AP147+AU147+AZ147</f>
        <v/>
      </c>
      <c r="BB147" s="12">
        <f>SUM('组合输入'!$J$2:$J$11)-BA147</f>
        <v/>
      </c>
    </row>
    <row r="148">
      <c r="A148" s="11" t="n">
        <v>147</v>
      </c>
      <c r="B148" s="14">
        <f>NORM.S.INV(RAND())</f>
        <v/>
      </c>
      <c r="C148" s="14">
        <f>NORM.S.INV(RAND())</f>
        <v/>
      </c>
      <c r="D148" s="15">
        <f>IF('组合输入'!$C2="","",'组合输入'!$H2*$B148+SQRT(1-'组合输入'!$H2^2)*C148)</f>
        <v/>
      </c>
      <c r="E148" s="7">
        <f>IF(D148="","",NORM.S.DIST(D148,TRUE))</f>
        <v/>
      </c>
      <c r="F148" s="13">
        <f>IF(E148="","",IF(E148&lt;='组合输入'!$K2,"AAA",IF(E148&lt;='组合输入'!$L2,"AA",IF(E148&lt;='组合输入'!$M2,"A",IF(E148&lt;='组合输入'!$N2,"BBB",IF(E148&lt;='组合输入'!$O2,"BB",IF(E148&lt;='组合输入'!$P2,"B",IF(E148&lt;='组合输入'!$Q2,"CCC","D")))))))</f>
        <v/>
      </c>
      <c r="G148" s="12">
        <f>IF(F148="","",INDEX('状态价值'!$D2:$K2,MATCH(F148,'状态价值'!$D$1:$K$1,0)))</f>
        <v/>
      </c>
      <c r="H148" s="15">
        <f>NORM.S.INV(RAND())</f>
        <v/>
      </c>
      <c r="I148" s="15">
        <f>IF('组合输入'!$C3="","",'组合输入'!$H3*$B148+SQRT(1-'组合输入'!$H3^2)*H148)</f>
        <v/>
      </c>
      <c r="J148" s="7">
        <f>IF(I148="","",NORM.S.DIST(I148,TRUE))</f>
        <v/>
      </c>
      <c r="K148" s="13">
        <f>IF(J148="","",IF(J148&lt;='组合输入'!$K3,"AAA",IF(J148&lt;='组合输入'!$L3,"AA",IF(J148&lt;='组合输入'!$M3,"A",IF(J148&lt;='组合输入'!$N3,"BBB",IF(J148&lt;='组合输入'!$O3,"BB",IF(J148&lt;='组合输入'!$P3,"B",IF(J148&lt;='组合输入'!$Q3,"CCC","D")))))))</f>
        <v/>
      </c>
      <c r="L148" s="12">
        <f>IF(K148="","",INDEX('状态价值'!$D3:$K3,MATCH(K148,'状态价值'!$D$1:$K$1,0)))</f>
        <v/>
      </c>
      <c r="M148" s="15">
        <f>NORM.S.INV(RAND())</f>
        <v/>
      </c>
      <c r="N148" s="15">
        <f>IF('组合输入'!$C4="","",'组合输入'!$H4*$B148+SQRT(1-'组合输入'!$H4^2)*M148)</f>
        <v/>
      </c>
      <c r="O148" s="7">
        <f>IF(N148="","",NORM.S.DIST(N148,TRUE))</f>
        <v/>
      </c>
      <c r="P148" s="13">
        <f>IF(O148="","",IF(O148&lt;='组合输入'!$K4,"AAA",IF(O148&lt;='组合输入'!$L4,"AA",IF(O148&lt;='组合输入'!$M4,"A",IF(O148&lt;='组合输入'!$N4,"BBB",IF(O148&lt;='组合输入'!$O4,"BB",IF(O148&lt;='组合输入'!$P4,"B",IF(O148&lt;='组合输入'!$Q4,"CCC","D")))))))</f>
        <v/>
      </c>
      <c r="Q148" s="12">
        <f>IF(P148="","",INDEX('状态价值'!$D4:$K4,MATCH(P148,'状态价值'!$D$1:$K$1,0)))</f>
        <v/>
      </c>
      <c r="R148" s="15">
        <f>NORM.S.INV(RAND())</f>
        <v/>
      </c>
      <c r="S148" s="15">
        <f>IF('组合输入'!$C5="","",'组合输入'!$H5*$B148+SQRT(1-'组合输入'!$H5^2)*R148)</f>
        <v/>
      </c>
      <c r="T148" s="7">
        <f>IF(S148="","",NORM.S.DIST(S148,TRUE))</f>
        <v/>
      </c>
      <c r="U148" s="13">
        <f>IF(T148="","",IF(T148&lt;='组合输入'!$K5,"AAA",IF(T148&lt;='组合输入'!$L5,"AA",IF(T148&lt;='组合输入'!$M5,"A",IF(T148&lt;='组合输入'!$N5,"BBB",IF(T148&lt;='组合输入'!$O5,"BB",IF(T148&lt;='组合输入'!$P5,"B",IF(T148&lt;='组合输入'!$Q5,"CCC","D")))))))</f>
        <v/>
      </c>
      <c r="V148" s="12">
        <f>IF(U148="","",INDEX('状态价值'!$D5:$K5,MATCH(U148,'状态价值'!$D$1:$K$1,0)))</f>
        <v/>
      </c>
      <c r="W148" s="15">
        <f>NORM.S.INV(RAND())</f>
        <v/>
      </c>
      <c r="X148" s="15">
        <f>IF('组合输入'!$C6="","",'组合输入'!$H6*$B148+SQRT(1-'组合输入'!$H6^2)*W148)</f>
        <v/>
      </c>
      <c r="Y148" s="7">
        <f>IF(X148="","",NORM.S.DIST(X148,TRUE))</f>
        <v/>
      </c>
      <c r="Z148" s="13">
        <f>IF(Y148="","",IF(Y148&lt;='组合输入'!$K6,"AAA",IF(Y148&lt;='组合输入'!$L6,"AA",IF(Y148&lt;='组合输入'!$M6,"A",IF(Y148&lt;='组合输入'!$N6,"BBB",IF(Y148&lt;='组合输入'!$O6,"BB",IF(Y148&lt;='组合输入'!$P6,"B",IF(Y148&lt;='组合输入'!$Q6,"CCC","D")))))))</f>
        <v/>
      </c>
      <c r="AA148" s="12">
        <f>IF(Z148="","",INDEX('状态价值'!$D6:$K6,MATCH(Z148,'状态价值'!$D$1:$K$1,0)))</f>
        <v/>
      </c>
      <c r="AB148" s="15">
        <f>NORM.S.INV(RAND())</f>
        <v/>
      </c>
      <c r="AC148" s="15">
        <f>IF('组合输入'!$C7="","",'组合输入'!$H7*$B148+SQRT(1-'组合输入'!$H7^2)*AB148)</f>
        <v/>
      </c>
      <c r="AD148" s="7">
        <f>IF(AC148="","",NORM.S.DIST(AC148,TRUE))</f>
        <v/>
      </c>
      <c r="AE148" s="13">
        <f>IF(AD148="","",IF(AD148&lt;='组合输入'!$K7,"AAA",IF(AD148&lt;='组合输入'!$L7,"AA",IF(AD148&lt;='组合输入'!$M7,"A",IF(AD148&lt;='组合输入'!$N7,"BBB",IF(AD148&lt;='组合输入'!$O7,"BB",IF(AD148&lt;='组合输入'!$P7,"B",IF(AD148&lt;='组合输入'!$Q7,"CCC","D")))))))</f>
        <v/>
      </c>
      <c r="AF148" s="12">
        <f>IF(AE148="","",INDEX('状态价值'!$D7:$K7,MATCH(AE148,'状态价值'!$D$1:$K$1,0)))</f>
        <v/>
      </c>
      <c r="AG148" s="15">
        <f>NORM.S.INV(RAND())</f>
        <v/>
      </c>
      <c r="AH148" s="15">
        <f>IF('组合输入'!$C8="","",'组合输入'!$H8*$B148+SQRT(1-'组合输入'!$H8^2)*AG148)</f>
        <v/>
      </c>
      <c r="AI148" s="7">
        <f>IF(AH148="","",NORM.S.DIST(AH148,TRUE))</f>
        <v/>
      </c>
      <c r="AJ148" s="13">
        <f>IF(AI148="","",IF(AI148&lt;='组合输入'!$K8,"AAA",IF(AI148&lt;='组合输入'!$L8,"AA",IF(AI148&lt;='组合输入'!$M8,"A",IF(AI148&lt;='组合输入'!$N8,"BBB",IF(AI148&lt;='组合输入'!$O8,"BB",IF(AI148&lt;='组合输入'!$P8,"B",IF(AI148&lt;='组合输入'!$Q8,"CCC","D")))))))</f>
        <v/>
      </c>
      <c r="AK148" s="12">
        <f>IF(AJ148="","",INDEX('状态价值'!$D8:$K8,MATCH(AJ148,'状态价值'!$D$1:$K$1,0)))</f>
        <v/>
      </c>
      <c r="AL148" s="15">
        <f>NORM.S.INV(RAND())</f>
        <v/>
      </c>
      <c r="AM148" s="15">
        <f>IF('组合输入'!$C9="","",'组合输入'!$H9*$B148+SQRT(1-'组合输入'!$H9^2)*AL148)</f>
        <v/>
      </c>
      <c r="AN148" s="7">
        <f>IF(AM148="","",NORM.S.DIST(AM148,TRUE))</f>
        <v/>
      </c>
      <c r="AO148" s="13">
        <f>IF(AN148="","",IF(AN148&lt;='组合输入'!$K9,"AAA",IF(AN148&lt;='组合输入'!$L9,"AA",IF(AN148&lt;='组合输入'!$M9,"A",IF(AN148&lt;='组合输入'!$N9,"BBB",IF(AN148&lt;='组合输入'!$O9,"BB",IF(AN148&lt;='组合输入'!$P9,"B",IF(AN148&lt;='组合输入'!$Q9,"CCC","D")))))))</f>
        <v/>
      </c>
      <c r="AP148" s="12">
        <f>IF(AO148="","",INDEX('状态价值'!$D9:$K9,MATCH(AO148,'状态价值'!$D$1:$K$1,0)))</f>
        <v/>
      </c>
      <c r="AQ148" s="15">
        <f>NORM.S.INV(RAND())</f>
        <v/>
      </c>
      <c r="AR148" s="15">
        <f>IF('组合输入'!$C10="","",'组合输入'!$H10*$B148+SQRT(1-'组合输入'!$H10^2)*AQ148)</f>
        <v/>
      </c>
      <c r="AS148" s="7">
        <f>IF(AR148="","",NORM.S.DIST(AR148,TRUE))</f>
        <v/>
      </c>
      <c r="AT148" s="13">
        <f>IF(AS148="","",IF(AS148&lt;='组合输入'!$K10,"AAA",IF(AS148&lt;='组合输入'!$L10,"AA",IF(AS148&lt;='组合输入'!$M10,"A",IF(AS148&lt;='组合输入'!$N10,"BBB",IF(AS148&lt;='组合输入'!$O10,"BB",IF(AS148&lt;='组合输入'!$P10,"B",IF(AS148&lt;='组合输入'!$Q10,"CCC","D")))))))</f>
        <v/>
      </c>
      <c r="AU148" s="12">
        <f>IF(AT148="","",INDEX('状态价值'!$D10:$K10,MATCH(AT148,'状态价值'!$D$1:$K$1,0)))</f>
        <v/>
      </c>
      <c r="AV148" s="15">
        <f>NORM.S.INV(RAND())</f>
        <v/>
      </c>
      <c r="AW148" s="15">
        <f>IF('组合输入'!$C11="","",'组合输入'!$H11*$B148+SQRT(1-'组合输入'!$H11^2)*AV148)</f>
        <v/>
      </c>
      <c r="AX148" s="7">
        <f>IF(AW148="","",NORM.S.DIST(AW148,TRUE))</f>
        <v/>
      </c>
      <c r="AY148" s="13">
        <f>IF(AX148="","",IF(AX148&lt;='组合输入'!$K11,"AAA",IF(AX148&lt;='组合输入'!$L11,"AA",IF(AX148&lt;='组合输入'!$M11,"A",IF(AX148&lt;='组合输入'!$N11,"BBB",IF(AX148&lt;='组合输入'!$O11,"BB",IF(AX148&lt;='组合输入'!$P11,"B",IF(AX148&lt;='组合输入'!$Q11,"CCC","D")))))))</f>
        <v/>
      </c>
      <c r="AZ148" s="12">
        <f>IF(AY148="","",INDEX('状态价值'!$D11:$K11,MATCH(AY148,'状态价值'!$D$1:$K$1,0)))</f>
        <v/>
      </c>
      <c r="BA148" s="12">
        <f>G148+L148+Q148+V148+AA148+AF148+AK148+AP148+AU148+AZ148</f>
        <v/>
      </c>
      <c r="BB148" s="12">
        <f>SUM('组合输入'!$J$2:$J$11)-BA148</f>
        <v/>
      </c>
    </row>
    <row r="149">
      <c r="A149" s="11" t="n">
        <v>148</v>
      </c>
      <c r="B149" s="14">
        <f>NORM.S.INV(RAND())</f>
        <v/>
      </c>
      <c r="C149" s="14">
        <f>NORM.S.INV(RAND())</f>
        <v/>
      </c>
      <c r="D149" s="15">
        <f>IF('组合输入'!$C2="","",'组合输入'!$H2*$B149+SQRT(1-'组合输入'!$H2^2)*C149)</f>
        <v/>
      </c>
      <c r="E149" s="7">
        <f>IF(D149="","",NORM.S.DIST(D149,TRUE))</f>
        <v/>
      </c>
      <c r="F149" s="13">
        <f>IF(E149="","",IF(E149&lt;='组合输入'!$K2,"AAA",IF(E149&lt;='组合输入'!$L2,"AA",IF(E149&lt;='组合输入'!$M2,"A",IF(E149&lt;='组合输入'!$N2,"BBB",IF(E149&lt;='组合输入'!$O2,"BB",IF(E149&lt;='组合输入'!$P2,"B",IF(E149&lt;='组合输入'!$Q2,"CCC","D")))))))</f>
        <v/>
      </c>
      <c r="G149" s="12">
        <f>IF(F149="","",INDEX('状态价值'!$D2:$K2,MATCH(F149,'状态价值'!$D$1:$K$1,0)))</f>
        <v/>
      </c>
      <c r="H149" s="15">
        <f>NORM.S.INV(RAND())</f>
        <v/>
      </c>
      <c r="I149" s="15">
        <f>IF('组合输入'!$C3="","",'组合输入'!$H3*$B149+SQRT(1-'组合输入'!$H3^2)*H149)</f>
        <v/>
      </c>
      <c r="J149" s="7">
        <f>IF(I149="","",NORM.S.DIST(I149,TRUE))</f>
        <v/>
      </c>
      <c r="K149" s="13">
        <f>IF(J149="","",IF(J149&lt;='组合输入'!$K3,"AAA",IF(J149&lt;='组合输入'!$L3,"AA",IF(J149&lt;='组合输入'!$M3,"A",IF(J149&lt;='组合输入'!$N3,"BBB",IF(J149&lt;='组合输入'!$O3,"BB",IF(J149&lt;='组合输入'!$P3,"B",IF(J149&lt;='组合输入'!$Q3,"CCC","D")))))))</f>
        <v/>
      </c>
      <c r="L149" s="12">
        <f>IF(K149="","",INDEX('状态价值'!$D3:$K3,MATCH(K149,'状态价值'!$D$1:$K$1,0)))</f>
        <v/>
      </c>
      <c r="M149" s="15">
        <f>NORM.S.INV(RAND())</f>
        <v/>
      </c>
      <c r="N149" s="15">
        <f>IF('组合输入'!$C4="","",'组合输入'!$H4*$B149+SQRT(1-'组合输入'!$H4^2)*M149)</f>
        <v/>
      </c>
      <c r="O149" s="7">
        <f>IF(N149="","",NORM.S.DIST(N149,TRUE))</f>
        <v/>
      </c>
      <c r="P149" s="13">
        <f>IF(O149="","",IF(O149&lt;='组合输入'!$K4,"AAA",IF(O149&lt;='组合输入'!$L4,"AA",IF(O149&lt;='组合输入'!$M4,"A",IF(O149&lt;='组合输入'!$N4,"BBB",IF(O149&lt;='组合输入'!$O4,"BB",IF(O149&lt;='组合输入'!$P4,"B",IF(O149&lt;='组合输入'!$Q4,"CCC","D")))))))</f>
        <v/>
      </c>
      <c r="Q149" s="12">
        <f>IF(P149="","",INDEX('状态价值'!$D4:$K4,MATCH(P149,'状态价值'!$D$1:$K$1,0)))</f>
        <v/>
      </c>
      <c r="R149" s="15">
        <f>NORM.S.INV(RAND())</f>
        <v/>
      </c>
      <c r="S149" s="15">
        <f>IF('组合输入'!$C5="","",'组合输入'!$H5*$B149+SQRT(1-'组合输入'!$H5^2)*R149)</f>
        <v/>
      </c>
      <c r="T149" s="7">
        <f>IF(S149="","",NORM.S.DIST(S149,TRUE))</f>
        <v/>
      </c>
      <c r="U149" s="13">
        <f>IF(T149="","",IF(T149&lt;='组合输入'!$K5,"AAA",IF(T149&lt;='组合输入'!$L5,"AA",IF(T149&lt;='组合输入'!$M5,"A",IF(T149&lt;='组合输入'!$N5,"BBB",IF(T149&lt;='组合输入'!$O5,"BB",IF(T149&lt;='组合输入'!$P5,"B",IF(T149&lt;='组合输入'!$Q5,"CCC","D")))))))</f>
        <v/>
      </c>
      <c r="V149" s="12">
        <f>IF(U149="","",INDEX('状态价值'!$D5:$K5,MATCH(U149,'状态价值'!$D$1:$K$1,0)))</f>
        <v/>
      </c>
      <c r="W149" s="15">
        <f>NORM.S.INV(RAND())</f>
        <v/>
      </c>
      <c r="X149" s="15">
        <f>IF('组合输入'!$C6="","",'组合输入'!$H6*$B149+SQRT(1-'组合输入'!$H6^2)*W149)</f>
        <v/>
      </c>
      <c r="Y149" s="7">
        <f>IF(X149="","",NORM.S.DIST(X149,TRUE))</f>
        <v/>
      </c>
      <c r="Z149" s="13">
        <f>IF(Y149="","",IF(Y149&lt;='组合输入'!$K6,"AAA",IF(Y149&lt;='组合输入'!$L6,"AA",IF(Y149&lt;='组合输入'!$M6,"A",IF(Y149&lt;='组合输入'!$N6,"BBB",IF(Y149&lt;='组合输入'!$O6,"BB",IF(Y149&lt;='组合输入'!$P6,"B",IF(Y149&lt;='组合输入'!$Q6,"CCC","D")))))))</f>
        <v/>
      </c>
      <c r="AA149" s="12">
        <f>IF(Z149="","",INDEX('状态价值'!$D6:$K6,MATCH(Z149,'状态价值'!$D$1:$K$1,0)))</f>
        <v/>
      </c>
      <c r="AB149" s="15">
        <f>NORM.S.INV(RAND())</f>
        <v/>
      </c>
      <c r="AC149" s="15">
        <f>IF('组合输入'!$C7="","",'组合输入'!$H7*$B149+SQRT(1-'组合输入'!$H7^2)*AB149)</f>
        <v/>
      </c>
      <c r="AD149" s="7">
        <f>IF(AC149="","",NORM.S.DIST(AC149,TRUE))</f>
        <v/>
      </c>
      <c r="AE149" s="13">
        <f>IF(AD149="","",IF(AD149&lt;='组合输入'!$K7,"AAA",IF(AD149&lt;='组合输入'!$L7,"AA",IF(AD149&lt;='组合输入'!$M7,"A",IF(AD149&lt;='组合输入'!$N7,"BBB",IF(AD149&lt;='组合输入'!$O7,"BB",IF(AD149&lt;='组合输入'!$P7,"B",IF(AD149&lt;='组合输入'!$Q7,"CCC","D")))))))</f>
        <v/>
      </c>
      <c r="AF149" s="12">
        <f>IF(AE149="","",INDEX('状态价值'!$D7:$K7,MATCH(AE149,'状态价值'!$D$1:$K$1,0)))</f>
        <v/>
      </c>
      <c r="AG149" s="15">
        <f>NORM.S.INV(RAND())</f>
        <v/>
      </c>
      <c r="AH149" s="15">
        <f>IF('组合输入'!$C8="","",'组合输入'!$H8*$B149+SQRT(1-'组合输入'!$H8^2)*AG149)</f>
        <v/>
      </c>
      <c r="AI149" s="7">
        <f>IF(AH149="","",NORM.S.DIST(AH149,TRUE))</f>
        <v/>
      </c>
      <c r="AJ149" s="13">
        <f>IF(AI149="","",IF(AI149&lt;='组合输入'!$K8,"AAA",IF(AI149&lt;='组合输入'!$L8,"AA",IF(AI149&lt;='组合输入'!$M8,"A",IF(AI149&lt;='组合输入'!$N8,"BBB",IF(AI149&lt;='组合输入'!$O8,"BB",IF(AI149&lt;='组合输入'!$P8,"B",IF(AI149&lt;='组合输入'!$Q8,"CCC","D")))))))</f>
        <v/>
      </c>
      <c r="AK149" s="12">
        <f>IF(AJ149="","",INDEX('状态价值'!$D8:$K8,MATCH(AJ149,'状态价值'!$D$1:$K$1,0)))</f>
        <v/>
      </c>
      <c r="AL149" s="15">
        <f>NORM.S.INV(RAND())</f>
        <v/>
      </c>
      <c r="AM149" s="15">
        <f>IF('组合输入'!$C9="","",'组合输入'!$H9*$B149+SQRT(1-'组合输入'!$H9^2)*AL149)</f>
        <v/>
      </c>
      <c r="AN149" s="7">
        <f>IF(AM149="","",NORM.S.DIST(AM149,TRUE))</f>
        <v/>
      </c>
      <c r="AO149" s="13">
        <f>IF(AN149="","",IF(AN149&lt;='组合输入'!$K9,"AAA",IF(AN149&lt;='组合输入'!$L9,"AA",IF(AN149&lt;='组合输入'!$M9,"A",IF(AN149&lt;='组合输入'!$N9,"BBB",IF(AN149&lt;='组合输入'!$O9,"BB",IF(AN149&lt;='组合输入'!$P9,"B",IF(AN149&lt;='组合输入'!$Q9,"CCC","D")))))))</f>
        <v/>
      </c>
      <c r="AP149" s="12">
        <f>IF(AO149="","",INDEX('状态价值'!$D9:$K9,MATCH(AO149,'状态价值'!$D$1:$K$1,0)))</f>
        <v/>
      </c>
      <c r="AQ149" s="15">
        <f>NORM.S.INV(RAND())</f>
        <v/>
      </c>
      <c r="AR149" s="15">
        <f>IF('组合输入'!$C10="","",'组合输入'!$H10*$B149+SQRT(1-'组合输入'!$H10^2)*AQ149)</f>
        <v/>
      </c>
      <c r="AS149" s="7">
        <f>IF(AR149="","",NORM.S.DIST(AR149,TRUE))</f>
        <v/>
      </c>
      <c r="AT149" s="13">
        <f>IF(AS149="","",IF(AS149&lt;='组合输入'!$K10,"AAA",IF(AS149&lt;='组合输入'!$L10,"AA",IF(AS149&lt;='组合输入'!$M10,"A",IF(AS149&lt;='组合输入'!$N10,"BBB",IF(AS149&lt;='组合输入'!$O10,"BB",IF(AS149&lt;='组合输入'!$P10,"B",IF(AS149&lt;='组合输入'!$Q10,"CCC","D")))))))</f>
        <v/>
      </c>
      <c r="AU149" s="12">
        <f>IF(AT149="","",INDEX('状态价值'!$D10:$K10,MATCH(AT149,'状态价值'!$D$1:$K$1,0)))</f>
        <v/>
      </c>
      <c r="AV149" s="15">
        <f>NORM.S.INV(RAND())</f>
        <v/>
      </c>
      <c r="AW149" s="15">
        <f>IF('组合输入'!$C11="","",'组合输入'!$H11*$B149+SQRT(1-'组合输入'!$H11^2)*AV149)</f>
        <v/>
      </c>
      <c r="AX149" s="7">
        <f>IF(AW149="","",NORM.S.DIST(AW149,TRUE))</f>
        <v/>
      </c>
      <c r="AY149" s="13">
        <f>IF(AX149="","",IF(AX149&lt;='组合输入'!$K11,"AAA",IF(AX149&lt;='组合输入'!$L11,"AA",IF(AX149&lt;='组合输入'!$M11,"A",IF(AX149&lt;='组合输入'!$N11,"BBB",IF(AX149&lt;='组合输入'!$O11,"BB",IF(AX149&lt;='组合输入'!$P11,"B",IF(AX149&lt;='组合输入'!$Q11,"CCC","D")))))))</f>
        <v/>
      </c>
      <c r="AZ149" s="12">
        <f>IF(AY149="","",INDEX('状态价值'!$D11:$K11,MATCH(AY149,'状态价值'!$D$1:$K$1,0)))</f>
        <v/>
      </c>
      <c r="BA149" s="12">
        <f>G149+L149+Q149+V149+AA149+AF149+AK149+AP149+AU149+AZ149</f>
        <v/>
      </c>
      <c r="BB149" s="12">
        <f>SUM('组合输入'!$J$2:$J$11)-BA149</f>
        <v/>
      </c>
    </row>
    <row r="150">
      <c r="A150" s="11" t="n">
        <v>149</v>
      </c>
      <c r="B150" s="14">
        <f>NORM.S.INV(RAND())</f>
        <v/>
      </c>
      <c r="C150" s="14">
        <f>NORM.S.INV(RAND())</f>
        <v/>
      </c>
      <c r="D150" s="15">
        <f>IF('组合输入'!$C2="","",'组合输入'!$H2*$B150+SQRT(1-'组合输入'!$H2^2)*C150)</f>
        <v/>
      </c>
      <c r="E150" s="7">
        <f>IF(D150="","",NORM.S.DIST(D150,TRUE))</f>
        <v/>
      </c>
      <c r="F150" s="13">
        <f>IF(E150="","",IF(E150&lt;='组合输入'!$K2,"AAA",IF(E150&lt;='组合输入'!$L2,"AA",IF(E150&lt;='组合输入'!$M2,"A",IF(E150&lt;='组合输入'!$N2,"BBB",IF(E150&lt;='组合输入'!$O2,"BB",IF(E150&lt;='组合输入'!$P2,"B",IF(E150&lt;='组合输入'!$Q2,"CCC","D")))))))</f>
        <v/>
      </c>
      <c r="G150" s="12">
        <f>IF(F150="","",INDEX('状态价值'!$D2:$K2,MATCH(F150,'状态价值'!$D$1:$K$1,0)))</f>
        <v/>
      </c>
      <c r="H150" s="15">
        <f>NORM.S.INV(RAND())</f>
        <v/>
      </c>
      <c r="I150" s="15">
        <f>IF('组合输入'!$C3="","",'组合输入'!$H3*$B150+SQRT(1-'组合输入'!$H3^2)*H150)</f>
        <v/>
      </c>
      <c r="J150" s="7">
        <f>IF(I150="","",NORM.S.DIST(I150,TRUE))</f>
        <v/>
      </c>
      <c r="K150" s="13">
        <f>IF(J150="","",IF(J150&lt;='组合输入'!$K3,"AAA",IF(J150&lt;='组合输入'!$L3,"AA",IF(J150&lt;='组合输入'!$M3,"A",IF(J150&lt;='组合输入'!$N3,"BBB",IF(J150&lt;='组合输入'!$O3,"BB",IF(J150&lt;='组合输入'!$P3,"B",IF(J150&lt;='组合输入'!$Q3,"CCC","D")))))))</f>
        <v/>
      </c>
      <c r="L150" s="12">
        <f>IF(K150="","",INDEX('状态价值'!$D3:$K3,MATCH(K150,'状态价值'!$D$1:$K$1,0)))</f>
        <v/>
      </c>
      <c r="M150" s="15">
        <f>NORM.S.INV(RAND())</f>
        <v/>
      </c>
      <c r="N150" s="15">
        <f>IF('组合输入'!$C4="","",'组合输入'!$H4*$B150+SQRT(1-'组合输入'!$H4^2)*M150)</f>
        <v/>
      </c>
      <c r="O150" s="7">
        <f>IF(N150="","",NORM.S.DIST(N150,TRUE))</f>
        <v/>
      </c>
      <c r="P150" s="13">
        <f>IF(O150="","",IF(O150&lt;='组合输入'!$K4,"AAA",IF(O150&lt;='组合输入'!$L4,"AA",IF(O150&lt;='组合输入'!$M4,"A",IF(O150&lt;='组合输入'!$N4,"BBB",IF(O150&lt;='组合输入'!$O4,"BB",IF(O150&lt;='组合输入'!$P4,"B",IF(O150&lt;='组合输入'!$Q4,"CCC","D")))))))</f>
        <v/>
      </c>
      <c r="Q150" s="12">
        <f>IF(P150="","",INDEX('状态价值'!$D4:$K4,MATCH(P150,'状态价值'!$D$1:$K$1,0)))</f>
        <v/>
      </c>
      <c r="R150" s="15">
        <f>NORM.S.INV(RAND())</f>
        <v/>
      </c>
      <c r="S150" s="15">
        <f>IF('组合输入'!$C5="","",'组合输入'!$H5*$B150+SQRT(1-'组合输入'!$H5^2)*R150)</f>
        <v/>
      </c>
      <c r="T150" s="7">
        <f>IF(S150="","",NORM.S.DIST(S150,TRUE))</f>
        <v/>
      </c>
      <c r="U150" s="13">
        <f>IF(T150="","",IF(T150&lt;='组合输入'!$K5,"AAA",IF(T150&lt;='组合输入'!$L5,"AA",IF(T150&lt;='组合输入'!$M5,"A",IF(T150&lt;='组合输入'!$N5,"BBB",IF(T150&lt;='组合输入'!$O5,"BB",IF(T150&lt;='组合输入'!$P5,"B",IF(T150&lt;='组合输入'!$Q5,"CCC","D")))))))</f>
        <v/>
      </c>
      <c r="V150" s="12">
        <f>IF(U150="","",INDEX('状态价值'!$D5:$K5,MATCH(U150,'状态价值'!$D$1:$K$1,0)))</f>
        <v/>
      </c>
      <c r="W150" s="15">
        <f>NORM.S.INV(RAND())</f>
        <v/>
      </c>
      <c r="X150" s="15">
        <f>IF('组合输入'!$C6="","",'组合输入'!$H6*$B150+SQRT(1-'组合输入'!$H6^2)*W150)</f>
        <v/>
      </c>
      <c r="Y150" s="7">
        <f>IF(X150="","",NORM.S.DIST(X150,TRUE))</f>
        <v/>
      </c>
      <c r="Z150" s="13">
        <f>IF(Y150="","",IF(Y150&lt;='组合输入'!$K6,"AAA",IF(Y150&lt;='组合输入'!$L6,"AA",IF(Y150&lt;='组合输入'!$M6,"A",IF(Y150&lt;='组合输入'!$N6,"BBB",IF(Y150&lt;='组合输入'!$O6,"BB",IF(Y150&lt;='组合输入'!$P6,"B",IF(Y150&lt;='组合输入'!$Q6,"CCC","D")))))))</f>
        <v/>
      </c>
      <c r="AA150" s="12">
        <f>IF(Z150="","",INDEX('状态价值'!$D6:$K6,MATCH(Z150,'状态价值'!$D$1:$K$1,0)))</f>
        <v/>
      </c>
      <c r="AB150" s="15">
        <f>NORM.S.INV(RAND())</f>
        <v/>
      </c>
      <c r="AC150" s="15">
        <f>IF('组合输入'!$C7="","",'组合输入'!$H7*$B150+SQRT(1-'组合输入'!$H7^2)*AB150)</f>
        <v/>
      </c>
      <c r="AD150" s="7">
        <f>IF(AC150="","",NORM.S.DIST(AC150,TRUE))</f>
        <v/>
      </c>
      <c r="AE150" s="13">
        <f>IF(AD150="","",IF(AD150&lt;='组合输入'!$K7,"AAA",IF(AD150&lt;='组合输入'!$L7,"AA",IF(AD150&lt;='组合输入'!$M7,"A",IF(AD150&lt;='组合输入'!$N7,"BBB",IF(AD150&lt;='组合输入'!$O7,"BB",IF(AD150&lt;='组合输入'!$P7,"B",IF(AD150&lt;='组合输入'!$Q7,"CCC","D")))))))</f>
        <v/>
      </c>
      <c r="AF150" s="12">
        <f>IF(AE150="","",INDEX('状态价值'!$D7:$K7,MATCH(AE150,'状态价值'!$D$1:$K$1,0)))</f>
        <v/>
      </c>
      <c r="AG150" s="15">
        <f>NORM.S.INV(RAND())</f>
        <v/>
      </c>
      <c r="AH150" s="15">
        <f>IF('组合输入'!$C8="","",'组合输入'!$H8*$B150+SQRT(1-'组合输入'!$H8^2)*AG150)</f>
        <v/>
      </c>
      <c r="AI150" s="7">
        <f>IF(AH150="","",NORM.S.DIST(AH150,TRUE))</f>
        <v/>
      </c>
      <c r="AJ150" s="13">
        <f>IF(AI150="","",IF(AI150&lt;='组合输入'!$K8,"AAA",IF(AI150&lt;='组合输入'!$L8,"AA",IF(AI150&lt;='组合输入'!$M8,"A",IF(AI150&lt;='组合输入'!$N8,"BBB",IF(AI150&lt;='组合输入'!$O8,"BB",IF(AI150&lt;='组合输入'!$P8,"B",IF(AI150&lt;='组合输入'!$Q8,"CCC","D")))))))</f>
        <v/>
      </c>
      <c r="AK150" s="12">
        <f>IF(AJ150="","",INDEX('状态价值'!$D8:$K8,MATCH(AJ150,'状态价值'!$D$1:$K$1,0)))</f>
        <v/>
      </c>
      <c r="AL150" s="15">
        <f>NORM.S.INV(RAND())</f>
        <v/>
      </c>
      <c r="AM150" s="15">
        <f>IF('组合输入'!$C9="","",'组合输入'!$H9*$B150+SQRT(1-'组合输入'!$H9^2)*AL150)</f>
        <v/>
      </c>
      <c r="AN150" s="7">
        <f>IF(AM150="","",NORM.S.DIST(AM150,TRUE))</f>
        <v/>
      </c>
      <c r="AO150" s="13">
        <f>IF(AN150="","",IF(AN150&lt;='组合输入'!$K9,"AAA",IF(AN150&lt;='组合输入'!$L9,"AA",IF(AN150&lt;='组合输入'!$M9,"A",IF(AN150&lt;='组合输入'!$N9,"BBB",IF(AN150&lt;='组合输入'!$O9,"BB",IF(AN150&lt;='组合输入'!$P9,"B",IF(AN150&lt;='组合输入'!$Q9,"CCC","D")))))))</f>
        <v/>
      </c>
      <c r="AP150" s="12">
        <f>IF(AO150="","",INDEX('状态价值'!$D9:$K9,MATCH(AO150,'状态价值'!$D$1:$K$1,0)))</f>
        <v/>
      </c>
      <c r="AQ150" s="15">
        <f>NORM.S.INV(RAND())</f>
        <v/>
      </c>
      <c r="AR150" s="15">
        <f>IF('组合输入'!$C10="","",'组合输入'!$H10*$B150+SQRT(1-'组合输入'!$H10^2)*AQ150)</f>
        <v/>
      </c>
      <c r="AS150" s="7">
        <f>IF(AR150="","",NORM.S.DIST(AR150,TRUE))</f>
        <v/>
      </c>
      <c r="AT150" s="13">
        <f>IF(AS150="","",IF(AS150&lt;='组合输入'!$K10,"AAA",IF(AS150&lt;='组合输入'!$L10,"AA",IF(AS150&lt;='组合输入'!$M10,"A",IF(AS150&lt;='组合输入'!$N10,"BBB",IF(AS150&lt;='组合输入'!$O10,"BB",IF(AS150&lt;='组合输入'!$P10,"B",IF(AS150&lt;='组合输入'!$Q10,"CCC","D")))))))</f>
        <v/>
      </c>
      <c r="AU150" s="12">
        <f>IF(AT150="","",INDEX('状态价值'!$D10:$K10,MATCH(AT150,'状态价值'!$D$1:$K$1,0)))</f>
        <v/>
      </c>
      <c r="AV150" s="15">
        <f>NORM.S.INV(RAND())</f>
        <v/>
      </c>
      <c r="AW150" s="15">
        <f>IF('组合输入'!$C11="","",'组合输入'!$H11*$B150+SQRT(1-'组合输入'!$H11^2)*AV150)</f>
        <v/>
      </c>
      <c r="AX150" s="7">
        <f>IF(AW150="","",NORM.S.DIST(AW150,TRUE))</f>
        <v/>
      </c>
      <c r="AY150" s="13">
        <f>IF(AX150="","",IF(AX150&lt;='组合输入'!$K11,"AAA",IF(AX150&lt;='组合输入'!$L11,"AA",IF(AX150&lt;='组合输入'!$M11,"A",IF(AX150&lt;='组合输入'!$N11,"BBB",IF(AX150&lt;='组合输入'!$O11,"BB",IF(AX150&lt;='组合输入'!$P11,"B",IF(AX150&lt;='组合输入'!$Q11,"CCC","D")))))))</f>
        <v/>
      </c>
      <c r="AZ150" s="12">
        <f>IF(AY150="","",INDEX('状态价值'!$D11:$K11,MATCH(AY150,'状态价值'!$D$1:$K$1,0)))</f>
        <v/>
      </c>
      <c r="BA150" s="12">
        <f>G150+L150+Q150+V150+AA150+AF150+AK150+AP150+AU150+AZ150</f>
        <v/>
      </c>
      <c r="BB150" s="12">
        <f>SUM('组合输入'!$J$2:$J$11)-BA150</f>
        <v/>
      </c>
    </row>
    <row r="151">
      <c r="A151" s="11" t="n">
        <v>150</v>
      </c>
      <c r="B151" s="14">
        <f>NORM.S.INV(RAND())</f>
        <v/>
      </c>
      <c r="C151" s="14">
        <f>NORM.S.INV(RAND())</f>
        <v/>
      </c>
      <c r="D151" s="15">
        <f>IF('组合输入'!$C2="","",'组合输入'!$H2*$B151+SQRT(1-'组合输入'!$H2^2)*C151)</f>
        <v/>
      </c>
      <c r="E151" s="7">
        <f>IF(D151="","",NORM.S.DIST(D151,TRUE))</f>
        <v/>
      </c>
      <c r="F151" s="13">
        <f>IF(E151="","",IF(E151&lt;='组合输入'!$K2,"AAA",IF(E151&lt;='组合输入'!$L2,"AA",IF(E151&lt;='组合输入'!$M2,"A",IF(E151&lt;='组合输入'!$N2,"BBB",IF(E151&lt;='组合输入'!$O2,"BB",IF(E151&lt;='组合输入'!$P2,"B",IF(E151&lt;='组合输入'!$Q2,"CCC","D")))))))</f>
        <v/>
      </c>
      <c r="G151" s="12">
        <f>IF(F151="","",INDEX('状态价值'!$D2:$K2,MATCH(F151,'状态价值'!$D$1:$K$1,0)))</f>
        <v/>
      </c>
      <c r="H151" s="15">
        <f>NORM.S.INV(RAND())</f>
        <v/>
      </c>
      <c r="I151" s="15">
        <f>IF('组合输入'!$C3="","",'组合输入'!$H3*$B151+SQRT(1-'组合输入'!$H3^2)*H151)</f>
        <v/>
      </c>
      <c r="J151" s="7">
        <f>IF(I151="","",NORM.S.DIST(I151,TRUE))</f>
        <v/>
      </c>
      <c r="K151" s="13">
        <f>IF(J151="","",IF(J151&lt;='组合输入'!$K3,"AAA",IF(J151&lt;='组合输入'!$L3,"AA",IF(J151&lt;='组合输入'!$M3,"A",IF(J151&lt;='组合输入'!$N3,"BBB",IF(J151&lt;='组合输入'!$O3,"BB",IF(J151&lt;='组合输入'!$P3,"B",IF(J151&lt;='组合输入'!$Q3,"CCC","D")))))))</f>
        <v/>
      </c>
      <c r="L151" s="12">
        <f>IF(K151="","",INDEX('状态价值'!$D3:$K3,MATCH(K151,'状态价值'!$D$1:$K$1,0)))</f>
        <v/>
      </c>
      <c r="M151" s="15">
        <f>NORM.S.INV(RAND())</f>
        <v/>
      </c>
      <c r="N151" s="15">
        <f>IF('组合输入'!$C4="","",'组合输入'!$H4*$B151+SQRT(1-'组合输入'!$H4^2)*M151)</f>
        <v/>
      </c>
      <c r="O151" s="7">
        <f>IF(N151="","",NORM.S.DIST(N151,TRUE))</f>
        <v/>
      </c>
      <c r="P151" s="13">
        <f>IF(O151="","",IF(O151&lt;='组合输入'!$K4,"AAA",IF(O151&lt;='组合输入'!$L4,"AA",IF(O151&lt;='组合输入'!$M4,"A",IF(O151&lt;='组合输入'!$N4,"BBB",IF(O151&lt;='组合输入'!$O4,"BB",IF(O151&lt;='组合输入'!$P4,"B",IF(O151&lt;='组合输入'!$Q4,"CCC","D")))))))</f>
        <v/>
      </c>
      <c r="Q151" s="12">
        <f>IF(P151="","",INDEX('状态价值'!$D4:$K4,MATCH(P151,'状态价值'!$D$1:$K$1,0)))</f>
        <v/>
      </c>
      <c r="R151" s="15">
        <f>NORM.S.INV(RAND())</f>
        <v/>
      </c>
      <c r="S151" s="15">
        <f>IF('组合输入'!$C5="","",'组合输入'!$H5*$B151+SQRT(1-'组合输入'!$H5^2)*R151)</f>
        <v/>
      </c>
      <c r="T151" s="7">
        <f>IF(S151="","",NORM.S.DIST(S151,TRUE))</f>
        <v/>
      </c>
      <c r="U151" s="13">
        <f>IF(T151="","",IF(T151&lt;='组合输入'!$K5,"AAA",IF(T151&lt;='组合输入'!$L5,"AA",IF(T151&lt;='组合输入'!$M5,"A",IF(T151&lt;='组合输入'!$N5,"BBB",IF(T151&lt;='组合输入'!$O5,"BB",IF(T151&lt;='组合输入'!$P5,"B",IF(T151&lt;='组合输入'!$Q5,"CCC","D")))))))</f>
        <v/>
      </c>
      <c r="V151" s="12">
        <f>IF(U151="","",INDEX('状态价值'!$D5:$K5,MATCH(U151,'状态价值'!$D$1:$K$1,0)))</f>
        <v/>
      </c>
      <c r="W151" s="15">
        <f>NORM.S.INV(RAND())</f>
        <v/>
      </c>
      <c r="X151" s="15">
        <f>IF('组合输入'!$C6="","",'组合输入'!$H6*$B151+SQRT(1-'组合输入'!$H6^2)*W151)</f>
        <v/>
      </c>
      <c r="Y151" s="7">
        <f>IF(X151="","",NORM.S.DIST(X151,TRUE))</f>
        <v/>
      </c>
      <c r="Z151" s="13">
        <f>IF(Y151="","",IF(Y151&lt;='组合输入'!$K6,"AAA",IF(Y151&lt;='组合输入'!$L6,"AA",IF(Y151&lt;='组合输入'!$M6,"A",IF(Y151&lt;='组合输入'!$N6,"BBB",IF(Y151&lt;='组合输入'!$O6,"BB",IF(Y151&lt;='组合输入'!$P6,"B",IF(Y151&lt;='组合输入'!$Q6,"CCC","D")))))))</f>
        <v/>
      </c>
      <c r="AA151" s="12">
        <f>IF(Z151="","",INDEX('状态价值'!$D6:$K6,MATCH(Z151,'状态价值'!$D$1:$K$1,0)))</f>
        <v/>
      </c>
      <c r="AB151" s="15">
        <f>NORM.S.INV(RAND())</f>
        <v/>
      </c>
      <c r="AC151" s="15">
        <f>IF('组合输入'!$C7="","",'组合输入'!$H7*$B151+SQRT(1-'组合输入'!$H7^2)*AB151)</f>
        <v/>
      </c>
      <c r="AD151" s="7">
        <f>IF(AC151="","",NORM.S.DIST(AC151,TRUE))</f>
        <v/>
      </c>
      <c r="AE151" s="13">
        <f>IF(AD151="","",IF(AD151&lt;='组合输入'!$K7,"AAA",IF(AD151&lt;='组合输入'!$L7,"AA",IF(AD151&lt;='组合输入'!$M7,"A",IF(AD151&lt;='组合输入'!$N7,"BBB",IF(AD151&lt;='组合输入'!$O7,"BB",IF(AD151&lt;='组合输入'!$P7,"B",IF(AD151&lt;='组合输入'!$Q7,"CCC","D")))))))</f>
        <v/>
      </c>
      <c r="AF151" s="12">
        <f>IF(AE151="","",INDEX('状态价值'!$D7:$K7,MATCH(AE151,'状态价值'!$D$1:$K$1,0)))</f>
        <v/>
      </c>
      <c r="AG151" s="15">
        <f>NORM.S.INV(RAND())</f>
        <v/>
      </c>
      <c r="AH151" s="15">
        <f>IF('组合输入'!$C8="","",'组合输入'!$H8*$B151+SQRT(1-'组合输入'!$H8^2)*AG151)</f>
        <v/>
      </c>
      <c r="AI151" s="7">
        <f>IF(AH151="","",NORM.S.DIST(AH151,TRUE))</f>
        <v/>
      </c>
      <c r="AJ151" s="13">
        <f>IF(AI151="","",IF(AI151&lt;='组合输入'!$K8,"AAA",IF(AI151&lt;='组合输入'!$L8,"AA",IF(AI151&lt;='组合输入'!$M8,"A",IF(AI151&lt;='组合输入'!$N8,"BBB",IF(AI151&lt;='组合输入'!$O8,"BB",IF(AI151&lt;='组合输入'!$P8,"B",IF(AI151&lt;='组合输入'!$Q8,"CCC","D")))))))</f>
        <v/>
      </c>
      <c r="AK151" s="12">
        <f>IF(AJ151="","",INDEX('状态价值'!$D8:$K8,MATCH(AJ151,'状态价值'!$D$1:$K$1,0)))</f>
        <v/>
      </c>
      <c r="AL151" s="15">
        <f>NORM.S.INV(RAND())</f>
        <v/>
      </c>
      <c r="AM151" s="15">
        <f>IF('组合输入'!$C9="","",'组合输入'!$H9*$B151+SQRT(1-'组合输入'!$H9^2)*AL151)</f>
        <v/>
      </c>
      <c r="AN151" s="7">
        <f>IF(AM151="","",NORM.S.DIST(AM151,TRUE))</f>
        <v/>
      </c>
      <c r="AO151" s="13">
        <f>IF(AN151="","",IF(AN151&lt;='组合输入'!$K9,"AAA",IF(AN151&lt;='组合输入'!$L9,"AA",IF(AN151&lt;='组合输入'!$M9,"A",IF(AN151&lt;='组合输入'!$N9,"BBB",IF(AN151&lt;='组合输入'!$O9,"BB",IF(AN151&lt;='组合输入'!$P9,"B",IF(AN151&lt;='组合输入'!$Q9,"CCC","D")))))))</f>
        <v/>
      </c>
      <c r="AP151" s="12">
        <f>IF(AO151="","",INDEX('状态价值'!$D9:$K9,MATCH(AO151,'状态价值'!$D$1:$K$1,0)))</f>
        <v/>
      </c>
      <c r="AQ151" s="15">
        <f>NORM.S.INV(RAND())</f>
        <v/>
      </c>
      <c r="AR151" s="15">
        <f>IF('组合输入'!$C10="","",'组合输入'!$H10*$B151+SQRT(1-'组合输入'!$H10^2)*AQ151)</f>
        <v/>
      </c>
      <c r="AS151" s="7">
        <f>IF(AR151="","",NORM.S.DIST(AR151,TRUE))</f>
        <v/>
      </c>
      <c r="AT151" s="13">
        <f>IF(AS151="","",IF(AS151&lt;='组合输入'!$K10,"AAA",IF(AS151&lt;='组合输入'!$L10,"AA",IF(AS151&lt;='组合输入'!$M10,"A",IF(AS151&lt;='组合输入'!$N10,"BBB",IF(AS151&lt;='组合输入'!$O10,"BB",IF(AS151&lt;='组合输入'!$P10,"B",IF(AS151&lt;='组合输入'!$Q10,"CCC","D")))))))</f>
        <v/>
      </c>
      <c r="AU151" s="12">
        <f>IF(AT151="","",INDEX('状态价值'!$D10:$K10,MATCH(AT151,'状态价值'!$D$1:$K$1,0)))</f>
        <v/>
      </c>
      <c r="AV151" s="15">
        <f>NORM.S.INV(RAND())</f>
        <v/>
      </c>
      <c r="AW151" s="15">
        <f>IF('组合输入'!$C11="","",'组合输入'!$H11*$B151+SQRT(1-'组合输入'!$H11^2)*AV151)</f>
        <v/>
      </c>
      <c r="AX151" s="7">
        <f>IF(AW151="","",NORM.S.DIST(AW151,TRUE))</f>
        <v/>
      </c>
      <c r="AY151" s="13">
        <f>IF(AX151="","",IF(AX151&lt;='组合输入'!$K11,"AAA",IF(AX151&lt;='组合输入'!$L11,"AA",IF(AX151&lt;='组合输入'!$M11,"A",IF(AX151&lt;='组合输入'!$N11,"BBB",IF(AX151&lt;='组合输入'!$O11,"BB",IF(AX151&lt;='组合输入'!$P11,"B",IF(AX151&lt;='组合输入'!$Q11,"CCC","D")))))))</f>
        <v/>
      </c>
      <c r="AZ151" s="12">
        <f>IF(AY151="","",INDEX('状态价值'!$D11:$K11,MATCH(AY151,'状态价值'!$D$1:$K$1,0)))</f>
        <v/>
      </c>
      <c r="BA151" s="12">
        <f>G151+L151+Q151+V151+AA151+AF151+AK151+AP151+AU151+AZ151</f>
        <v/>
      </c>
      <c r="BB151" s="12">
        <f>SUM('组合输入'!$J$2:$J$11)-BA151</f>
        <v/>
      </c>
    </row>
    <row r="152">
      <c r="A152" s="11" t="n">
        <v>151</v>
      </c>
      <c r="B152" s="14">
        <f>NORM.S.INV(RAND())</f>
        <v/>
      </c>
      <c r="C152" s="14">
        <f>NORM.S.INV(RAND())</f>
        <v/>
      </c>
      <c r="D152" s="15">
        <f>IF('组合输入'!$C2="","",'组合输入'!$H2*$B152+SQRT(1-'组合输入'!$H2^2)*C152)</f>
        <v/>
      </c>
      <c r="E152" s="7">
        <f>IF(D152="","",NORM.S.DIST(D152,TRUE))</f>
        <v/>
      </c>
      <c r="F152" s="13">
        <f>IF(E152="","",IF(E152&lt;='组合输入'!$K2,"AAA",IF(E152&lt;='组合输入'!$L2,"AA",IF(E152&lt;='组合输入'!$M2,"A",IF(E152&lt;='组合输入'!$N2,"BBB",IF(E152&lt;='组合输入'!$O2,"BB",IF(E152&lt;='组合输入'!$P2,"B",IF(E152&lt;='组合输入'!$Q2,"CCC","D")))))))</f>
        <v/>
      </c>
      <c r="G152" s="12">
        <f>IF(F152="","",INDEX('状态价值'!$D2:$K2,MATCH(F152,'状态价值'!$D$1:$K$1,0)))</f>
        <v/>
      </c>
      <c r="H152" s="15">
        <f>NORM.S.INV(RAND())</f>
        <v/>
      </c>
      <c r="I152" s="15">
        <f>IF('组合输入'!$C3="","",'组合输入'!$H3*$B152+SQRT(1-'组合输入'!$H3^2)*H152)</f>
        <v/>
      </c>
      <c r="J152" s="7">
        <f>IF(I152="","",NORM.S.DIST(I152,TRUE))</f>
        <v/>
      </c>
      <c r="K152" s="13">
        <f>IF(J152="","",IF(J152&lt;='组合输入'!$K3,"AAA",IF(J152&lt;='组合输入'!$L3,"AA",IF(J152&lt;='组合输入'!$M3,"A",IF(J152&lt;='组合输入'!$N3,"BBB",IF(J152&lt;='组合输入'!$O3,"BB",IF(J152&lt;='组合输入'!$P3,"B",IF(J152&lt;='组合输入'!$Q3,"CCC","D")))))))</f>
        <v/>
      </c>
      <c r="L152" s="12">
        <f>IF(K152="","",INDEX('状态价值'!$D3:$K3,MATCH(K152,'状态价值'!$D$1:$K$1,0)))</f>
        <v/>
      </c>
      <c r="M152" s="15">
        <f>NORM.S.INV(RAND())</f>
        <v/>
      </c>
      <c r="N152" s="15">
        <f>IF('组合输入'!$C4="","",'组合输入'!$H4*$B152+SQRT(1-'组合输入'!$H4^2)*M152)</f>
        <v/>
      </c>
      <c r="O152" s="7">
        <f>IF(N152="","",NORM.S.DIST(N152,TRUE))</f>
        <v/>
      </c>
      <c r="P152" s="13">
        <f>IF(O152="","",IF(O152&lt;='组合输入'!$K4,"AAA",IF(O152&lt;='组合输入'!$L4,"AA",IF(O152&lt;='组合输入'!$M4,"A",IF(O152&lt;='组合输入'!$N4,"BBB",IF(O152&lt;='组合输入'!$O4,"BB",IF(O152&lt;='组合输入'!$P4,"B",IF(O152&lt;='组合输入'!$Q4,"CCC","D")))))))</f>
        <v/>
      </c>
      <c r="Q152" s="12">
        <f>IF(P152="","",INDEX('状态价值'!$D4:$K4,MATCH(P152,'状态价值'!$D$1:$K$1,0)))</f>
        <v/>
      </c>
      <c r="R152" s="15">
        <f>NORM.S.INV(RAND())</f>
        <v/>
      </c>
      <c r="S152" s="15">
        <f>IF('组合输入'!$C5="","",'组合输入'!$H5*$B152+SQRT(1-'组合输入'!$H5^2)*R152)</f>
        <v/>
      </c>
      <c r="T152" s="7">
        <f>IF(S152="","",NORM.S.DIST(S152,TRUE))</f>
        <v/>
      </c>
      <c r="U152" s="13">
        <f>IF(T152="","",IF(T152&lt;='组合输入'!$K5,"AAA",IF(T152&lt;='组合输入'!$L5,"AA",IF(T152&lt;='组合输入'!$M5,"A",IF(T152&lt;='组合输入'!$N5,"BBB",IF(T152&lt;='组合输入'!$O5,"BB",IF(T152&lt;='组合输入'!$P5,"B",IF(T152&lt;='组合输入'!$Q5,"CCC","D")))))))</f>
        <v/>
      </c>
      <c r="V152" s="12">
        <f>IF(U152="","",INDEX('状态价值'!$D5:$K5,MATCH(U152,'状态价值'!$D$1:$K$1,0)))</f>
        <v/>
      </c>
      <c r="W152" s="15">
        <f>NORM.S.INV(RAND())</f>
        <v/>
      </c>
      <c r="X152" s="15">
        <f>IF('组合输入'!$C6="","",'组合输入'!$H6*$B152+SQRT(1-'组合输入'!$H6^2)*W152)</f>
        <v/>
      </c>
      <c r="Y152" s="7">
        <f>IF(X152="","",NORM.S.DIST(X152,TRUE))</f>
        <v/>
      </c>
      <c r="Z152" s="13">
        <f>IF(Y152="","",IF(Y152&lt;='组合输入'!$K6,"AAA",IF(Y152&lt;='组合输入'!$L6,"AA",IF(Y152&lt;='组合输入'!$M6,"A",IF(Y152&lt;='组合输入'!$N6,"BBB",IF(Y152&lt;='组合输入'!$O6,"BB",IF(Y152&lt;='组合输入'!$P6,"B",IF(Y152&lt;='组合输入'!$Q6,"CCC","D")))))))</f>
        <v/>
      </c>
      <c r="AA152" s="12">
        <f>IF(Z152="","",INDEX('状态价值'!$D6:$K6,MATCH(Z152,'状态价值'!$D$1:$K$1,0)))</f>
        <v/>
      </c>
      <c r="AB152" s="15">
        <f>NORM.S.INV(RAND())</f>
        <v/>
      </c>
      <c r="AC152" s="15">
        <f>IF('组合输入'!$C7="","",'组合输入'!$H7*$B152+SQRT(1-'组合输入'!$H7^2)*AB152)</f>
        <v/>
      </c>
      <c r="AD152" s="7">
        <f>IF(AC152="","",NORM.S.DIST(AC152,TRUE))</f>
        <v/>
      </c>
      <c r="AE152" s="13">
        <f>IF(AD152="","",IF(AD152&lt;='组合输入'!$K7,"AAA",IF(AD152&lt;='组合输入'!$L7,"AA",IF(AD152&lt;='组合输入'!$M7,"A",IF(AD152&lt;='组合输入'!$N7,"BBB",IF(AD152&lt;='组合输入'!$O7,"BB",IF(AD152&lt;='组合输入'!$P7,"B",IF(AD152&lt;='组合输入'!$Q7,"CCC","D")))))))</f>
        <v/>
      </c>
      <c r="AF152" s="12">
        <f>IF(AE152="","",INDEX('状态价值'!$D7:$K7,MATCH(AE152,'状态价值'!$D$1:$K$1,0)))</f>
        <v/>
      </c>
      <c r="AG152" s="15">
        <f>NORM.S.INV(RAND())</f>
        <v/>
      </c>
      <c r="AH152" s="15">
        <f>IF('组合输入'!$C8="","",'组合输入'!$H8*$B152+SQRT(1-'组合输入'!$H8^2)*AG152)</f>
        <v/>
      </c>
      <c r="AI152" s="7">
        <f>IF(AH152="","",NORM.S.DIST(AH152,TRUE))</f>
        <v/>
      </c>
      <c r="AJ152" s="13">
        <f>IF(AI152="","",IF(AI152&lt;='组合输入'!$K8,"AAA",IF(AI152&lt;='组合输入'!$L8,"AA",IF(AI152&lt;='组合输入'!$M8,"A",IF(AI152&lt;='组合输入'!$N8,"BBB",IF(AI152&lt;='组合输入'!$O8,"BB",IF(AI152&lt;='组合输入'!$P8,"B",IF(AI152&lt;='组合输入'!$Q8,"CCC","D")))))))</f>
        <v/>
      </c>
      <c r="AK152" s="12">
        <f>IF(AJ152="","",INDEX('状态价值'!$D8:$K8,MATCH(AJ152,'状态价值'!$D$1:$K$1,0)))</f>
        <v/>
      </c>
      <c r="AL152" s="15">
        <f>NORM.S.INV(RAND())</f>
        <v/>
      </c>
      <c r="AM152" s="15">
        <f>IF('组合输入'!$C9="","",'组合输入'!$H9*$B152+SQRT(1-'组合输入'!$H9^2)*AL152)</f>
        <v/>
      </c>
      <c r="AN152" s="7">
        <f>IF(AM152="","",NORM.S.DIST(AM152,TRUE))</f>
        <v/>
      </c>
      <c r="AO152" s="13">
        <f>IF(AN152="","",IF(AN152&lt;='组合输入'!$K9,"AAA",IF(AN152&lt;='组合输入'!$L9,"AA",IF(AN152&lt;='组合输入'!$M9,"A",IF(AN152&lt;='组合输入'!$N9,"BBB",IF(AN152&lt;='组合输入'!$O9,"BB",IF(AN152&lt;='组合输入'!$P9,"B",IF(AN152&lt;='组合输入'!$Q9,"CCC","D")))))))</f>
        <v/>
      </c>
      <c r="AP152" s="12">
        <f>IF(AO152="","",INDEX('状态价值'!$D9:$K9,MATCH(AO152,'状态价值'!$D$1:$K$1,0)))</f>
        <v/>
      </c>
      <c r="AQ152" s="15">
        <f>NORM.S.INV(RAND())</f>
        <v/>
      </c>
      <c r="AR152" s="15">
        <f>IF('组合输入'!$C10="","",'组合输入'!$H10*$B152+SQRT(1-'组合输入'!$H10^2)*AQ152)</f>
        <v/>
      </c>
      <c r="AS152" s="7">
        <f>IF(AR152="","",NORM.S.DIST(AR152,TRUE))</f>
        <v/>
      </c>
      <c r="AT152" s="13">
        <f>IF(AS152="","",IF(AS152&lt;='组合输入'!$K10,"AAA",IF(AS152&lt;='组合输入'!$L10,"AA",IF(AS152&lt;='组合输入'!$M10,"A",IF(AS152&lt;='组合输入'!$N10,"BBB",IF(AS152&lt;='组合输入'!$O10,"BB",IF(AS152&lt;='组合输入'!$P10,"B",IF(AS152&lt;='组合输入'!$Q10,"CCC","D")))))))</f>
        <v/>
      </c>
      <c r="AU152" s="12">
        <f>IF(AT152="","",INDEX('状态价值'!$D10:$K10,MATCH(AT152,'状态价值'!$D$1:$K$1,0)))</f>
        <v/>
      </c>
      <c r="AV152" s="15">
        <f>NORM.S.INV(RAND())</f>
        <v/>
      </c>
      <c r="AW152" s="15">
        <f>IF('组合输入'!$C11="","",'组合输入'!$H11*$B152+SQRT(1-'组合输入'!$H11^2)*AV152)</f>
        <v/>
      </c>
      <c r="AX152" s="7">
        <f>IF(AW152="","",NORM.S.DIST(AW152,TRUE))</f>
        <v/>
      </c>
      <c r="AY152" s="13">
        <f>IF(AX152="","",IF(AX152&lt;='组合输入'!$K11,"AAA",IF(AX152&lt;='组合输入'!$L11,"AA",IF(AX152&lt;='组合输入'!$M11,"A",IF(AX152&lt;='组合输入'!$N11,"BBB",IF(AX152&lt;='组合输入'!$O11,"BB",IF(AX152&lt;='组合输入'!$P11,"B",IF(AX152&lt;='组合输入'!$Q11,"CCC","D")))))))</f>
        <v/>
      </c>
      <c r="AZ152" s="12">
        <f>IF(AY152="","",INDEX('状态价值'!$D11:$K11,MATCH(AY152,'状态价值'!$D$1:$K$1,0)))</f>
        <v/>
      </c>
      <c r="BA152" s="12">
        <f>G152+L152+Q152+V152+AA152+AF152+AK152+AP152+AU152+AZ152</f>
        <v/>
      </c>
      <c r="BB152" s="12">
        <f>SUM('组合输入'!$J$2:$J$11)-BA152</f>
        <v/>
      </c>
    </row>
    <row r="153">
      <c r="A153" s="11" t="n">
        <v>152</v>
      </c>
      <c r="B153" s="14">
        <f>NORM.S.INV(RAND())</f>
        <v/>
      </c>
      <c r="C153" s="14">
        <f>NORM.S.INV(RAND())</f>
        <v/>
      </c>
      <c r="D153" s="15">
        <f>IF('组合输入'!$C2="","",'组合输入'!$H2*$B153+SQRT(1-'组合输入'!$H2^2)*C153)</f>
        <v/>
      </c>
      <c r="E153" s="7">
        <f>IF(D153="","",NORM.S.DIST(D153,TRUE))</f>
        <v/>
      </c>
      <c r="F153" s="13">
        <f>IF(E153="","",IF(E153&lt;='组合输入'!$K2,"AAA",IF(E153&lt;='组合输入'!$L2,"AA",IF(E153&lt;='组合输入'!$M2,"A",IF(E153&lt;='组合输入'!$N2,"BBB",IF(E153&lt;='组合输入'!$O2,"BB",IF(E153&lt;='组合输入'!$P2,"B",IF(E153&lt;='组合输入'!$Q2,"CCC","D")))))))</f>
        <v/>
      </c>
      <c r="G153" s="12">
        <f>IF(F153="","",INDEX('状态价值'!$D2:$K2,MATCH(F153,'状态价值'!$D$1:$K$1,0)))</f>
        <v/>
      </c>
      <c r="H153" s="15">
        <f>NORM.S.INV(RAND())</f>
        <v/>
      </c>
      <c r="I153" s="15">
        <f>IF('组合输入'!$C3="","",'组合输入'!$H3*$B153+SQRT(1-'组合输入'!$H3^2)*H153)</f>
        <v/>
      </c>
      <c r="J153" s="7">
        <f>IF(I153="","",NORM.S.DIST(I153,TRUE))</f>
        <v/>
      </c>
      <c r="K153" s="13">
        <f>IF(J153="","",IF(J153&lt;='组合输入'!$K3,"AAA",IF(J153&lt;='组合输入'!$L3,"AA",IF(J153&lt;='组合输入'!$M3,"A",IF(J153&lt;='组合输入'!$N3,"BBB",IF(J153&lt;='组合输入'!$O3,"BB",IF(J153&lt;='组合输入'!$P3,"B",IF(J153&lt;='组合输入'!$Q3,"CCC","D")))))))</f>
        <v/>
      </c>
      <c r="L153" s="12">
        <f>IF(K153="","",INDEX('状态价值'!$D3:$K3,MATCH(K153,'状态价值'!$D$1:$K$1,0)))</f>
        <v/>
      </c>
      <c r="M153" s="15">
        <f>NORM.S.INV(RAND())</f>
        <v/>
      </c>
      <c r="N153" s="15">
        <f>IF('组合输入'!$C4="","",'组合输入'!$H4*$B153+SQRT(1-'组合输入'!$H4^2)*M153)</f>
        <v/>
      </c>
      <c r="O153" s="7">
        <f>IF(N153="","",NORM.S.DIST(N153,TRUE))</f>
        <v/>
      </c>
      <c r="P153" s="13">
        <f>IF(O153="","",IF(O153&lt;='组合输入'!$K4,"AAA",IF(O153&lt;='组合输入'!$L4,"AA",IF(O153&lt;='组合输入'!$M4,"A",IF(O153&lt;='组合输入'!$N4,"BBB",IF(O153&lt;='组合输入'!$O4,"BB",IF(O153&lt;='组合输入'!$P4,"B",IF(O153&lt;='组合输入'!$Q4,"CCC","D")))))))</f>
        <v/>
      </c>
      <c r="Q153" s="12">
        <f>IF(P153="","",INDEX('状态价值'!$D4:$K4,MATCH(P153,'状态价值'!$D$1:$K$1,0)))</f>
        <v/>
      </c>
      <c r="R153" s="15">
        <f>NORM.S.INV(RAND())</f>
        <v/>
      </c>
      <c r="S153" s="15">
        <f>IF('组合输入'!$C5="","",'组合输入'!$H5*$B153+SQRT(1-'组合输入'!$H5^2)*R153)</f>
        <v/>
      </c>
      <c r="T153" s="7">
        <f>IF(S153="","",NORM.S.DIST(S153,TRUE))</f>
        <v/>
      </c>
      <c r="U153" s="13">
        <f>IF(T153="","",IF(T153&lt;='组合输入'!$K5,"AAA",IF(T153&lt;='组合输入'!$L5,"AA",IF(T153&lt;='组合输入'!$M5,"A",IF(T153&lt;='组合输入'!$N5,"BBB",IF(T153&lt;='组合输入'!$O5,"BB",IF(T153&lt;='组合输入'!$P5,"B",IF(T153&lt;='组合输入'!$Q5,"CCC","D")))))))</f>
        <v/>
      </c>
      <c r="V153" s="12">
        <f>IF(U153="","",INDEX('状态价值'!$D5:$K5,MATCH(U153,'状态价值'!$D$1:$K$1,0)))</f>
        <v/>
      </c>
      <c r="W153" s="15">
        <f>NORM.S.INV(RAND())</f>
        <v/>
      </c>
      <c r="X153" s="15">
        <f>IF('组合输入'!$C6="","",'组合输入'!$H6*$B153+SQRT(1-'组合输入'!$H6^2)*W153)</f>
        <v/>
      </c>
      <c r="Y153" s="7">
        <f>IF(X153="","",NORM.S.DIST(X153,TRUE))</f>
        <v/>
      </c>
      <c r="Z153" s="13">
        <f>IF(Y153="","",IF(Y153&lt;='组合输入'!$K6,"AAA",IF(Y153&lt;='组合输入'!$L6,"AA",IF(Y153&lt;='组合输入'!$M6,"A",IF(Y153&lt;='组合输入'!$N6,"BBB",IF(Y153&lt;='组合输入'!$O6,"BB",IF(Y153&lt;='组合输入'!$P6,"B",IF(Y153&lt;='组合输入'!$Q6,"CCC","D")))))))</f>
        <v/>
      </c>
      <c r="AA153" s="12">
        <f>IF(Z153="","",INDEX('状态价值'!$D6:$K6,MATCH(Z153,'状态价值'!$D$1:$K$1,0)))</f>
        <v/>
      </c>
      <c r="AB153" s="15">
        <f>NORM.S.INV(RAND())</f>
        <v/>
      </c>
      <c r="AC153" s="15">
        <f>IF('组合输入'!$C7="","",'组合输入'!$H7*$B153+SQRT(1-'组合输入'!$H7^2)*AB153)</f>
        <v/>
      </c>
      <c r="AD153" s="7">
        <f>IF(AC153="","",NORM.S.DIST(AC153,TRUE))</f>
        <v/>
      </c>
      <c r="AE153" s="13">
        <f>IF(AD153="","",IF(AD153&lt;='组合输入'!$K7,"AAA",IF(AD153&lt;='组合输入'!$L7,"AA",IF(AD153&lt;='组合输入'!$M7,"A",IF(AD153&lt;='组合输入'!$N7,"BBB",IF(AD153&lt;='组合输入'!$O7,"BB",IF(AD153&lt;='组合输入'!$P7,"B",IF(AD153&lt;='组合输入'!$Q7,"CCC","D")))))))</f>
        <v/>
      </c>
      <c r="AF153" s="12">
        <f>IF(AE153="","",INDEX('状态价值'!$D7:$K7,MATCH(AE153,'状态价值'!$D$1:$K$1,0)))</f>
        <v/>
      </c>
      <c r="AG153" s="15">
        <f>NORM.S.INV(RAND())</f>
        <v/>
      </c>
      <c r="AH153" s="15">
        <f>IF('组合输入'!$C8="","",'组合输入'!$H8*$B153+SQRT(1-'组合输入'!$H8^2)*AG153)</f>
        <v/>
      </c>
      <c r="AI153" s="7">
        <f>IF(AH153="","",NORM.S.DIST(AH153,TRUE))</f>
        <v/>
      </c>
      <c r="AJ153" s="13">
        <f>IF(AI153="","",IF(AI153&lt;='组合输入'!$K8,"AAA",IF(AI153&lt;='组合输入'!$L8,"AA",IF(AI153&lt;='组合输入'!$M8,"A",IF(AI153&lt;='组合输入'!$N8,"BBB",IF(AI153&lt;='组合输入'!$O8,"BB",IF(AI153&lt;='组合输入'!$P8,"B",IF(AI153&lt;='组合输入'!$Q8,"CCC","D")))))))</f>
        <v/>
      </c>
      <c r="AK153" s="12">
        <f>IF(AJ153="","",INDEX('状态价值'!$D8:$K8,MATCH(AJ153,'状态价值'!$D$1:$K$1,0)))</f>
        <v/>
      </c>
      <c r="AL153" s="15">
        <f>NORM.S.INV(RAND())</f>
        <v/>
      </c>
      <c r="AM153" s="15">
        <f>IF('组合输入'!$C9="","",'组合输入'!$H9*$B153+SQRT(1-'组合输入'!$H9^2)*AL153)</f>
        <v/>
      </c>
      <c r="AN153" s="7">
        <f>IF(AM153="","",NORM.S.DIST(AM153,TRUE))</f>
        <v/>
      </c>
      <c r="AO153" s="13">
        <f>IF(AN153="","",IF(AN153&lt;='组合输入'!$K9,"AAA",IF(AN153&lt;='组合输入'!$L9,"AA",IF(AN153&lt;='组合输入'!$M9,"A",IF(AN153&lt;='组合输入'!$N9,"BBB",IF(AN153&lt;='组合输入'!$O9,"BB",IF(AN153&lt;='组合输入'!$P9,"B",IF(AN153&lt;='组合输入'!$Q9,"CCC","D")))))))</f>
        <v/>
      </c>
      <c r="AP153" s="12">
        <f>IF(AO153="","",INDEX('状态价值'!$D9:$K9,MATCH(AO153,'状态价值'!$D$1:$K$1,0)))</f>
        <v/>
      </c>
      <c r="AQ153" s="15">
        <f>NORM.S.INV(RAND())</f>
        <v/>
      </c>
      <c r="AR153" s="15">
        <f>IF('组合输入'!$C10="","",'组合输入'!$H10*$B153+SQRT(1-'组合输入'!$H10^2)*AQ153)</f>
        <v/>
      </c>
      <c r="AS153" s="7">
        <f>IF(AR153="","",NORM.S.DIST(AR153,TRUE))</f>
        <v/>
      </c>
      <c r="AT153" s="13">
        <f>IF(AS153="","",IF(AS153&lt;='组合输入'!$K10,"AAA",IF(AS153&lt;='组合输入'!$L10,"AA",IF(AS153&lt;='组合输入'!$M10,"A",IF(AS153&lt;='组合输入'!$N10,"BBB",IF(AS153&lt;='组合输入'!$O10,"BB",IF(AS153&lt;='组合输入'!$P10,"B",IF(AS153&lt;='组合输入'!$Q10,"CCC","D")))))))</f>
        <v/>
      </c>
      <c r="AU153" s="12">
        <f>IF(AT153="","",INDEX('状态价值'!$D10:$K10,MATCH(AT153,'状态价值'!$D$1:$K$1,0)))</f>
        <v/>
      </c>
      <c r="AV153" s="15">
        <f>NORM.S.INV(RAND())</f>
        <v/>
      </c>
      <c r="AW153" s="15">
        <f>IF('组合输入'!$C11="","",'组合输入'!$H11*$B153+SQRT(1-'组合输入'!$H11^2)*AV153)</f>
        <v/>
      </c>
      <c r="AX153" s="7">
        <f>IF(AW153="","",NORM.S.DIST(AW153,TRUE))</f>
        <v/>
      </c>
      <c r="AY153" s="13">
        <f>IF(AX153="","",IF(AX153&lt;='组合输入'!$K11,"AAA",IF(AX153&lt;='组合输入'!$L11,"AA",IF(AX153&lt;='组合输入'!$M11,"A",IF(AX153&lt;='组合输入'!$N11,"BBB",IF(AX153&lt;='组合输入'!$O11,"BB",IF(AX153&lt;='组合输入'!$P11,"B",IF(AX153&lt;='组合输入'!$Q11,"CCC","D")))))))</f>
        <v/>
      </c>
      <c r="AZ153" s="12">
        <f>IF(AY153="","",INDEX('状态价值'!$D11:$K11,MATCH(AY153,'状态价值'!$D$1:$K$1,0)))</f>
        <v/>
      </c>
      <c r="BA153" s="12">
        <f>G153+L153+Q153+V153+AA153+AF153+AK153+AP153+AU153+AZ153</f>
        <v/>
      </c>
      <c r="BB153" s="12">
        <f>SUM('组合输入'!$J$2:$J$11)-BA153</f>
        <v/>
      </c>
    </row>
    <row r="154">
      <c r="A154" s="11" t="n">
        <v>153</v>
      </c>
      <c r="B154" s="14">
        <f>NORM.S.INV(RAND())</f>
        <v/>
      </c>
      <c r="C154" s="14">
        <f>NORM.S.INV(RAND())</f>
        <v/>
      </c>
      <c r="D154" s="15">
        <f>IF('组合输入'!$C2="","",'组合输入'!$H2*$B154+SQRT(1-'组合输入'!$H2^2)*C154)</f>
        <v/>
      </c>
      <c r="E154" s="7">
        <f>IF(D154="","",NORM.S.DIST(D154,TRUE))</f>
        <v/>
      </c>
      <c r="F154" s="13">
        <f>IF(E154="","",IF(E154&lt;='组合输入'!$K2,"AAA",IF(E154&lt;='组合输入'!$L2,"AA",IF(E154&lt;='组合输入'!$M2,"A",IF(E154&lt;='组合输入'!$N2,"BBB",IF(E154&lt;='组合输入'!$O2,"BB",IF(E154&lt;='组合输入'!$P2,"B",IF(E154&lt;='组合输入'!$Q2,"CCC","D")))))))</f>
        <v/>
      </c>
      <c r="G154" s="12">
        <f>IF(F154="","",INDEX('状态价值'!$D2:$K2,MATCH(F154,'状态价值'!$D$1:$K$1,0)))</f>
        <v/>
      </c>
      <c r="H154" s="15">
        <f>NORM.S.INV(RAND())</f>
        <v/>
      </c>
      <c r="I154" s="15">
        <f>IF('组合输入'!$C3="","",'组合输入'!$H3*$B154+SQRT(1-'组合输入'!$H3^2)*H154)</f>
        <v/>
      </c>
      <c r="J154" s="7">
        <f>IF(I154="","",NORM.S.DIST(I154,TRUE))</f>
        <v/>
      </c>
      <c r="K154" s="13">
        <f>IF(J154="","",IF(J154&lt;='组合输入'!$K3,"AAA",IF(J154&lt;='组合输入'!$L3,"AA",IF(J154&lt;='组合输入'!$M3,"A",IF(J154&lt;='组合输入'!$N3,"BBB",IF(J154&lt;='组合输入'!$O3,"BB",IF(J154&lt;='组合输入'!$P3,"B",IF(J154&lt;='组合输入'!$Q3,"CCC","D")))))))</f>
        <v/>
      </c>
      <c r="L154" s="12">
        <f>IF(K154="","",INDEX('状态价值'!$D3:$K3,MATCH(K154,'状态价值'!$D$1:$K$1,0)))</f>
        <v/>
      </c>
      <c r="M154" s="15">
        <f>NORM.S.INV(RAND())</f>
        <v/>
      </c>
      <c r="N154" s="15">
        <f>IF('组合输入'!$C4="","",'组合输入'!$H4*$B154+SQRT(1-'组合输入'!$H4^2)*M154)</f>
        <v/>
      </c>
      <c r="O154" s="7">
        <f>IF(N154="","",NORM.S.DIST(N154,TRUE))</f>
        <v/>
      </c>
      <c r="P154" s="13">
        <f>IF(O154="","",IF(O154&lt;='组合输入'!$K4,"AAA",IF(O154&lt;='组合输入'!$L4,"AA",IF(O154&lt;='组合输入'!$M4,"A",IF(O154&lt;='组合输入'!$N4,"BBB",IF(O154&lt;='组合输入'!$O4,"BB",IF(O154&lt;='组合输入'!$P4,"B",IF(O154&lt;='组合输入'!$Q4,"CCC","D")))))))</f>
        <v/>
      </c>
      <c r="Q154" s="12">
        <f>IF(P154="","",INDEX('状态价值'!$D4:$K4,MATCH(P154,'状态价值'!$D$1:$K$1,0)))</f>
        <v/>
      </c>
      <c r="R154" s="15">
        <f>NORM.S.INV(RAND())</f>
        <v/>
      </c>
      <c r="S154" s="15">
        <f>IF('组合输入'!$C5="","",'组合输入'!$H5*$B154+SQRT(1-'组合输入'!$H5^2)*R154)</f>
        <v/>
      </c>
      <c r="T154" s="7">
        <f>IF(S154="","",NORM.S.DIST(S154,TRUE))</f>
        <v/>
      </c>
      <c r="U154" s="13">
        <f>IF(T154="","",IF(T154&lt;='组合输入'!$K5,"AAA",IF(T154&lt;='组合输入'!$L5,"AA",IF(T154&lt;='组合输入'!$M5,"A",IF(T154&lt;='组合输入'!$N5,"BBB",IF(T154&lt;='组合输入'!$O5,"BB",IF(T154&lt;='组合输入'!$P5,"B",IF(T154&lt;='组合输入'!$Q5,"CCC","D")))))))</f>
        <v/>
      </c>
      <c r="V154" s="12">
        <f>IF(U154="","",INDEX('状态价值'!$D5:$K5,MATCH(U154,'状态价值'!$D$1:$K$1,0)))</f>
        <v/>
      </c>
      <c r="W154" s="15">
        <f>NORM.S.INV(RAND())</f>
        <v/>
      </c>
      <c r="X154" s="15">
        <f>IF('组合输入'!$C6="","",'组合输入'!$H6*$B154+SQRT(1-'组合输入'!$H6^2)*W154)</f>
        <v/>
      </c>
      <c r="Y154" s="7">
        <f>IF(X154="","",NORM.S.DIST(X154,TRUE))</f>
        <v/>
      </c>
      <c r="Z154" s="13">
        <f>IF(Y154="","",IF(Y154&lt;='组合输入'!$K6,"AAA",IF(Y154&lt;='组合输入'!$L6,"AA",IF(Y154&lt;='组合输入'!$M6,"A",IF(Y154&lt;='组合输入'!$N6,"BBB",IF(Y154&lt;='组合输入'!$O6,"BB",IF(Y154&lt;='组合输入'!$P6,"B",IF(Y154&lt;='组合输入'!$Q6,"CCC","D")))))))</f>
        <v/>
      </c>
      <c r="AA154" s="12">
        <f>IF(Z154="","",INDEX('状态价值'!$D6:$K6,MATCH(Z154,'状态价值'!$D$1:$K$1,0)))</f>
        <v/>
      </c>
      <c r="AB154" s="15">
        <f>NORM.S.INV(RAND())</f>
        <v/>
      </c>
      <c r="AC154" s="15">
        <f>IF('组合输入'!$C7="","",'组合输入'!$H7*$B154+SQRT(1-'组合输入'!$H7^2)*AB154)</f>
        <v/>
      </c>
      <c r="AD154" s="7">
        <f>IF(AC154="","",NORM.S.DIST(AC154,TRUE))</f>
        <v/>
      </c>
      <c r="AE154" s="13">
        <f>IF(AD154="","",IF(AD154&lt;='组合输入'!$K7,"AAA",IF(AD154&lt;='组合输入'!$L7,"AA",IF(AD154&lt;='组合输入'!$M7,"A",IF(AD154&lt;='组合输入'!$N7,"BBB",IF(AD154&lt;='组合输入'!$O7,"BB",IF(AD154&lt;='组合输入'!$P7,"B",IF(AD154&lt;='组合输入'!$Q7,"CCC","D")))))))</f>
        <v/>
      </c>
      <c r="AF154" s="12">
        <f>IF(AE154="","",INDEX('状态价值'!$D7:$K7,MATCH(AE154,'状态价值'!$D$1:$K$1,0)))</f>
        <v/>
      </c>
      <c r="AG154" s="15">
        <f>NORM.S.INV(RAND())</f>
        <v/>
      </c>
      <c r="AH154" s="15">
        <f>IF('组合输入'!$C8="","",'组合输入'!$H8*$B154+SQRT(1-'组合输入'!$H8^2)*AG154)</f>
        <v/>
      </c>
      <c r="AI154" s="7">
        <f>IF(AH154="","",NORM.S.DIST(AH154,TRUE))</f>
        <v/>
      </c>
      <c r="AJ154" s="13">
        <f>IF(AI154="","",IF(AI154&lt;='组合输入'!$K8,"AAA",IF(AI154&lt;='组合输入'!$L8,"AA",IF(AI154&lt;='组合输入'!$M8,"A",IF(AI154&lt;='组合输入'!$N8,"BBB",IF(AI154&lt;='组合输入'!$O8,"BB",IF(AI154&lt;='组合输入'!$P8,"B",IF(AI154&lt;='组合输入'!$Q8,"CCC","D")))))))</f>
        <v/>
      </c>
      <c r="AK154" s="12">
        <f>IF(AJ154="","",INDEX('状态价值'!$D8:$K8,MATCH(AJ154,'状态价值'!$D$1:$K$1,0)))</f>
        <v/>
      </c>
      <c r="AL154" s="15">
        <f>NORM.S.INV(RAND())</f>
        <v/>
      </c>
      <c r="AM154" s="15">
        <f>IF('组合输入'!$C9="","",'组合输入'!$H9*$B154+SQRT(1-'组合输入'!$H9^2)*AL154)</f>
        <v/>
      </c>
      <c r="AN154" s="7">
        <f>IF(AM154="","",NORM.S.DIST(AM154,TRUE))</f>
        <v/>
      </c>
      <c r="AO154" s="13">
        <f>IF(AN154="","",IF(AN154&lt;='组合输入'!$K9,"AAA",IF(AN154&lt;='组合输入'!$L9,"AA",IF(AN154&lt;='组合输入'!$M9,"A",IF(AN154&lt;='组合输入'!$N9,"BBB",IF(AN154&lt;='组合输入'!$O9,"BB",IF(AN154&lt;='组合输入'!$P9,"B",IF(AN154&lt;='组合输入'!$Q9,"CCC","D")))))))</f>
        <v/>
      </c>
      <c r="AP154" s="12">
        <f>IF(AO154="","",INDEX('状态价值'!$D9:$K9,MATCH(AO154,'状态价值'!$D$1:$K$1,0)))</f>
        <v/>
      </c>
      <c r="AQ154" s="15">
        <f>NORM.S.INV(RAND())</f>
        <v/>
      </c>
      <c r="AR154" s="15">
        <f>IF('组合输入'!$C10="","",'组合输入'!$H10*$B154+SQRT(1-'组合输入'!$H10^2)*AQ154)</f>
        <v/>
      </c>
      <c r="AS154" s="7">
        <f>IF(AR154="","",NORM.S.DIST(AR154,TRUE))</f>
        <v/>
      </c>
      <c r="AT154" s="13">
        <f>IF(AS154="","",IF(AS154&lt;='组合输入'!$K10,"AAA",IF(AS154&lt;='组合输入'!$L10,"AA",IF(AS154&lt;='组合输入'!$M10,"A",IF(AS154&lt;='组合输入'!$N10,"BBB",IF(AS154&lt;='组合输入'!$O10,"BB",IF(AS154&lt;='组合输入'!$P10,"B",IF(AS154&lt;='组合输入'!$Q10,"CCC","D")))))))</f>
        <v/>
      </c>
      <c r="AU154" s="12">
        <f>IF(AT154="","",INDEX('状态价值'!$D10:$K10,MATCH(AT154,'状态价值'!$D$1:$K$1,0)))</f>
        <v/>
      </c>
      <c r="AV154" s="15">
        <f>NORM.S.INV(RAND())</f>
        <v/>
      </c>
      <c r="AW154" s="15">
        <f>IF('组合输入'!$C11="","",'组合输入'!$H11*$B154+SQRT(1-'组合输入'!$H11^2)*AV154)</f>
        <v/>
      </c>
      <c r="AX154" s="7">
        <f>IF(AW154="","",NORM.S.DIST(AW154,TRUE))</f>
        <v/>
      </c>
      <c r="AY154" s="13">
        <f>IF(AX154="","",IF(AX154&lt;='组合输入'!$K11,"AAA",IF(AX154&lt;='组合输入'!$L11,"AA",IF(AX154&lt;='组合输入'!$M11,"A",IF(AX154&lt;='组合输入'!$N11,"BBB",IF(AX154&lt;='组合输入'!$O11,"BB",IF(AX154&lt;='组合输入'!$P11,"B",IF(AX154&lt;='组合输入'!$Q11,"CCC","D")))))))</f>
        <v/>
      </c>
      <c r="AZ154" s="12">
        <f>IF(AY154="","",INDEX('状态价值'!$D11:$K11,MATCH(AY154,'状态价值'!$D$1:$K$1,0)))</f>
        <v/>
      </c>
      <c r="BA154" s="12">
        <f>G154+L154+Q154+V154+AA154+AF154+AK154+AP154+AU154+AZ154</f>
        <v/>
      </c>
      <c r="BB154" s="12">
        <f>SUM('组合输入'!$J$2:$J$11)-BA154</f>
        <v/>
      </c>
    </row>
    <row r="155">
      <c r="A155" s="11" t="n">
        <v>154</v>
      </c>
      <c r="B155" s="14">
        <f>NORM.S.INV(RAND())</f>
        <v/>
      </c>
      <c r="C155" s="14">
        <f>NORM.S.INV(RAND())</f>
        <v/>
      </c>
      <c r="D155" s="15">
        <f>IF('组合输入'!$C2="","",'组合输入'!$H2*$B155+SQRT(1-'组合输入'!$H2^2)*C155)</f>
        <v/>
      </c>
      <c r="E155" s="7">
        <f>IF(D155="","",NORM.S.DIST(D155,TRUE))</f>
        <v/>
      </c>
      <c r="F155" s="13">
        <f>IF(E155="","",IF(E155&lt;='组合输入'!$K2,"AAA",IF(E155&lt;='组合输入'!$L2,"AA",IF(E155&lt;='组合输入'!$M2,"A",IF(E155&lt;='组合输入'!$N2,"BBB",IF(E155&lt;='组合输入'!$O2,"BB",IF(E155&lt;='组合输入'!$P2,"B",IF(E155&lt;='组合输入'!$Q2,"CCC","D")))))))</f>
        <v/>
      </c>
      <c r="G155" s="12">
        <f>IF(F155="","",INDEX('状态价值'!$D2:$K2,MATCH(F155,'状态价值'!$D$1:$K$1,0)))</f>
        <v/>
      </c>
      <c r="H155" s="15">
        <f>NORM.S.INV(RAND())</f>
        <v/>
      </c>
      <c r="I155" s="15">
        <f>IF('组合输入'!$C3="","",'组合输入'!$H3*$B155+SQRT(1-'组合输入'!$H3^2)*H155)</f>
        <v/>
      </c>
      <c r="J155" s="7">
        <f>IF(I155="","",NORM.S.DIST(I155,TRUE))</f>
        <v/>
      </c>
      <c r="K155" s="13">
        <f>IF(J155="","",IF(J155&lt;='组合输入'!$K3,"AAA",IF(J155&lt;='组合输入'!$L3,"AA",IF(J155&lt;='组合输入'!$M3,"A",IF(J155&lt;='组合输入'!$N3,"BBB",IF(J155&lt;='组合输入'!$O3,"BB",IF(J155&lt;='组合输入'!$P3,"B",IF(J155&lt;='组合输入'!$Q3,"CCC","D")))))))</f>
        <v/>
      </c>
      <c r="L155" s="12">
        <f>IF(K155="","",INDEX('状态价值'!$D3:$K3,MATCH(K155,'状态价值'!$D$1:$K$1,0)))</f>
        <v/>
      </c>
      <c r="M155" s="15">
        <f>NORM.S.INV(RAND())</f>
        <v/>
      </c>
      <c r="N155" s="15">
        <f>IF('组合输入'!$C4="","",'组合输入'!$H4*$B155+SQRT(1-'组合输入'!$H4^2)*M155)</f>
        <v/>
      </c>
      <c r="O155" s="7">
        <f>IF(N155="","",NORM.S.DIST(N155,TRUE))</f>
        <v/>
      </c>
      <c r="P155" s="13">
        <f>IF(O155="","",IF(O155&lt;='组合输入'!$K4,"AAA",IF(O155&lt;='组合输入'!$L4,"AA",IF(O155&lt;='组合输入'!$M4,"A",IF(O155&lt;='组合输入'!$N4,"BBB",IF(O155&lt;='组合输入'!$O4,"BB",IF(O155&lt;='组合输入'!$P4,"B",IF(O155&lt;='组合输入'!$Q4,"CCC","D")))))))</f>
        <v/>
      </c>
      <c r="Q155" s="12">
        <f>IF(P155="","",INDEX('状态价值'!$D4:$K4,MATCH(P155,'状态价值'!$D$1:$K$1,0)))</f>
        <v/>
      </c>
      <c r="R155" s="15">
        <f>NORM.S.INV(RAND())</f>
        <v/>
      </c>
      <c r="S155" s="15">
        <f>IF('组合输入'!$C5="","",'组合输入'!$H5*$B155+SQRT(1-'组合输入'!$H5^2)*R155)</f>
        <v/>
      </c>
      <c r="T155" s="7">
        <f>IF(S155="","",NORM.S.DIST(S155,TRUE))</f>
        <v/>
      </c>
      <c r="U155" s="13">
        <f>IF(T155="","",IF(T155&lt;='组合输入'!$K5,"AAA",IF(T155&lt;='组合输入'!$L5,"AA",IF(T155&lt;='组合输入'!$M5,"A",IF(T155&lt;='组合输入'!$N5,"BBB",IF(T155&lt;='组合输入'!$O5,"BB",IF(T155&lt;='组合输入'!$P5,"B",IF(T155&lt;='组合输入'!$Q5,"CCC","D")))))))</f>
        <v/>
      </c>
      <c r="V155" s="12">
        <f>IF(U155="","",INDEX('状态价值'!$D5:$K5,MATCH(U155,'状态价值'!$D$1:$K$1,0)))</f>
        <v/>
      </c>
      <c r="W155" s="15">
        <f>NORM.S.INV(RAND())</f>
        <v/>
      </c>
      <c r="X155" s="15">
        <f>IF('组合输入'!$C6="","",'组合输入'!$H6*$B155+SQRT(1-'组合输入'!$H6^2)*W155)</f>
        <v/>
      </c>
      <c r="Y155" s="7">
        <f>IF(X155="","",NORM.S.DIST(X155,TRUE))</f>
        <v/>
      </c>
      <c r="Z155" s="13">
        <f>IF(Y155="","",IF(Y155&lt;='组合输入'!$K6,"AAA",IF(Y155&lt;='组合输入'!$L6,"AA",IF(Y155&lt;='组合输入'!$M6,"A",IF(Y155&lt;='组合输入'!$N6,"BBB",IF(Y155&lt;='组合输入'!$O6,"BB",IF(Y155&lt;='组合输入'!$P6,"B",IF(Y155&lt;='组合输入'!$Q6,"CCC","D")))))))</f>
        <v/>
      </c>
      <c r="AA155" s="12">
        <f>IF(Z155="","",INDEX('状态价值'!$D6:$K6,MATCH(Z155,'状态价值'!$D$1:$K$1,0)))</f>
        <v/>
      </c>
      <c r="AB155" s="15">
        <f>NORM.S.INV(RAND())</f>
        <v/>
      </c>
      <c r="AC155" s="15">
        <f>IF('组合输入'!$C7="","",'组合输入'!$H7*$B155+SQRT(1-'组合输入'!$H7^2)*AB155)</f>
        <v/>
      </c>
      <c r="AD155" s="7">
        <f>IF(AC155="","",NORM.S.DIST(AC155,TRUE))</f>
        <v/>
      </c>
      <c r="AE155" s="13">
        <f>IF(AD155="","",IF(AD155&lt;='组合输入'!$K7,"AAA",IF(AD155&lt;='组合输入'!$L7,"AA",IF(AD155&lt;='组合输入'!$M7,"A",IF(AD155&lt;='组合输入'!$N7,"BBB",IF(AD155&lt;='组合输入'!$O7,"BB",IF(AD155&lt;='组合输入'!$P7,"B",IF(AD155&lt;='组合输入'!$Q7,"CCC","D")))))))</f>
        <v/>
      </c>
      <c r="AF155" s="12">
        <f>IF(AE155="","",INDEX('状态价值'!$D7:$K7,MATCH(AE155,'状态价值'!$D$1:$K$1,0)))</f>
        <v/>
      </c>
      <c r="AG155" s="15">
        <f>NORM.S.INV(RAND())</f>
        <v/>
      </c>
      <c r="AH155" s="15">
        <f>IF('组合输入'!$C8="","",'组合输入'!$H8*$B155+SQRT(1-'组合输入'!$H8^2)*AG155)</f>
        <v/>
      </c>
      <c r="AI155" s="7">
        <f>IF(AH155="","",NORM.S.DIST(AH155,TRUE))</f>
        <v/>
      </c>
      <c r="AJ155" s="13">
        <f>IF(AI155="","",IF(AI155&lt;='组合输入'!$K8,"AAA",IF(AI155&lt;='组合输入'!$L8,"AA",IF(AI155&lt;='组合输入'!$M8,"A",IF(AI155&lt;='组合输入'!$N8,"BBB",IF(AI155&lt;='组合输入'!$O8,"BB",IF(AI155&lt;='组合输入'!$P8,"B",IF(AI155&lt;='组合输入'!$Q8,"CCC","D")))))))</f>
        <v/>
      </c>
      <c r="AK155" s="12">
        <f>IF(AJ155="","",INDEX('状态价值'!$D8:$K8,MATCH(AJ155,'状态价值'!$D$1:$K$1,0)))</f>
        <v/>
      </c>
      <c r="AL155" s="15">
        <f>NORM.S.INV(RAND())</f>
        <v/>
      </c>
      <c r="AM155" s="15">
        <f>IF('组合输入'!$C9="","",'组合输入'!$H9*$B155+SQRT(1-'组合输入'!$H9^2)*AL155)</f>
        <v/>
      </c>
      <c r="AN155" s="7">
        <f>IF(AM155="","",NORM.S.DIST(AM155,TRUE))</f>
        <v/>
      </c>
      <c r="AO155" s="13">
        <f>IF(AN155="","",IF(AN155&lt;='组合输入'!$K9,"AAA",IF(AN155&lt;='组合输入'!$L9,"AA",IF(AN155&lt;='组合输入'!$M9,"A",IF(AN155&lt;='组合输入'!$N9,"BBB",IF(AN155&lt;='组合输入'!$O9,"BB",IF(AN155&lt;='组合输入'!$P9,"B",IF(AN155&lt;='组合输入'!$Q9,"CCC","D")))))))</f>
        <v/>
      </c>
      <c r="AP155" s="12">
        <f>IF(AO155="","",INDEX('状态价值'!$D9:$K9,MATCH(AO155,'状态价值'!$D$1:$K$1,0)))</f>
        <v/>
      </c>
      <c r="AQ155" s="15">
        <f>NORM.S.INV(RAND())</f>
        <v/>
      </c>
      <c r="AR155" s="15">
        <f>IF('组合输入'!$C10="","",'组合输入'!$H10*$B155+SQRT(1-'组合输入'!$H10^2)*AQ155)</f>
        <v/>
      </c>
      <c r="AS155" s="7">
        <f>IF(AR155="","",NORM.S.DIST(AR155,TRUE))</f>
        <v/>
      </c>
      <c r="AT155" s="13">
        <f>IF(AS155="","",IF(AS155&lt;='组合输入'!$K10,"AAA",IF(AS155&lt;='组合输入'!$L10,"AA",IF(AS155&lt;='组合输入'!$M10,"A",IF(AS155&lt;='组合输入'!$N10,"BBB",IF(AS155&lt;='组合输入'!$O10,"BB",IF(AS155&lt;='组合输入'!$P10,"B",IF(AS155&lt;='组合输入'!$Q10,"CCC","D")))))))</f>
        <v/>
      </c>
      <c r="AU155" s="12">
        <f>IF(AT155="","",INDEX('状态价值'!$D10:$K10,MATCH(AT155,'状态价值'!$D$1:$K$1,0)))</f>
        <v/>
      </c>
      <c r="AV155" s="15">
        <f>NORM.S.INV(RAND())</f>
        <v/>
      </c>
      <c r="AW155" s="15">
        <f>IF('组合输入'!$C11="","",'组合输入'!$H11*$B155+SQRT(1-'组合输入'!$H11^2)*AV155)</f>
        <v/>
      </c>
      <c r="AX155" s="7">
        <f>IF(AW155="","",NORM.S.DIST(AW155,TRUE))</f>
        <v/>
      </c>
      <c r="AY155" s="13">
        <f>IF(AX155="","",IF(AX155&lt;='组合输入'!$K11,"AAA",IF(AX155&lt;='组合输入'!$L11,"AA",IF(AX155&lt;='组合输入'!$M11,"A",IF(AX155&lt;='组合输入'!$N11,"BBB",IF(AX155&lt;='组合输入'!$O11,"BB",IF(AX155&lt;='组合输入'!$P11,"B",IF(AX155&lt;='组合输入'!$Q11,"CCC","D")))))))</f>
        <v/>
      </c>
      <c r="AZ155" s="12">
        <f>IF(AY155="","",INDEX('状态价值'!$D11:$K11,MATCH(AY155,'状态价值'!$D$1:$K$1,0)))</f>
        <v/>
      </c>
      <c r="BA155" s="12">
        <f>G155+L155+Q155+V155+AA155+AF155+AK155+AP155+AU155+AZ155</f>
        <v/>
      </c>
      <c r="BB155" s="12">
        <f>SUM('组合输入'!$J$2:$J$11)-BA155</f>
        <v/>
      </c>
    </row>
    <row r="156">
      <c r="A156" s="11" t="n">
        <v>155</v>
      </c>
      <c r="B156" s="14">
        <f>NORM.S.INV(RAND())</f>
        <v/>
      </c>
      <c r="C156" s="14">
        <f>NORM.S.INV(RAND())</f>
        <v/>
      </c>
      <c r="D156" s="15">
        <f>IF('组合输入'!$C2="","",'组合输入'!$H2*$B156+SQRT(1-'组合输入'!$H2^2)*C156)</f>
        <v/>
      </c>
      <c r="E156" s="7">
        <f>IF(D156="","",NORM.S.DIST(D156,TRUE))</f>
        <v/>
      </c>
      <c r="F156" s="13">
        <f>IF(E156="","",IF(E156&lt;='组合输入'!$K2,"AAA",IF(E156&lt;='组合输入'!$L2,"AA",IF(E156&lt;='组合输入'!$M2,"A",IF(E156&lt;='组合输入'!$N2,"BBB",IF(E156&lt;='组合输入'!$O2,"BB",IF(E156&lt;='组合输入'!$P2,"B",IF(E156&lt;='组合输入'!$Q2,"CCC","D")))))))</f>
        <v/>
      </c>
      <c r="G156" s="12">
        <f>IF(F156="","",INDEX('状态价值'!$D2:$K2,MATCH(F156,'状态价值'!$D$1:$K$1,0)))</f>
        <v/>
      </c>
      <c r="H156" s="15">
        <f>NORM.S.INV(RAND())</f>
        <v/>
      </c>
      <c r="I156" s="15">
        <f>IF('组合输入'!$C3="","",'组合输入'!$H3*$B156+SQRT(1-'组合输入'!$H3^2)*H156)</f>
        <v/>
      </c>
      <c r="J156" s="7">
        <f>IF(I156="","",NORM.S.DIST(I156,TRUE))</f>
        <v/>
      </c>
      <c r="K156" s="13">
        <f>IF(J156="","",IF(J156&lt;='组合输入'!$K3,"AAA",IF(J156&lt;='组合输入'!$L3,"AA",IF(J156&lt;='组合输入'!$M3,"A",IF(J156&lt;='组合输入'!$N3,"BBB",IF(J156&lt;='组合输入'!$O3,"BB",IF(J156&lt;='组合输入'!$P3,"B",IF(J156&lt;='组合输入'!$Q3,"CCC","D")))))))</f>
        <v/>
      </c>
      <c r="L156" s="12">
        <f>IF(K156="","",INDEX('状态价值'!$D3:$K3,MATCH(K156,'状态价值'!$D$1:$K$1,0)))</f>
        <v/>
      </c>
      <c r="M156" s="15">
        <f>NORM.S.INV(RAND())</f>
        <v/>
      </c>
      <c r="N156" s="15">
        <f>IF('组合输入'!$C4="","",'组合输入'!$H4*$B156+SQRT(1-'组合输入'!$H4^2)*M156)</f>
        <v/>
      </c>
      <c r="O156" s="7">
        <f>IF(N156="","",NORM.S.DIST(N156,TRUE))</f>
        <v/>
      </c>
      <c r="P156" s="13">
        <f>IF(O156="","",IF(O156&lt;='组合输入'!$K4,"AAA",IF(O156&lt;='组合输入'!$L4,"AA",IF(O156&lt;='组合输入'!$M4,"A",IF(O156&lt;='组合输入'!$N4,"BBB",IF(O156&lt;='组合输入'!$O4,"BB",IF(O156&lt;='组合输入'!$P4,"B",IF(O156&lt;='组合输入'!$Q4,"CCC","D")))))))</f>
        <v/>
      </c>
      <c r="Q156" s="12">
        <f>IF(P156="","",INDEX('状态价值'!$D4:$K4,MATCH(P156,'状态价值'!$D$1:$K$1,0)))</f>
        <v/>
      </c>
      <c r="R156" s="15">
        <f>NORM.S.INV(RAND())</f>
        <v/>
      </c>
      <c r="S156" s="15">
        <f>IF('组合输入'!$C5="","",'组合输入'!$H5*$B156+SQRT(1-'组合输入'!$H5^2)*R156)</f>
        <v/>
      </c>
      <c r="T156" s="7">
        <f>IF(S156="","",NORM.S.DIST(S156,TRUE))</f>
        <v/>
      </c>
      <c r="U156" s="13">
        <f>IF(T156="","",IF(T156&lt;='组合输入'!$K5,"AAA",IF(T156&lt;='组合输入'!$L5,"AA",IF(T156&lt;='组合输入'!$M5,"A",IF(T156&lt;='组合输入'!$N5,"BBB",IF(T156&lt;='组合输入'!$O5,"BB",IF(T156&lt;='组合输入'!$P5,"B",IF(T156&lt;='组合输入'!$Q5,"CCC","D")))))))</f>
        <v/>
      </c>
      <c r="V156" s="12">
        <f>IF(U156="","",INDEX('状态价值'!$D5:$K5,MATCH(U156,'状态价值'!$D$1:$K$1,0)))</f>
        <v/>
      </c>
      <c r="W156" s="15">
        <f>NORM.S.INV(RAND())</f>
        <v/>
      </c>
      <c r="X156" s="15">
        <f>IF('组合输入'!$C6="","",'组合输入'!$H6*$B156+SQRT(1-'组合输入'!$H6^2)*W156)</f>
        <v/>
      </c>
      <c r="Y156" s="7">
        <f>IF(X156="","",NORM.S.DIST(X156,TRUE))</f>
        <v/>
      </c>
      <c r="Z156" s="13">
        <f>IF(Y156="","",IF(Y156&lt;='组合输入'!$K6,"AAA",IF(Y156&lt;='组合输入'!$L6,"AA",IF(Y156&lt;='组合输入'!$M6,"A",IF(Y156&lt;='组合输入'!$N6,"BBB",IF(Y156&lt;='组合输入'!$O6,"BB",IF(Y156&lt;='组合输入'!$P6,"B",IF(Y156&lt;='组合输入'!$Q6,"CCC","D")))))))</f>
        <v/>
      </c>
      <c r="AA156" s="12">
        <f>IF(Z156="","",INDEX('状态价值'!$D6:$K6,MATCH(Z156,'状态价值'!$D$1:$K$1,0)))</f>
        <v/>
      </c>
      <c r="AB156" s="15">
        <f>NORM.S.INV(RAND())</f>
        <v/>
      </c>
      <c r="AC156" s="15">
        <f>IF('组合输入'!$C7="","",'组合输入'!$H7*$B156+SQRT(1-'组合输入'!$H7^2)*AB156)</f>
        <v/>
      </c>
      <c r="AD156" s="7">
        <f>IF(AC156="","",NORM.S.DIST(AC156,TRUE))</f>
        <v/>
      </c>
      <c r="AE156" s="13">
        <f>IF(AD156="","",IF(AD156&lt;='组合输入'!$K7,"AAA",IF(AD156&lt;='组合输入'!$L7,"AA",IF(AD156&lt;='组合输入'!$M7,"A",IF(AD156&lt;='组合输入'!$N7,"BBB",IF(AD156&lt;='组合输入'!$O7,"BB",IF(AD156&lt;='组合输入'!$P7,"B",IF(AD156&lt;='组合输入'!$Q7,"CCC","D")))))))</f>
        <v/>
      </c>
      <c r="AF156" s="12">
        <f>IF(AE156="","",INDEX('状态价值'!$D7:$K7,MATCH(AE156,'状态价值'!$D$1:$K$1,0)))</f>
        <v/>
      </c>
      <c r="AG156" s="15">
        <f>NORM.S.INV(RAND())</f>
        <v/>
      </c>
      <c r="AH156" s="15">
        <f>IF('组合输入'!$C8="","",'组合输入'!$H8*$B156+SQRT(1-'组合输入'!$H8^2)*AG156)</f>
        <v/>
      </c>
      <c r="AI156" s="7">
        <f>IF(AH156="","",NORM.S.DIST(AH156,TRUE))</f>
        <v/>
      </c>
      <c r="AJ156" s="13">
        <f>IF(AI156="","",IF(AI156&lt;='组合输入'!$K8,"AAA",IF(AI156&lt;='组合输入'!$L8,"AA",IF(AI156&lt;='组合输入'!$M8,"A",IF(AI156&lt;='组合输入'!$N8,"BBB",IF(AI156&lt;='组合输入'!$O8,"BB",IF(AI156&lt;='组合输入'!$P8,"B",IF(AI156&lt;='组合输入'!$Q8,"CCC","D")))))))</f>
        <v/>
      </c>
      <c r="AK156" s="12">
        <f>IF(AJ156="","",INDEX('状态价值'!$D8:$K8,MATCH(AJ156,'状态价值'!$D$1:$K$1,0)))</f>
        <v/>
      </c>
      <c r="AL156" s="15">
        <f>NORM.S.INV(RAND())</f>
        <v/>
      </c>
      <c r="AM156" s="15">
        <f>IF('组合输入'!$C9="","",'组合输入'!$H9*$B156+SQRT(1-'组合输入'!$H9^2)*AL156)</f>
        <v/>
      </c>
      <c r="AN156" s="7">
        <f>IF(AM156="","",NORM.S.DIST(AM156,TRUE))</f>
        <v/>
      </c>
      <c r="AO156" s="13">
        <f>IF(AN156="","",IF(AN156&lt;='组合输入'!$K9,"AAA",IF(AN156&lt;='组合输入'!$L9,"AA",IF(AN156&lt;='组合输入'!$M9,"A",IF(AN156&lt;='组合输入'!$N9,"BBB",IF(AN156&lt;='组合输入'!$O9,"BB",IF(AN156&lt;='组合输入'!$P9,"B",IF(AN156&lt;='组合输入'!$Q9,"CCC","D")))))))</f>
        <v/>
      </c>
      <c r="AP156" s="12">
        <f>IF(AO156="","",INDEX('状态价值'!$D9:$K9,MATCH(AO156,'状态价值'!$D$1:$K$1,0)))</f>
        <v/>
      </c>
      <c r="AQ156" s="15">
        <f>NORM.S.INV(RAND())</f>
        <v/>
      </c>
      <c r="AR156" s="15">
        <f>IF('组合输入'!$C10="","",'组合输入'!$H10*$B156+SQRT(1-'组合输入'!$H10^2)*AQ156)</f>
        <v/>
      </c>
      <c r="AS156" s="7">
        <f>IF(AR156="","",NORM.S.DIST(AR156,TRUE))</f>
        <v/>
      </c>
      <c r="AT156" s="13">
        <f>IF(AS156="","",IF(AS156&lt;='组合输入'!$K10,"AAA",IF(AS156&lt;='组合输入'!$L10,"AA",IF(AS156&lt;='组合输入'!$M10,"A",IF(AS156&lt;='组合输入'!$N10,"BBB",IF(AS156&lt;='组合输入'!$O10,"BB",IF(AS156&lt;='组合输入'!$P10,"B",IF(AS156&lt;='组合输入'!$Q10,"CCC","D")))))))</f>
        <v/>
      </c>
      <c r="AU156" s="12">
        <f>IF(AT156="","",INDEX('状态价值'!$D10:$K10,MATCH(AT156,'状态价值'!$D$1:$K$1,0)))</f>
        <v/>
      </c>
      <c r="AV156" s="15">
        <f>NORM.S.INV(RAND())</f>
        <v/>
      </c>
      <c r="AW156" s="15">
        <f>IF('组合输入'!$C11="","",'组合输入'!$H11*$B156+SQRT(1-'组合输入'!$H11^2)*AV156)</f>
        <v/>
      </c>
      <c r="AX156" s="7">
        <f>IF(AW156="","",NORM.S.DIST(AW156,TRUE))</f>
        <v/>
      </c>
      <c r="AY156" s="13">
        <f>IF(AX156="","",IF(AX156&lt;='组合输入'!$K11,"AAA",IF(AX156&lt;='组合输入'!$L11,"AA",IF(AX156&lt;='组合输入'!$M11,"A",IF(AX156&lt;='组合输入'!$N11,"BBB",IF(AX156&lt;='组合输入'!$O11,"BB",IF(AX156&lt;='组合输入'!$P11,"B",IF(AX156&lt;='组合输入'!$Q11,"CCC","D")))))))</f>
        <v/>
      </c>
      <c r="AZ156" s="12">
        <f>IF(AY156="","",INDEX('状态价值'!$D11:$K11,MATCH(AY156,'状态价值'!$D$1:$K$1,0)))</f>
        <v/>
      </c>
      <c r="BA156" s="12">
        <f>G156+L156+Q156+V156+AA156+AF156+AK156+AP156+AU156+AZ156</f>
        <v/>
      </c>
      <c r="BB156" s="12">
        <f>SUM('组合输入'!$J$2:$J$11)-BA156</f>
        <v/>
      </c>
    </row>
    <row r="157">
      <c r="A157" s="11" t="n">
        <v>156</v>
      </c>
      <c r="B157" s="14">
        <f>NORM.S.INV(RAND())</f>
        <v/>
      </c>
      <c r="C157" s="14">
        <f>NORM.S.INV(RAND())</f>
        <v/>
      </c>
      <c r="D157" s="15">
        <f>IF('组合输入'!$C2="","",'组合输入'!$H2*$B157+SQRT(1-'组合输入'!$H2^2)*C157)</f>
        <v/>
      </c>
      <c r="E157" s="7">
        <f>IF(D157="","",NORM.S.DIST(D157,TRUE))</f>
        <v/>
      </c>
      <c r="F157" s="13">
        <f>IF(E157="","",IF(E157&lt;='组合输入'!$K2,"AAA",IF(E157&lt;='组合输入'!$L2,"AA",IF(E157&lt;='组合输入'!$M2,"A",IF(E157&lt;='组合输入'!$N2,"BBB",IF(E157&lt;='组合输入'!$O2,"BB",IF(E157&lt;='组合输入'!$P2,"B",IF(E157&lt;='组合输入'!$Q2,"CCC","D")))))))</f>
        <v/>
      </c>
      <c r="G157" s="12">
        <f>IF(F157="","",INDEX('状态价值'!$D2:$K2,MATCH(F157,'状态价值'!$D$1:$K$1,0)))</f>
        <v/>
      </c>
      <c r="H157" s="15">
        <f>NORM.S.INV(RAND())</f>
        <v/>
      </c>
      <c r="I157" s="15">
        <f>IF('组合输入'!$C3="","",'组合输入'!$H3*$B157+SQRT(1-'组合输入'!$H3^2)*H157)</f>
        <v/>
      </c>
      <c r="J157" s="7">
        <f>IF(I157="","",NORM.S.DIST(I157,TRUE))</f>
        <v/>
      </c>
      <c r="K157" s="13">
        <f>IF(J157="","",IF(J157&lt;='组合输入'!$K3,"AAA",IF(J157&lt;='组合输入'!$L3,"AA",IF(J157&lt;='组合输入'!$M3,"A",IF(J157&lt;='组合输入'!$N3,"BBB",IF(J157&lt;='组合输入'!$O3,"BB",IF(J157&lt;='组合输入'!$P3,"B",IF(J157&lt;='组合输入'!$Q3,"CCC","D")))))))</f>
        <v/>
      </c>
      <c r="L157" s="12">
        <f>IF(K157="","",INDEX('状态价值'!$D3:$K3,MATCH(K157,'状态价值'!$D$1:$K$1,0)))</f>
        <v/>
      </c>
      <c r="M157" s="15">
        <f>NORM.S.INV(RAND())</f>
        <v/>
      </c>
      <c r="N157" s="15">
        <f>IF('组合输入'!$C4="","",'组合输入'!$H4*$B157+SQRT(1-'组合输入'!$H4^2)*M157)</f>
        <v/>
      </c>
      <c r="O157" s="7">
        <f>IF(N157="","",NORM.S.DIST(N157,TRUE))</f>
        <v/>
      </c>
      <c r="P157" s="13">
        <f>IF(O157="","",IF(O157&lt;='组合输入'!$K4,"AAA",IF(O157&lt;='组合输入'!$L4,"AA",IF(O157&lt;='组合输入'!$M4,"A",IF(O157&lt;='组合输入'!$N4,"BBB",IF(O157&lt;='组合输入'!$O4,"BB",IF(O157&lt;='组合输入'!$P4,"B",IF(O157&lt;='组合输入'!$Q4,"CCC","D")))))))</f>
        <v/>
      </c>
      <c r="Q157" s="12">
        <f>IF(P157="","",INDEX('状态价值'!$D4:$K4,MATCH(P157,'状态价值'!$D$1:$K$1,0)))</f>
        <v/>
      </c>
      <c r="R157" s="15">
        <f>NORM.S.INV(RAND())</f>
        <v/>
      </c>
      <c r="S157" s="15">
        <f>IF('组合输入'!$C5="","",'组合输入'!$H5*$B157+SQRT(1-'组合输入'!$H5^2)*R157)</f>
        <v/>
      </c>
      <c r="T157" s="7">
        <f>IF(S157="","",NORM.S.DIST(S157,TRUE))</f>
        <v/>
      </c>
      <c r="U157" s="13">
        <f>IF(T157="","",IF(T157&lt;='组合输入'!$K5,"AAA",IF(T157&lt;='组合输入'!$L5,"AA",IF(T157&lt;='组合输入'!$M5,"A",IF(T157&lt;='组合输入'!$N5,"BBB",IF(T157&lt;='组合输入'!$O5,"BB",IF(T157&lt;='组合输入'!$P5,"B",IF(T157&lt;='组合输入'!$Q5,"CCC","D")))))))</f>
        <v/>
      </c>
      <c r="V157" s="12">
        <f>IF(U157="","",INDEX('状态价值'!$D5:$K5,MATCH(U157,'状态价值'!$D$1:$K$1,0)))</f>
        <v/>
      </c>
      <c r="W157" s="15">
        <f>NORM.S.INV(RAND())</f>
        <v/>
      </c>
      <c r="X157" s="15">
        <f>IF('组合输入'!$C6="","",'组合输入'!$H6*$B157+SQRT(1-'组合输入'!$H6^2)*W157)</f>
        <v/>
      </c>
      <c r="Y157" s="7">
        <f>IF(X157="","",NORM.S.DIST(X157,TRUE))</f>
        <v/>
      </c>
      <c r="Z157" s="13">
        <f>IF(Y157="","",IF(Y157&lt;='组合输入'!$K6,"AAA",IF(Y157&lt;='组合输入'!$L6,"AA",IF(Y157&lt;='组合输入'!$M6,"A",IF(Y157&lt;='组合输入'!$N6,"BBB",IF(Y157&lt;='组合输入'!$O6,"BB",IF(Y157&lt;='组合输入'!$P6,"B",IF(Y157&lt;='组合输入'!$Q6,"CCC","D")))))))</f>
        <v/>
      </c>
      <c r="AA157" s="12">
        <f>IF(Z157="","",INDEX('状态价值'!$D6:$K6,MATCH(Z157,'状态价值'!$D$1:$K$1,0)))</f>
        <v/>
      </c>
      <c r="AB157" s="15">
        <f>NORM.S.INV(RAND())</f>
        <v/>
      </c>
      <c r="AC157" s="15">
        <f>IF('组合输入'!$C7="","",'组合输入'!$H7*$B157+SQRT(1-'组合输入'!$H7^2)*AB157)</f>
        <v/>
      </c>
      <c r="AD157" s="7">
        <f>IF(AC157="","",NORM.S.DIST(AC157,TRUE))</f>
        <v/>
      </c>
      <c r="AE157" s="13">
        <f>IF(AD157="","",IF(AD157&lt;='组合输入'!$K7,"AAA",IF(AD157&lt;='组合输入'!$L7,"AA",IF(AD157&lt;='组合输入'!$M7,"A",IF(AD157&lt;='组合输入'!$N7,"BBB",IF(AD157&lt;='组合输入'!$O7,"BB",IF(AD157&lt;='组合输入'!$P7,"B",IF(AD157&lt;='组合输入'!$Q7,"CCC","D")))))))</f>
        <v/>
      </c>
      <c r="AF157" s="12">
        <f>IF(AE157="","",INDEX('状态价值'!$D7:$K7,MATCH(AE157,'状态价值'!$D$1:$K$1,0)))</f>
        <v/>
      </c>
      <c r="AG157" s="15">
        <f>NORM.S.INV(RAND())</f>
        <v/>
      </c>
      <c r="AH157" s="15">
        <f>IF('组合输入'!$C8="","",'组合输入'!$H8*$B157+SQRT(1-'组合输入'!$H8^2)*AG157)</f>
        <v/>
      </c>
      <c r="AI157" s="7">
        <f>IF(AH157="","",NORM.S.DIST(AH157,TRUE))</f>
        <v/>
      </c>
      <c r="AJ157" s="13">
        <f>IF(AI157="","",IF(AI157&lt;='组合输入'!$K8,"AAA",IF(AI157&lt;='组合输入'!$L8,"AA",IF(AI157&lt;='组合输入'!$M8,"A",IF(AI157&lt;='组合输入'!$N8,"BBB",IF(AI157&lt;='组合输入'!$O8,"BB",IF(AI157&lt;='组合输入'!$P8,"B",IF(AI157&lt;='组合输入'!$Q8,"CCC","D")))))))</f>
        <v/>
      </c>
      <c r="AK157" s="12">
        <f>IF(AJ157="","",INDEX('状态价值'!$D8:$K8,MATCH(AJ157,'状态价值'!$D$1:$K$1,0)))</f>
        <v/>
      </c>
      <c r="AL157" s="15">
        <f>NORM.S.INV(RAND())</f>
        <v/>
      </c>
      <c r="AM157" s="15">
        <f>IF('组合输入'!$C9="","",'组合输入'!$H9*$B157+SQRT(1-'组合输入'!$H9^2)*AL157)</f>
        <v/>
      </c>
      <c r="AN157" s="7">
        <f>IF(AM157="","",NORM.S.DIST(AM157,TRUE))</f>
        <v/>
      </c>
      <c r="AO157" s="13">
        <f>IF(AN157="","",IF(AN157&lt;='组合输入'!$K9,"AAA",IF(AN157&lt;='组合输入'!$L9,"AA",IF(AN157&lt;='组合输入'!$M9,"A",IF(AN157&lt;='组合输入'!$N9,"BBB",IF(AN157&lt;='组合输入'!$O9,"BB",IF(AN157&lt;='组合输入'!$P9,"B",IF(AN157&lt;='组合输入'!$Q9,"CCC","D")))))))</f>
        <v/>
      </c>
      <c r="AP157" s="12">
        <f>IF(AO157="","",INDEX('状态价值'!$D9:$K9,MATCH(AO157,'状态价值'!$D$1:$K$1,0)))</f>
        <v/>
      </c>
      <c r="AQ157" s="15">
        <f>NORM.S.INV(RAND())</f>
        <v/>
      </c>
      <c r="AR157" s="15">
        <f>IF('组合输入'!$C10="","",'组合输入'!$H10*$B157+SQRT(1-'组合输入'!$H10^2)*AQ157)</f>
        <v/>
      </c>
      <c r="AS157" s="7">
        <f>IF(AR157="","",NORM.S.DIST(AR157,TRUE))</f>
        <v/>
      </c>
      <c r="AT157" s="13">
        <f>IF(AS157="","",IF(AS157&lt;='组合输入'!$K10,"AAA",IF(AS157&lt;='组合输入'!$L10,"AA",IF(AS157&lt;='组合输入'!$M10,"A",IF(AS157&lt;='组合输入'!$N10,"BBB",IF(AS157&lt;='组合输入'!$O10,"BB",IF(AS157&lt;='组合输入'!$P10,"B",IF(AS157&lt;='组合输入'!$Q10,"CCC","D")))))))</f>
        <v/>
      </c>
      <c r="AU157" s="12">
        <f>IF(AT157="","",INDEX('状态价值'!$D10:$K10,MATCH(AT157,'状态价值'!$D$1:$K$1,0)))</f>
        <v/>
      </c>
      <c r="AV157" s="15">
        <f>NORM.S.INV(RAND())</f>
        <v/>
      </c>
      <c r="AW157" s="15">
        <f>IF('组合输入'!$C11="","",'组合输入'!$H11*$B157+SQRT(1-'组合输入'!$H11^2)*AV157)</f>
        <v/>
      </c>
      <c r="AX157" s="7">
        <f>IF(AW157="","",NORM.S.DIST(AW157,TRUE))</f>
        <v/>
      </c>
      <c r="AY157" s="13">
        <f>IF(AX157="","",IF(AX157&lt;='组合输入'!$K11,"AAA",IF(AX157&lt;='组合输入'!$L11,"AA",IF(AX157&lt;='组合输入'!$M11,"A",IF(AX157&lt;='组合输入'!$N11,"BBB",IF(AX157&lt;='组合输入'!$O11,"BB",IF(AX157&lt;='组合输入'!$P11,"B",IF(AX157&lt;='组合输入'!$Q11,"CCC","D")))))))</f>
        <v/>
      </c>
      <c r="AZ157" s="12">
        <f>IF(AY157="","",INDEX('状态价值'!$D11:$K11,MATCH(AY157,'状态价值'!$D$1:$K$1,0)))</f>
        <v/>
      </c>
      <c r="BA157" s="12">
        <f>G157+L157+Q157+V157+AA157+AF157+AK157+AP157+AU157+AZ157</f>
        <v/>
      </c>
      <c r="BB157" s="12">
        <f>SUM('组合输入'!$J$2:$J$11)-BA157</f>
        <v/>
      </c>
    </row>
    <row r="158">
      <c r="A158" s="11" t="n">
        <v>157</v>
      </c>
      <c r="B158" s="14">
        <f>NORM.S.INV(RAND())</f>
        <v/>
      </c>
      <c r="C158" s="14">
        <f>NORM.S.INV(RAND())</f>
        <v/>
      </c>
      <c r="D158" s="15">
        <f>IF('组合输入'!$C2="","",'组合输入'!$H2*$B158+SQRT(1-'组合输入'!$H2^2)*C158)</f>
        <v/>
      </c>
      <c r="E158" s="7">
        <f>IF(D158="","",NORM.S.DIST(D158,TRUE))</f>
        <v/>
      </c>
      <c r="F158" s="13">
        <f>IF(E158="","",IF(E158&lt;='组合输入'!$K2,"AAA",IF(E158&lt;='组合输入'!$L2,"AA",IF(E158&lt;='组合输入'!$M2,"A",IF(E158&lt;='组合输入'!$N2,"BBB",IF(E158&lt;='组合输入'!$O2,"BB",IF(E158&lt;='组合输入'!$P2,"B",IF(E158&lt;='组合输入'!$Q2,"CCC","D")))))))</f>
        <v/>
      </c>
      <c r="G158" s="12">
        <f>IF(F158="","",INDEX('状态价值'!$D2:$K2,MATCH(F158,'状态价值'!$D$1:$K$1,0)))</f>
        <v/>
      </c>
      <c r="H158" s="15">
        <f>NORM.S.INV(RAND())</f>
        <v/>
      </c>
      <c r="I158" s="15">
        <f>IF('组合输入'!$C3="","",'组合输入'!$H3*$B158+SQRT(1-'组合输入'!$H3^2)*H158)</f>
        <v/>
      </c>
      <c r="J158" s="7">
        <f>IF(I158="","",NORM.S.DIST(I158,TRUE))</f>
        <v/>
      </c>
      <c r="K158" s="13">
        <f>IF(J158="","",IF(J158&lt;='组合输入'!$K3,"AAA",IF(J158&lt;='组合输入'!$L3,"AA",IF(J158&lt;='组合输入'!$M3,"A",IF(J158&lt;='组合输入'!$N3,"BBB",IF(J158&lt;='组合输入'!$O3,"BB",IF(J158&lt;='组合输入'!$P3,"B",IF(J158&lt;='组合输入'!$Q3,"CCC","D")))))))</f>
        <v/>
      </c>
      <c r="L158" s="12">
        <f>IF(K158="","",INDEX('状态价值'!$D3:$K3,MATCH(K158,'状态价值'!$D$1:$K$1,0)))</f>
        <v/>
      </c>
      <c r="M158" s="15">
        <f>NORM.S.INV(RAND())</f>
        <v/>
      </c>
      <c r="N158" s="15">
        <f>IF('组合输入'!$C4="","",'组合输入'!$H4*$B158+SQRT(1-'组合输入'!$H4^2)*M158)</f>
        <v/>
      </c>
      <c r="O158" s="7">
        <f>IF(N158="","",NORM.S.DIST(N158,TRUE))</f>
        <v/>
      </c>
      <c r="P158" s="13">
        <f>IF(O158="","",IF(O158&lt;='组合输入'!$K4,"AAA",IF(O158&lt;='组合输入'!$L4,"AA",IF(O158&lt;='组合输入'!$M4,"A",IF(O158&lt;='组合输入'!$N4,"BBB",IF(O158&lt;='组合输入'!$O4,"BB",IF(O158&lt;='组合输入'!$P4,"B",IF(O158&lt;='组合输入'!$Q4,"CCC","D")))))))</f>
        <v/>
      </c>
      <c r="Q158" s="12">
        <f>IF(P158="","",INDEX('状态价值'!$D4:$K4,MATCH(P158,'状态价值'!$D$1:$K$1,0)))</f>
        <v/>
      </c>
      <c r="R158" s="15">
        <f>NORM.S.INV(RAND())</f>
        <v/>
      </c>
      <c r="S158" s="15">
        <f>IF('组合输入'!$C5="","",'组合输入'!$H5*$B158+SQRT(1-'组合输入'!$H5^2)*R158)</f>
        <v/>
      </c>
      <c r="T158" s="7">
        <f>IF(S158="","",NORM.S.DIST(S158,TRUE))</f>
        <v/>
      </c>
      <c r="U158" s="13">
        <f>IF(T158="","",IF(T158&lt;='组合输入'!$K5,"AAA",IF(T158&lt;='组合输入'!$L5,"AA",IF(T158&lt;='组合输入'!$M5,"A",IF(T158&lt;='组合输入'!$N5,"BBB",IF(T158&lt;='组合输入'!$O5,"BB",IF(T158&lt;='组合输入'!$P5,"B",IF(T158&lt;='组合输入'!$Q5,"CCC","D")))))))</f>
        <v/>
      </c>
      <c r="V158" s="12">
        <f>IF(U158="","",INDEX('状态价值'!$D5:$K5,MATCH(U158,'状态价值'!$D$1:$K$1,0)))</f>
        <v/>
      </c>
      <c r="W158" s="15">
        <f>NORM.S.INV(RAND())</f>
        <v/>
      </c>
      <c r="X158" s="15">
        <f>IF('组合输入'!$C6="","",'组合输入'!$H6*$B158+SQRT(1-'组合输入'!$H6^2)*W158)</f>
        <v/>
      </c>
      <c r="Y158" s="7">
        <f>IF(X158="","",NORM.S.DIST(X158,TRUE))</f>
        <v/>
      </c>
      <c r="Z158" s="13">
        <f>IF(Y158="","",IF(Y158&lt;='组合输入'!$K6,"AAA",IF(Y158&lt;='组合输入'!$L6,"AA",IF(Y158&lt;='组合输入'!$M6,"A",IF(Y158&lt;='组合输入'!$N6,"BBB",IF(Y158&lt;='组合输入'!$O6,"BB",IF(Y158&lt;='组合输入'!$P6,"B",IF(Y158&lt;='组合输入'!$Q6,"CCC","D")))))))</f>
        <v/>
      </c>
      <c r="AA158" s="12">
        <f>IF(Z158="","",INDEX('状态价值'!$D6:$K6,MATCH(Z158,'状态价值'!$D$1:$K$1,0)))</f>
        <v/>
      </c>
      <c r="AB158" s="15">
        <f>NORM.S.INV(RAND())</f>
        <v/>
      </c>
      <c r="AC158" s="15">
        <f>IF('组合输入'!$C7="","",'组合输入'!$H7*$B158+SQRT(1-'组合输入'!$H7^2)*AB158)</f>
        <v/>
      </c>
      <c r="AD158" s="7">
        <f>IF(AC158="","",NORM.S.DIST(AC158,TRUE))</f>
        <v/>
      </c>
      <c r="AE158" s="13">
        <f>IF(AD158="","",IF(AD158&lt;='组合输入'!$K7,"AAA",IF(AD158&lt;='组合输入'!$L7,"AA",IF(AD158&lt;='组合输入'!$M7,"A",IF(AD158&lt;='组合输入'!$N7,"BBB",IF(AD158&lt;='组合输入'!$O7,"BB",IF(AD158&lt;='组合输入'!$P7,"B",IF(AD158&lt;='组合输入'!$Q7,"CCC","D")))))))</f>
        <v/>
      </c>
      <c r="AF158" s="12">
        <f>IF(AE158="","",INDEX('状态价值'!$D7:$K7,MATCH(AE158,'状态价值'!$D$1:$K$1,0)))</f>
        <v/>
      </c>
      <c r="AG158" s="15">
        <f>NORM.S.INV(RAND())</f>
        <v/>
      </c>
      <c r="AH158" s="15">
        <f>IF('组合输入'!$C8="","",'组合输入'!$H8*$B158+SQRT(1-'组合输入'!$H8^2)*AG158)</f>
        <v/>
      </c>
      <c r="AI158" s="7">
        <f>IF(AH158="","",NORM.S.DIST(AH158,TRUE))</f>
        <v/>
      </c>
      <c r="AJ158" s="13">
        <f>IF(AI158="","",IF(AI158&lt;='组合输入'!$K8,"AAA",IF(AI158&lt;='组合输入'!$L8,"AA",IF(AI158&lt;='组合输入'!$M8,"A",IF(AI158&lt;='组合输入'!$N8,"BBB",IF(AI158&lt;='组合输入'!$O8,"BB",IF(AI158&lt;='组合输入'!$P8,"B",IF(AI158&lt;='组合输入'!$Q8,"CCC","D")))))))</f>
        <v/>
      </c>
      <c r="AK158" s="12">
        <f>IF(AJ158="","",INDEX('状态价值'!$D8:$K8,MATCH(AJ158,'状态价值'!$D$1:$K$1,0)))</f>
        <v/>
      </c>
      <c r="AL158" s="15">
        <f>NORM.S.INV(RAND())</f>
        <v/>
      </c>
      <c r="AM158" s="15">
        <f>IF('组合输入'!$C9="","",'组合输入'!$H9*$B158+SQRT(1-'组合输入'!$H9^2)*AL158)</f>
        <v/>
      </c>
      <c r="AN158" s="7">
        <f>IF(AM158="","",NORM.S.DIST(AM158,TRUE))</f>
        <v/>
      </c>
      <c r="AO158" s="13">
        <f>IF(AN158="","",IF(AN158&lt;='组合输入'!$K9,"AAA",IF(AN158&lt;='组合输入'!$L9,"AA",IF(AN158&lt;='组合输入'!$M9,"A",IF(AN158&lt;='组合输入'!$N9,"BBB",IF(AN158&lt;='组合输入'!$O9,"BB",IF(AN158&lt;='组合输入'!$P9,"B",IF(AN158&lt;='组合输入'!$Q9,"CCC","D")))))))</f>
        <v/>
      </c>
      <c r="AP158" s="12">
        <f>IF(AO158="","",INDEX('状态价值'!$D9:$K9,MATCH(AO158,'状态价值'!$D$1:$K$1,0)))</f>
        <v/>
      </c>
      <c r="AQ158" s="15">
        <f>NORM.S.INV(RAND())</f>
        <v/>
      </c>
      <c r="AR158" s="15">
        <f>IF('组合输入'!$C10="","",'组合输入'!$H10*$B158+SQRT(1-'组合输入'!$H10^2)*AQ158)</f>
        <v/>
      </c>
      <c r="AS158" s="7">
        <f>IF(AR158="","",NORM.S.DIST(AR158,TRUE))</f>
        <v/>
      </c>
      <c r="AT158" s="13">
        <f>IF(AS158="","",IF(AS158&lt;='组合输入'!$K10,"AAA",IF(AS158&lt;='组合输入'!$L10,"AA",IF(AS158&lt;='组合输入'!$M10,"A",IF(AS158&lt;='组合输入'!$N10,"BBB",IF(AS158&lt;='组合输入'!$O10,"BB",IF(AS158&lt;='组合输入'!$P10,"B",IF(AS158&lt;='组合输入'!$Q10,"CCC","D")))))))</f>
        <v/>
      </c>
      <c r="AU158" s="12">
        <f>IF(AT158="","",INDEX('状态价值'!$D10:$K10,MATCH(AT158,'状态价值'!$D$1:$K$1,0)))</f>
        <v/>
      </c>
      <c r="AV158" s="15">
        <f>NORM.S.INV(RAND())</f>
        <v/>
      </c>
      <c r="AW158" s="15">
        <f>IF('组合输入'!$C11="","",'组合输入'!$H11*$B158+SQRT(1-'组合输入'!$H11^2)*AV158)</f>
        <v/>
      </c>
      <c r="AX158" s="7">
        <f>IF(AW158="","",NORM.S.DIST(AW158,TRUE))</f>
        <v/>
      </c>
      <c r="AY158" s="13">
        <f>IF(AX158="","",IF(AX158&lt;='组合输入'!$K11,"AAA",IF(AX158&lt;='组合输入'!$L11,"AA",IF(AX158&lt;='组合输入'!$M11,"A",IF(AX158&lt;='组合输入'!$N11,"BBB",IF(AX158&lt;='组合输入'!$O11,"BB",IF(AX158&lt;='组合输入'!$P11,"B",IF(AX158&lt;='组合输入'!$Q11,"CCC","D")))))))</f>
        <v/>
      </c>
      <c r="AZ158" s="12">
        <f>IF(AY158="","",INDEX('状态价值'!$D11:$K11,MATCH(AY158,'状态价值'!$D$1:$K$1,0)))</f>
        <v/>
      </c>
      <c r="BA158" s="12">
        <f>G158+L158+Q158+V158+AA158+AF158+AK158+AP158+AU158+AZ158</f>
        <v/>
      </c>
      <c r="BB158" s="12">
        <f>SUM('组合输入'!$J$2:$J$11)-BA158</f>
        <v/>
      </c>
    </row>
    <row r="159">
      <c r="A159" s="11" t="n">
        <v>158</v>
      </c>
      <c r="B159" s="14">
        <f>NORM.S.INV(RAND())</f>
        <v/>
      </c>
      <c r="C159" s="14">
        <f>NORM.S.INV(RAND())</f>
        <v/>
      </c>
      <c r="D159" s="15">
        <f>IF('组合输入'!$C2="","",'组合输入'!$H2*$B159+SQRT(1-'组合输入'!$H2^2)*C159)</f>
        <v/>
      </c>
      <c r="E159" s="7">
        <f>IF(D159="","",NORM.S.DIST(D159,TRUE))</f>
        <v/>
      </c>
      <c r="F159" s="13">
        <f>IF(E159="","",IF(E159&lt;='组合输入'!$K2,"AAA",IF(E159&lt;='组合输入'!$L2,"AA",IF(E159&lt;='组合输入'!$M2,"A",IF(E159&lt;='组合输入'!$N2,"BBB",IF(E159&lt;='组合输入'!$O2,"BB",IF(E159&lt;='组合输入'!$P2,"B",IF(E159&lt;='组合输入'!$Q2,"CCC","D")))))))</f>
        <v/>
      </c>
      <c r="G159" s="12">
        <f>IF(F159="","",INDEX('状态价值'!$D2:$K2,MATCH(F159,'状态价值'!$D$1:$K$1,0)))</f>
        <v/>
      </c>
      <c r="H159" s="15">
        <f>NORM.S.INV(RAND())</f>
        <v/>
      </c>
      <c r="I159" s="15">
        <f>IF('组合输入'!$C3="","",'组合输入'!$H3*$B159+SQRT(1-'组合输入'!$H3^2)*H159)</f>
        <v/>
      </c>
      <c r="J159" s="7">
        <f>IF(I159="","",NORM.S.DIST(I159,TRUE))</f>
        <v/>
      </c>
      <c r="K159" s="13">
        <f>IF(J159="","",IF(J159&lt;='组合输入'!$K3,"AAA",IF(J159&lt;='组合输入'!$L3,"AA",IF(J159&lt;='组合输入'!$M3,"A",IF(J159&lt;='组合输入'!$N3,"BBB",IF(J159&lt;='组合输入'!$O3,"BB",IF(J159&lt;='组合输入'!$P3,"B",IF(J159&lt;='组合输入'!$Q3,"CCC","D")))))))</f>
        <v/>
      </c>
      <c r="L159" s="12">
        <f>IF(K159="","",INDEX('状态价值'!$D3:$K3,MATCH(K159,'状态价值'!$D$1:$K$1,0)))</f>
        <v/>
      </c>
      <c r="M159" s="15">
        <f>NORM.S.INV(RAND())</f>
        <v/>
      </c>
      <c r="N159" s="15">
        <f>IF('组合输入'!$C4="","",'组合输入'!$H4*$B159+SQRT(1-'组合输入'!$H4^2)*M159)</f>
        <v/>
      </c>
      <c r="O159" s="7">
        <f>IF(N159="","",NORM.S.DIST(N159,TRUE))</f>
        <v/>
      </c>
      <c r="P159" s="13">
        <f>IF(O159="","",IF(O159&lt;='组合输入'!$K4,"AAA",IF(O159&lt;='组合输入'!$L4,"AA",IF(O159&lt;='组合输入'!$M4,"A",IF(O159&lt;='组合输入'!$N4,"BBB",IF(O159&lt;='组合输入'!$O4,"BB",IF(O159&lt;='组合输入'!$P4,"B",IF(O159&lt;='组合输入'!$Q4,"CCC","D")))))))</f>
        <v/>
      </c>
      <c r="Q159" s="12">
        <f>IF(P159="","",INDEX('状态价值'!$D4:$K4,MATCH(P159,'状态价值'!$D$1:$K$1,0)))</f>
        <v/>
      </c>
      <c r="R159" s="15">
        <f>NORM.S.INV(RAND())</f>
        <v/>
      </c>
      <c r="S159" s="15">
        <f>IF('组合输入'!$C5="","",'组合输入'!$H5*$B159+SQRT(1-'组合输入'!$H5^2)*R159)</f>
        <v/>
      </c>
      <c r="T159" s="7">
        <f>IF(S159="","",NORM.S.DIST(S159,TRUE))</f>
        <v/>
      </c>
      <c r="U159" s="13">
        <f>IF(T159="","",IF(T159&lt;='组合输入'!$K5,"AAA",IF(T159&lt;='组合输入'!$L5,"AA",IF(T159&lt;='组合输入'!$M5,"A",IF(T159&lt;='组合输入'!$N5,"BBB",IF(T159&lt;='组合输入'!$O5,"BB",IF(T159&lt;='组合输入'!$P5,"B",IF(T159&lt;='组合输入'!$Q5,"CCC","D")))))))</f>
        <v/>
      </c>
      <c r="V159" s="12">
        <f>IF(U159="","",INDEX('状态价值'!$D5:$K5,MATCH(U159,'状态价值'!$D$1:$K$1,0)))</f>
        <v/>
      </c>
      <c r="W159" s="15">
        <f>NORM.S.INV(RAND())</f>
        <v/>
      </c>
      <c r="X159" s="15">
        <f>IF('组合输入'!$C6="","",'组合输入'!$H6*$B159+SQRT(1-'组合输入'!$H6^2)*W159)</f>
        <v/>
      </c>
      <c r="Y159" s="7">
        <f>IF(X159="","",NORM.S.DIST(X159,TRUE))</f>
        <v/>
      </c>
      <c r="Z159" s="13">
        <f>IF(Y159="","",IF(Y159&lt;='组合输入'!$K6,"AAA",IF(Y159&lt;='组合输入'!$L6,"AA",IF(Y159&lt;='组合输入'!$M6,"A",IF(Y159&lt;='组合输入'!$N6,"BBB",IF(Y159&lt;='组合输入'!$O6,"BB",IF(Y159&lt;='组合输入'!$P6,"B",IF(Y159&lt;='组合输入'!$Q6,"CCC","D")))))))</f>
        <v/>
      </c>
      <c r="AA159" s="12">
        <f>IF(Z159="","",INDEX('状态价值'!$D6:$K6,MATCH(Z159,'状态价值'!$D$1:$K$1,0)))</f>
        <v/>
      </c>
      <c r="AB159" s="15">
        <f>NORM.S.INV(RAND())</f>
        <v/>
      </c>
      <c r="AC159" s="15">
        <f>IF('组合输入'!$C7="","",'组合输入'!$H7*$B159+SQRT(1-'组合输入'!$H7^2)*AB159)</f>
        <v/>
      </c>
      <c r="AD159" s="7">
        <f>IF(AC159="","",NORM.S.DIST(AC159,TRUE))</f>
        <v/>
      </c>
      <c r="AE159" s="13">
        <f>IF(AD159="","",IF(AD159&lt;='组合输入'!$K7,"AAA",IF(AD159&lt;='组合输入'!$L7,"AA",IF(AD159&lt;='组合输入'!$M7,"A",IF(AD159&lt;='组合输入'!$N7,"BBB",IF(AD159&lt;='组合输入'!$O7,"BB",IF(AD159&lt;='组合输入'!$P7,"B",IF(AD159&lt;='组合输入'!$Q7,"CCC","D")))))))</f>
        <v/>
      </c>
      <c r="AF159" s="12">
        <f>IF(AE159="","",INDEX('状态价值'!$D7:$K7,MATCH(AE159,'状态价值'!$D$1:$K$1,0)))</f>
        <v/>
      </c>
      <c r="AG159" s="15">
        <f>NORM.S.INV(RAND())</f>
        <v/>
      </c>
      <c r="AH159" s="15">
        <f>IF('组合输入'!$C8="","",'组合输入'!$H8*$B159+SQRT(1-'组合输入'!$H8^2)*AG159)</f>
        <v/>
      </c>
      <c r="AI159" s="7">
        <f>IF(AH159="","",NORM.S.DIST(AH159,TRUE))</f>
        <v/>
      </c>
      <c r="AJ159" s="13">
        <f>IF(AI159="","",IF(AI159&lt;='组合输入'!$K8,"AAA",IF(AI159&lt;='组合输入'!$L8,"AA",IF(AI159&lt;='组合输入'!$M8,"A",IF(AI159&lt;='组合输入'!$N8,"BBB",IF(AI159&lt;='组合输入'!$O8,"BB",IF(AI159&lt;='组合输入'!$P8,"B",IF(AI159&lt;='组合输入'!$Q8,"CCC","D")))))))</f>
        <v/>
      </c>
      <c r="AK159" s="12">
        <f>IF(AJ159="","",INDEX('状态价值'!$D8:$K8,MATCH(AJ159,'状态价值'!$D$1:$K$1,0)))</f>
        <v/>
      </c>
      <c r="AL159" s="15">
        <f>NORM.S.INV(RAND())</f>
        <v/>
      </c>
      <c r="AM159" s="15">
        <f>IF('组合输入'!$C9="","",'组合输入'!$H9*$B159+SQRT(1-'组合输入'!$H9^2)*AL159)</f>
        <v/>
      </c>
      <c r="AN159" s="7">
        <f>IF(AM159="","",NORM.S.DIST(AM159,TRUE))</f>
        <v/>
      </c>
      <c r="AO159" s="13">
        <f>IF(AN159="","",IF(AN159&lt;='组合输入'!$K9,"AAA",IF(AN159&lt;='组合输入'!$L9,"AA",IF(AN159&lt;='组合输入'!$M9,"A",IF(AN159&lt;='组合输入'!$N9,"BBB",IF(AN159&lt;='组合输入'!$O9,"BB",IF(AN159&lt;='组合输入'!$P9,"B",IF(AN159&lt;='组合输入'!$Q9,"CCC","D")))))))</f>
        <v/>
      </c>
      <c r="AP159" s="12">
        <f>IF(AO159="","",INDEX('状态价值'!$D9:$K9,MATCH(AO159,'状态价值'!$D$1:$K$1,0)))</f>
        <v/>
      </c>
      <c r="AQ159" s="15">
        <f>NORM.S.INV(RAND())</f>
        <v/>
      </c>
      <c r="AR159" s="15">
        <f>IF('组合输入'!$C10="","",'组合输入'!$H10*$B159+SQRT(1-'组合输入'!$H10^2)*AQ159)</f>
        <v/>
      </c>
      <c r="AS159" s="7">
        <f>IF(AR159="","",NORM.S.DIST(AR159,TRUE))</f>
        <v/>
      </c>
      <c r="AT159" s="13">
        <f>IF(AS159="","",IF(AS159&lt;='组合输入'!$K10,"AAA",IF(AS159&lt;='组合输入'!$L10,"AA",IF(AS159&lt;='组合输入'!$M10,"A",IF(AS159&lt;='组合输入'!$N10,"BBB",IF(AS159&lt;='组合输入'!$O10,"BB",IF(AS159&lt;='组合输入'!$P10,"B",IF(AS159&lt;='组合输入'!$Q10,"CCC","D")))))))</f>
        <v/>
      </c>
      <c r="AU159" s="12">
        <f>IF(AT159="","",INDEX('状态价值'!$D10:$K10,MATCH(AT159,'状态价值'!$D$1:$K$1,0)))</f>
        <v/>
      </c>
      <c r="AV159" s="15">
        <f>NORM.S.INV(RAND())</f>
        <v/>
      </c>
      <c r="AW159" s="15">
        <f>IF('组合输入'!$C11="","",'组合输入'!$H11*$B159+SQRT(1-'组合输入'!$H11^2)*AV159)</f>
        <v/>
      </c>
      <c r="AX159" s="7">
        <f>IF(AW159="","",NORM.S.DIST(AW159,TRUE))</f>
        <v/>
      </c>
      <c r="AY159" s="13">
        <f>IF(AX159="","",IF(AX159&lt;='组合输入'!$K11,"AAA",IF(AX159&lt;='组合输入'!$L11,"AA",IF(AX159&lt;='组合输入'!$M11,"A",IF(AX159&lt;='组合输入'!$N11,"BBB",IF(AX159&lt;='组合输入'!$O11,"BB",IF(AX159&lt;='组合输入'!$P11,"B",IF(AX159&lt;='组合输入'!$Q11,"CCC","D")))))))</f>
        <v/>
      </c>
      <c r="AZ159" s="12">
        <f>IF(AY159="","",INDEX('状态价值'!$D11:$K11,MATCH(AY159,'状态价值'!$D$1:$K$1,0)))</f>
        <v/>
      </c>
      <c r="BA159" s="12">
        <f>G159+L159+Q159+V159+AA159+AF159+AK159+AP159+AU159+AZ159</f>
        <v/>
      </c>
      <c r="BB159" s="12">
        <f>SUM('组合输入'!$J$2:$J$11)-BA159</f>
        <v/>
      </c>
    </row>
    <row r="160">
      <c r="A160" s="11" t="n">
        <v>159</v>
      </c>
      <c r="B160" s="14">
        <f>NORM.S.INV(RAND())</f>
        <v/>
      </c>
      <c r="C160" s="14">
        <f>NORM.S.INV(RAND())</f>
        <v/>
      </c>
      <c r="D160" s="15">
        <f>IF('组合输入'!$C2="","",'组合输入'!$H2*$B160+SQRT(1-'组合输入'!$H2^2)*C160)</f>
        <v/>
      </c>
      <c r="E160" s="7">
        <f>IF(D160="","",NORM.S.DIST(D160,TRUE))</f>
        <v/>
      </c>
      <c r="F160" s="13">
        <f>IF(E160="","",IF(E160&lt;='组合输入'!$K2,"AAA",IF(E160&lt;='组合输入'!$L2,"AA",IF(E160&lt;='组合输入'!$M2,"A",IF(E160&lt;='组合输入'!$N2,"BBB",IF(E160&lt;='组合输入'!$O2,"BB",IF(E160&lt;='组合输入'!$P2,"B",IF(E160&lt;='组合输入'!$Q2,"CCC","D")))))))</f>
        <v/>
      </c>
      <c r="G160" s="12">
        <f>IF(F160="","",INDEX('状态价值'!$D2:$K2,MATCH(F160,'状态价值'!$D$1:$K$1,0)))</f>
        <v/>
      </c>
      <c r="H160" s="15">
        <f>NORM.S.INV(RAND())</f>
        <v/>
      </c>
      <c r="I160" s="15">
        <f>IF('组合输入'!$C3="","",'组合输入'!$H3*$B160+SQRT(1-'组合输入'!$H3^2)*H160)</f>
        <v/>
      </c>
      <c r="J160" s="7">
        <f>IF(I160="","",NORM.S.DIST(I160,TRUE))</f>
        <v/>
      </c>
      <c r="K160" s="13">
        <f>IF(J160="","",IF(J160&lt;='组合输入'!$K3,"AAA",IF(J160&lt;='组合输入'!$L3,"AA",IF(J160&lt;='组合输入'!$M3,"A",IF(J160&lt;='组合输入'!$N3,"BBB",IF(J160&lt;='组合输入'!$O3,"BB",IF(J160&lt;='组合输入'!$P3,"B",IF(J160&lt;='组合输入'!$Q3,"CCC","D")))))))</f>
        <v/>
      </c>
      <c r="L160" s="12">
        <f>IF(K160="","",INDEX('状态价值'!$D3:$K3,MATCH(K160,'状态价值'!$D$1:$K$1,0)))</f>
        <v/>
      </c>
      <c r="M160" s="15">
        <f>NORM.S.INV(RAND())</f>
        <v/>
      </c>
      <c r="N160" s="15">
        <f>IF('组合输入'!$C4="","",'组合输入'!$H4*$B160+SQRT(1-'组合输入'!$H4^2)*M160)</f>
        <v/>
      </c>
      <c r="O160" s="7">
        <f>IF(N160="","",NORM.S.DIST(N160,TRUE))</f>
        <v/>
      </c>
      <c r="P160" s="13">
        <f>IF(O160="","",IF(O160&lt;='组合输入'!$K4,"AAA",IF(O160&lt;='组合输入'!$L4,"AA",IF(O160&lt;='组合输入'!$M4,"A",IF(O160&lt;='组合输入'!$N4,"BBB",IF(O160&lt;='组合输入'!$O4,"BB",IF(O160&lt;='组合输入'!$P4,"B",IF(O160&lt;='组合输入'!$Q4,"CCC","D")))))))</f>
        <v/>
      </c>
      <c r="Q160" s="12">
        <f>IF(P160="","",INDEX('状态价值'!$D4:$K4,MATCH(P160,'状态价值'!$D$1:$K$1,0)))</f>
        <v/>
      </c>
      <c r="R160" s="15">
        <f>NORM.S.INV(RAND())</f>
        <v/>
      </c>
      <c r="S160" s="15">
        <f>IF('组合输入'!$C5="","",'组合输入'!$H5*$B160+SQRT(1-'组合输入'!$H5^2)*R160)</f>
        <v/>
      </c>
      <c r="T160" s="7">
        <f>IF(S160="","",NORM.S.DIST(S160,TRUE))</f>
        <v/>
      </c>
      <c r="U160" s="13">
        <f>IF(T160="","",IF(T160&lt;='组合输入'!$K5,"AAA",IF(T160&lt;='组合输入'!$L5,"AA",IF(T160&lt;='组合输入'!$M5,"A",IF(T160&lt;='组合输入'!$N5,"BBB",IF(T160&lt;='组合输入'!$O5,"BB",IF(T160&lt;='组合输入'!$P5,"B",IF(T160&lt;='组合输入'!$Q5,"CCC","D")))))))</f>
        <v/>
      </c>
      <c r="V160" s="12">
        <f>IF(U160="","",INDEX('状态价值'!$D5:$K5,MATCH(U160,'状态价值'!$D$1:$K$1,0)))</f>
        <v/>
      </c>
      <c r="W160" s="15">
        <f>NORM.S.INV(RAND())</f>
        <v/>
      </c>
      <c r="X160" s="15">
        <f>IF('组合输入'!$C6="","",'组合输入'!$H6*$B160+SQRT(1-'组合输入'!$H6^2)*W160)</f>
        <v/>
      </c>
      <c r="Y160" s="7">
        <f>IF(X160="","",NORM.S.DIST(X160,TRUE))</f>
        <v/>
      </c>
      <c r="Z160" s="13">
        <f>IF(Y160="","",IF(Y160&lt;='组合输入'!$K6,"AAA",IF(Y160&lt;='组合输入'!$L6,"AA",IF(Y160&lt;='组合输入'!$M6,"A",IF(Y160&lt;='组合输入'!$N6,"BBB",IF(Y160&lt;='组合输入'!$O6,"BB",IF(Y160&lt;='组合输入'!$P6,"B",IF(Y160&lt;='组合输入'!$Q6,"CCC","D")))))))</f>
        <v/>
      </c>
      <c r="AA160" s="12">
        <f>IF(Z160="","",INDEX('状态价值'!$D6:$K6,MATCH(Z160,'状态价值'!$D$1:$K$1,0)))</f>
        <v/>
      </c>
      <c r="AB160" s="15">
        <f>NORM.S.INV(RAND())</f>
        <v/>
      </c>
      <c r="AC160" s="15">
        <f>IF('组合输入'!$C7="","",'组合输入'!$H7*$B160+SQRT(1-'组合输入'!$H7^2)*AB160)</f>
        <v/>
      </c>
      <c r="AD160" s="7">
        <f>IF(AC160="","",NORM.S.DIST(AC160,TRUE))</f>
        <v/>
      </c>
      <c r="AE160" s="13">
        <f>IF(AD160="","",IF(AD160&lt;='组合输入'!$K7,"AAA",IF(AD160&lt;='组合输入'!$L7,"AA",IF(AD160&lt;='组合输入'!$M7,"A",IF(AD160&lt;='组合输入'!$N7,"BBB",IF(AD160&lt;='组合输入'!$O7,"BB",IF(AD160&lt;='组合输入'!$P7,"B",IF(AD160&lt;='组合输入'!$Q7,"CCC","D")))))))</f>
        <v/>
      </c>
      <c r="AF160" s="12">
        <f>IF(AE160="","",INDEX('状态价值'!$D7:$K7,MATCH(AE160,'状态价值'!$D$1:$K$1,0)))</f>
        <v/>
      </c>
      <c r="AG160" s="15">
        <f>NORM.S.INV(RAND())</f>
        <v/>
      </c>
      <c r="AH160" s="15">
        <f>IF('组合输入'!$C8="","",'组合输入'!$H8*$B160+SQRT(1-'组合输入'!$H8^2)*AG160)</f>
        <v/>
      </c>
      <c r="AI160" s="7">
        <f>IF(AH160="","",NORM.S.DIST(AH160,TRUE))</f>
        <v/>
      </c>
      <c r="AJ160" s="13">
        <f>IF(AI160="","",IF(AI160&lt;='组合输入'!$K8,"AAA",IF(AI160&lt;='组合输入'!$L8,"AA",IF(AI160&lt;='组合输入'!$M8,"A",IF(AI160&lt;='组合输入'!$N8,"BBB",IF(AI160&lt;='组合输入'!$O8,"BB",IF(AI160&lt;='组合输入'!$P8,"B",IF(AI160&lt;='组合输入'!$Q8,"CCC","D")))))))</f>
        <v/>
      </c>
      <c r="AK160" s="12">
        <f>IF(AJ160="","",INDEX('状态价值'!$D8:$K8,MATCH(AJ160,'状态价值'!$D$1:$K$1,0)))</f>
        <v/>
      </c>
      <c r="AL160" s="15">
        <f>NORM.S.INV(RAND())</f>
        <v/>
      </c>
      <c r="AM160" s="15">
        <f>IF('组合输入'!$C9="","",'组合输入'!$H9*$B160+SQRT(1-'组合输入'!$H9^2)*AL160)</f>
        <v/>
      </c>
      <c r="AN160" s="7">
        <f>IF(AM160="","",NORM.S.DIST(AM160,TRUE))</f>
        <v/>
      </c>
      <c r="AO160" s="13">
        <f>IF(AN160="","",IF(AN160&lt;='组合输入'!$K9,"AAA",IF(AN160&lt;='组合输入'!$L9,"AA",IF(AN160&lt;='组合输入'!$M9,"A",IF(AN160&lt;='组合输入'!$N9,"BBB",IF(AN160&lt;='组合输入'!$O9,"BB",IF(AN160&lt;='组合输入'!$P9,"B",IF(AN160&lt;='组合输入'!$Q9,"CCC","D")))))))</f>
        <v/>
      </c>
      <c r="AP160" s="12">
        <f>IF(AO160="","",INDEX('状态价值'!$D9:$K9,MATCH(AO160,'状态价值'!$D$1:$K$1,0)))</f>
        <v/>
      </c>
      <c r="AQ160" s="15">
        <f>NORM.S.INV(RAND())</f>
        <v/>
      </c>
      <c r="AR160" s="15">
        <f>IF('组合输入'!$C10="","",'组合输入'!$H10*$B160+SQRT(1-'组合输入'!$H10^2)*AQ160)</f>
        <v/>
      </c>
      <c r="AS160" s="7">
        <f>IF(AR160="","",NORM.S.DIST(AR160,TRUE))</f>
        <v/>
      </c>
      <c r="AT160" s="13">
        <f>IF(AS160="","",IF(AS160&lt;='组合输入'!$K10,"AAA",IF(AS160&lt;='组合输入'!$L10,"AA",IF(AS160&lt;='组合输入'!$M10,"A",IF(AS160&lt;='组合输入'!$N10,"BBB",IF(AS160&lt;='组合输入'!$O10,"BB",IF(AS160&lt;='组合输入'!$P10,"B",IF(AS160&lt;='组合输入'!$Q10,"CCC","D")))))))</f>
        <v/>
      </c>
      <c r="AU160" s="12">
        <f>IF(AT160="","",INDEX('状态价值'!$D10:$K10,MATCH(AT160,'状态价值'!$D$1:$K$1,0)))</f>
        <v/>
      </c>
      <c r="AV160" s="15">
        <f>NORM.S.INV(RAND())</f>
        <v/>
      </c>
      <c r="AW160" s="15">
        <f>IF('组合输入'!$C11="","",'组合输入'!$H11*$B160+SQRT(1-'组合输入'!$H11^2)*AV160)</f>
        <v/>
      </c>
      <c r="AX160" s="7">
        <f>IF(AW160="","",NORM.S.DIST(AW160,TRUE))</f>
        <v/>
      </c>
      <c r="AY160" s="13">
        <f>IF(AX160="","",IF(AX160&lt;='组合输入'!$K11,"AAA",IF(AX160&lt;='组合输入'!$L11,"AA",IF(AX160&lt;='组合输入'!$M11,"A",IF(AX160&lt;='组合输入'!$N11,"BBB",IF(AX160&lt;='组合输入'!$O11,"BB",IF(AX160&lt;='组合输入'!$P11,"B",IF(AX160&lt;='组合输入'!$Q11,"CCC","D")))))))</f>
        <v/>
      </c>
      <c r="AZ160" s="12">
        <f>IF(AY160="","",INDEX('状态价值'!$D11:$K11,MATCH(AY160,'状态价值'!$D$1:$K$1,0)))</f>
        <v/>
      </c>
      <c r="BA160" s="12">
        <f>G160+L160+Q160+V160+AA160+AF160+AK160+AP160+AU160+AZ160</f>
        <v/>
      </c>
      <c r="BB160" s="12">
        <f>SUM('组合输入'!$J$2:$J$11)-BA160</f>
        <v/>
      </c>
    </row>
    <row r="161">
      <c r="A161" s="11" t="n">
        <v>160</v>
      </c>
      <c r="B161" s="14">
        <f>NORM.S.INV(RAND())</f>
        <v/>
      </c>
      <c r="C161" s="14">
        <f>NORM.S.INV(RAND())</f>
        <v/>
      </c>
      <c r="D161" s="15">
        <f>IF('组合输入'!$C2="","",'组合输入'!$H2*$B161+SQRT(1-'组合输入'!$H2^2)*C161)</f>
        <v/>
      </c>
      <c r="E161" s="7">
        <f>IF(D161="","",NORM.S.DIST(D161,TRUE))</f>
        <v/>
      </c>
      <c r="F161" s="13">
        <f>IF(E161="","",IF(E161&lt;='组合输入'!$K2,"AAA",IF(E161&lt;='组合输入'!$L2,"AA",IF(E161&lt;='组合输入'!$M2,"A",IF(E161&lt;='组合输入'!$N2,"BBB",IF(E161&lt;='组合输入'!$O2,"BB",IF(E161&lt;='组合输入'!$P2,"B",IF(E161&lt;='组合输入'!$Q2,"CCC","D")))))))</f>
        <v/>
      </c>
      <c r="G161" s="12">
        <f>IF(F161="","",INDEX('状态价值'!$D2:$K2,MATCH(F161,'状态价值'!$D$1:$K$1,0)))</f>
        <v/>
      </c>
      <c r="H161" s="15">
        <f>NORM.S.INV(RAND())</f>
        <v/>
      </c>
      <c r="I161" s="15">
        <f>IF('组合输入'!$C3="","",'组合输入'!$H3*$B161+SQRT(1-'组合输入'!$H3^2)*H161)</f>
        <v/>
      </c>
      <c r="J161" s="7">
        <f>IF(I161="","",NORM.S.DIST(I161,TRUE))</f>
        <v/>
      </c>
      <c r="K161" s="13">
        <f>IF(J161="","",IF(J161&lt;='组合输入'!$K3,"AAA",IF(J161&lt;='组合输入'!$L3,"AA",IF(J161&lt;='组合输入'!$M3,"A",IF(J161&lt;='组合输入'!$N3,"BBB",IF(J161&lt;='组合输入'!$O3,"BB",IF(J161&lt;='组合输入'!$P3,"B",IF(J161&lt;='组合输入'!$Q3,"CCC","D")))))))</f>
        <v/>
      </c>
      <c r="L161" s="12">
        <f>IF(K161="","",INDEX('状态价值'!$D3:$K3,MATCH(K161,'状态价值'!$D$1:$K$1,0)))</f>
        <v/>
      </c>
      <c r="M161" s="15">
        <f>NORM.S.INV(RAND())</f>
        <v/>
      </c>
      <c r="N161" s="15">
        <f>IF('组合输入'!$C4="","",'组合输入'!$H4*$B161+SQRT(1-'组合输入'!$H4^2)*M161)</f>
        <v/>
      </c>
      <c r="O161" s="7">
        <f>IF(N161="","",NORM.S.DIST(N161,TRUE))</f>
        <v/>
      </c>
      <c r="P161" s="13">
        <f>IF(O161="","",IF(O161&lt;='组合输入'!$K4,"AAA",IF(O161&lt;='组合输入'!$L4,"AA",IF(O161&lt;='组合输入'!$M4,"A",IF(O161&lt;='组合输入'!$N4,"BBB",IF(O161&lt;='组合输入'!$O4,"BB",IF(O161&lt;='组合输入'!$P4,"B",IF(O161&lt;='组合输入'!$Q4,"CCC","D")))))))</f>
        <v/>
      </c>
      <c r="Q161" s="12">
        <f>IF(P161="","",INDEX('状态价值'!$D4:$K4,MATCH(P161,'状态价值'!$D$1:$K$1,0)))</f>
        <v/>
      </c>
      <c r="R161" s="15">
        <f>NORM.S.INV(RAND())</f>
        <v/>
      </c>
      <c r="S161" s="15">
        <f>IF('组合输入'!$C5="","",'组合输入'!$H5*$B161+SQRT(1-'组合输入'!$H5^2)*R161)</f>
        <v/>
      </c>
      <c r="T161" s="7">
        <f>IF(S161="","",NORM.S.DIST(S161,TRUE))</f>
        <v/>
      </c>
      <c r="U161" s="13">
        <f>IF(T161="","",IF(T161&lt;='组合输入'!$K5,"AAA",IF(T161&lt;='组合输入'!$L5,"AA",IF(T161&lt;='组合输入'!$M5,"A",IF(T161&lt;='组合输入'!$N5,"BBB",IF(T161&lt;='组合输入'!$O5,"BB",IF(T161&lt;='组合输入'!$P5,"B",IF(T161&lt;='组合输入'!$Q5,"CCC","D")))))))</f>
        <v/>
      </c>
      <c r="V161" s="12">
        <f>IF(U161="","",INDEX('状态价值'!$D5:$K5,MATCH(U161,'状态价值'!$D$1:$K$1,0)))</f>
        <v/>
      </c>
      <c r="W161" s="15">
        <f>NORM.S.INV(RAND())</f>
        <v/>
      </c>
      <c r="X161" s="15">
        <f>IF('组合输入'!$C6="","",'组合输入'!$H6*$B161+SQRT(1-'组合输入'!$H6^2)*W161)</f>
        <v/>
      </c>
      <c r="Y161" s="7">
        <f>IF(X161="","",NORM.S.DIST(X161,TRUE))</f>
        <v/>
      </c>
      <c r="Z161" s="13">
        <f>IF(Y161="","",IF(Y161&lt;='组合输入'!$K6,"AAA",IF(Y161&lt;='组合输入'!$L6,"AA",IF(Y161&lt;='组合输入'!$M6,"A",IF(Y161&lt;='组合输入'!$N6,"BBB",IF(Y161&lt;='组合输入'!$O6,"BB",IF(Y161&lt;='组合输入'!$P6,"B",IF(Y161&lt;='组合输入'!$Q6,"CCC","D")))))))</f>
        <v/>
      </c>
      <c r="AA161" s="12">
        <f>IF(Z161="","",INDEX('状态价值'!$D6:$K6,MATCH(Z161,'状态价值'!$D$1:$K$1,0)))</f>
        <v/>
      </c>
      <c r="AB161" s="15">
        <f>NORM.S.INV(RAND())</f>
        <v/>
      </c>
      <c r="AC161" s="15">
        <f>IF('组合输入'!$C7="","",'组合输入'!$H7*$B161+SQRT(1-'组合输入'!$H7^2)*AB161)</f>
        <v/>
      </c>
      <c r="AD161" s="7">
        <f>IF(AC161="","",NORM.S.DIST(AC161,TRUE))</f>
        <v/>
      </c>
      <c r="AE161" s="13">
        <f>IF(AD161="","",IF(AD161&lt;='组合输入'!$K7,"AAA",IF(AD161&lt;='组合输入'!$L7,"AA",IF(AD161&lt;='组合输入'!$M7,"A",IF(AD161&lt;='组合输入'!$N7,"BBB",IF(AD161&lt;='组合输入'!$O7,"BB",IF(AD161&lt;='组合输入'!$P7,"B",IF(AD161&lt;='组合输入'!$Q7,"CCC","D")))))))</f>
        <v/>
      </c>
      <c r="AF161" s="12">
        <f>IF(AE161="","",INDEX('状态价值'!$D7:$K7,MATCH(AE161,'状态价值'!$D$1:$K$1,0)))</f>
        <v/>
      </c>
      <c r="AG161" s="15">
        <f>NORM.S.INV(RAND())</f>
        <v/>
      </c>
      <c r="AH161" s="15">
        <f>IF('组合输入'!$C8="","",'组合输入'!$H8*$B161+SQRT(1-'组合输入'!$H8^2)*AG161)</f>
        <v/>
      </c>
      <c r="AI161" s="7">
        <f>IF(AH161="","",NORM.S.DIST(AH161,TRUE))</f>
        <v/>
      </c>
      <c r="AJ161" s="13">
        <f>IF(AI161="","",IF(AI161&lt;='组合输入'!$K8,"AAA",IF(AI161&lt;='组合输入'!$L8,"AA",IF(AI161&lt;='组合输入'!$M8,"A",IF(AI161&lt;='组合输入'!$N8,"BBB",IF(AI161&lt;='组合输入'!$O8,"BB",IF(AI161&lt;='组合输入'!$P8,"B",IF(AI161&lt;='组合输入'!$Q8,"CCC","D")))))))</f>
        <v/>
      </c>
      <c r="AK161" s="12">
        <f>IF(AJ161="","",INDEX('状态价值'!$D8:$K8,MATCH(AJ161,'状态价值'!$D$1:$K$1,0)))</f>
        <v/>
      </c>
      <c r="AL161" s="15">
        <f>NORM.S.INV(RAND())</f>
        <v/>
      </c>
      <c r="AM161" s="15">
        <f>IF('组合输入'!$C9="","",'组合输入'!$H9*$B161+SQRT(1-'组合输入'!$H9^2)*AL161)</f>
        <v/>
      </c>
      <c r="AN161" s="7">
        <f>IF(AM161="","",NORM.S.DIST(AM161,TRUE))</f>
        <v/>
      </c>
      <c r="AO161" s="13">
        <f>IF(AN161="","",IF(AN161&lt;='组合输入'!$K9,"AAA",IF(AN161&lt;='组合输入'!$L9,"AA",IF(AN161&lt;='组合输入'!$M9,"A",IF(AN161&lt;='组合输入'!$N9,"BBB",IF(AN161&lt;='组合输入'!$O9,"BB",IF(AN161&lt;='组合输入'!$P9,"B",IF(AN161&lt;='组合输入'!$Q9,"CCC","D")))))))</f>
        <v/>
      </c>
      <c r="AP161" s="12">
        <f>IF(AO161="","",INDEX('状态价值'!$D9:$K9,MATCH(AO161,'状态价值'!$D$1:$K$1,0)))</f>
        <v/>
      </c>
      <c r="AQ161" s="15">
        <f>NORM.S.INV(RAND())</f>
        <v/>
      </c>
      <c r="AR161" s="15">
        <f>IF('组合输入'!$C10="","",'组合输入'!$H10*$B161+SQRT(1-'组合输入'!$H10^2)*AQ161)</f>
        <v/>
      </c>
      <c r="AS161" s="7">
        <f>IF(AR161="","",NORM.S.DIST(AR161,TRUE))</f>
        <v/>
      </c>
      <c r="AT161" s="13">
        <f>IF(AS161="","",IF(AS161&lt;='组合输入'!$K10,"AAA",IF(AS161&lt;='组合输入'!$L10,"AA",IF(AS161&lt;='组合输入'!$M10,"A",IF(AS161&lt;='组合输入'!$N10,"BBB",IF(AS161&lt;='组合输入'!$O10,"BB",IF(AS161&lt;='组合输入'!$P10,"B",IF(AS161&lt;='组合输入'!$Q10,"CCC","D")))))))</f>
        <v/>
      </c>
      <c r="AU161" s="12">
        <f>IF(AT161="","",INDEX('状态价值'!$D10:$K10,MATCH(AT161,'状态价值'!$D$1:$K$1,0)))</f>
        <v/>
      </c>
      <c r="AV161" s="15">
        <f>NORM.S.INV(RAND())</f>
        <v/>
      </c>
      <c r="AW161" s="15">
        <f>IF('组合输入'!$C11="","",'组合输入'!$H11*$B161+SQRT(1-'组合输入'!$H11^2)*AV161)</f>
        <v/>
      </c>
      <c r="AX161" s="7">
        <f>IF(AW161="","",NORM.S.DIST(AW161,TRUE))</f>
        <v/>
      </c>
      <c r="AY161" s="13">
        <f>IF(AX161="","",IF(AX161&lt;='组合输入'!$K11,"AAA",IF(AX161&lt;='组合输入'!$L11,"AA",IF(AX161&lt;='组合输入'!$M11,"A",IF(AX161&lt;='组合输入'!$N11,"BBB",IF(AX161&lt;='组合输入'!$O11,"BB",IF(AX161&lt;='组合输入'!$P11,"B",IF(AX161&lt;='组合输入'!$Q11,"CCC","D")))))))</f>
        <v/>
      </c>
      <c r="AZ161" s="12">
        <f>IF(AY161="","",INDEX('状态价值'!$D11:$K11,MATCH(AY161,'状态价值'!$D$1:$K$1,0)))</f>
        <v/>
      </c>
      <c r="BA161" s="12">
        <f>G161+L161+Q161+V161+AA161+AF161+AK161+AP161+AU161+AZ161</f>
        <v/>
      </c>
      <c r="BB161" s="12">
        <f>SUM('组合输入'!$J$2:$J$11)-BA161</f>
        <v/>
      </c>
    </row>
    <row r="162">
      <c r="A162" s="11" t="n">
        <v>161</v>
      </c>
      <c r="B162" s="14">
        <f>NORM.S.INV(RAND())</f>
        <v/>
      </c>
      <c r="C162" s="14">
        <f>NORM.S.INV(RAND())</f>
        <v/>
      </c>
      <c r="D162" s="15">
        <f>IF('组合输入'!$C2="","",'组合输入'!$H2*$B162+SQRT(1-'组合输入'!$H2^2)*C162)</f>
        <v/>
      </c>
      <c r="E162" s="7">
        <f>IF(D162="","",NORM.S.DIST(D162,TRUE))</f>
        <v/>
      </c>
      <c r="F162" s="13">
        <f>IF(E162="","",IF(E162&lt;='组合输入'!$K2,"AAA",IF(E162&lt;='组合输入'!$L2,"AA",IF(E162&lt;='组合输入'!$M2,"A",IF(E162&lt;='组合输入'!$N2,"BBB",IF(E162&lt;='组合输入'!$O2,"BB",IF(E162&lt;='组合输入'!$P2,"B",IF(E162&lt;='组合输入'!$Q2,"CCC","D")))))))</f>
        <v/>
      </c>
      <c r="G162" s="12">
        <f>IF(F162="","",INDEX('状态价值'!$D2:$K2,MATCH(F162,'状态价值'!$D$1:$K$1,0)))</f>
        <v/>
      </c>
      <c r="H162" s="15">
        <f>NORM.S.INV(RAND())</f>
        <v/>
      </c>
      <c r="I162" s="15">
        <f>IF('组合输入'!$C3="","",'组合输入'!$H3*$B162+SQRT(1-'组合输入'!$H3^2)*H162)</f>
        <v/>
      </c>
      <c r="J162" s="7">
        <f>IF(I162="","",NORM.S.DIST(I162,TRUE))</f>
        <v/>
      </c>
      <c r="K162" s="13">
        <f>IF(J162="","",IF(J162&lt;='组合输入'!$K3,"AAA",IF(J162&lt;='组合输入'!$L3,"AA",IF(J162&lt;='组合输入'!$M3,"A",IF(J162&lt;='组合输入'!$N3,"BBB",IF(J162&lt;='组合输入'!$O3,"BB",IF(J162&lt;='组合输入'!$P3,"B",IF(J162&lt;='组合输入'!$Q3,"CCC","D")))))))</f>
        <v/>
      </c>
      <c r="L162" s="12">
        <f>IF(K162="","",INDEX('状态价值'!$D3:$K3,MATCH(K162,'状态价值'!$D$1:$K$1,0)))</f>
        <v/>
      </c>
      <c r="M162" s="15">
        <f>NORM.S.INV(RAND())</f>
        <v/>
      </c>
      <c r="N162" s="15">
        <f>IF('组合输入'!$C4="","",'组合输入'!$H4*$B162+SQRT(1-'组合输入'!$H4^2)*M162)</f>
        <v/>
      </c>
      <c r="O162" s="7">
        <f>IF(N162="","",NORM.S.DIST(N162,TRUE))</f>
        <v/>
      </c>
      <c r="P162" s="13">
        <f>IF(O162="","",IF(O162&lt;='组合输入'!$K4,"AAA",IF(O162&lt;='组合输入'!$L4,"AA",IF(O162&lt;='组合输入'!$M4,"A",IF(O162&lt;='组合输入'!$N4,"BBB",IF(O162&lt;='组合输入'!$O4,"BB",IF(O162&lt;='组合输入'!$P4,"B",IF(O162&lt;='组合输入'!$Q4,"CCC","D")))))))</f>
        <v/>
      </c>
      <c r="Q162" s="12">
        <f>IF(P162="","",INDEX('状态价值'!$D4:$K4,MATCH(P162,'状态价值'!$D$1:$K$1,0)))</f>
        <v/>
      </c>
      <c r="R162" s="15">
        <f>NORM.S.INV(RAND())</f>
        <v/>
      </c>
      <c r="S162" s="15">
        <f>IF('组合输入'!$C5="","",'组合输入'!$H5*$B162+SQRT(1-'组合输入'!$H5^2)*R162)</f>
        <v/>
      </c>
      <c r="T162" s="7">
        <f>IF(S162="","",NORM.S.DIST(S162,TRUE))</f>
        <v/>
      </c>
      <c r="U162" s="13">
        <f>IF(T162="","",IF(T162&lt;='组合输入'!$K5,"AAA",IF(T162&lt;='组合输入'!$L5,"AA",IF(T162&lt;='组合输入'!$M5,"A",IF(T162&lt;='组合输入'!$N5,"BBB",IF(T162&lt;='组合输入'!$O5,"BB",IF(T162&lt;='组合输入'!$P5,"B",IF(T162&lt;='组合输入'!$Q5,"CCC","D")))))))</f>
        <v/>
      </c>
      <c r="V162" s="12">
        <f>IF(U162="","",INDEX('状态价值'!$D5:$K5,MATCH(U162,'状态价值'!$D$1:$K$1,0)))</f>
        <v/>
      </c>
      <c r="W162" s="15">
        <f>NORM.S.INV(RAND())</f>
        <v/>
      </c>
      <c r="X162" s="15">
        <f>IF('组合输入'!$C6="","",'组合输入'!$H6*$B162+SQRT(1-'组合输入'!$H6^2)*W162)</f>
        <v/>
      </c>
      <c r="Y162" s="7">
        <f>IF(X162="","",NORM.S.DIST(X162,TRUE))</f>
        <v/>
      </c>
      <c r="Z162" s="13">
        <f>IF(Y162="","",IF(Y162&lt;='组合输入'!$K6,"AAA",IF(Y162&lt;='组合输入'!$L6,"AA",IF(Y162&lt;='组合输入'!$M6,"A",IF(Y162&lt;='组合输入'!$N6,"BBB",IF(Y162&lt;='组合输入'!$O6,"BB",IF(Y162&lt;='组合输入'!$P6,"B",IF(Y162&lt;='组合输入'!$Q6,"CCC","D")))))))</f>
        <v/>
      </c>
      <c r="AA162" s="12">
        <f>IF(Z162="","",INDEX('状态价值'!$D6:$K6,MATCH(Z162,'状态价值'!$D$1:$K$1,0)))</f>
        <v/>
      </c>
      <c r="AB162" s="15">
        <f>NORM.S.INV(RAND())</f>
        <v/>
      </c>
      <c r="AC162" s="15">
        <f>IF('组合输入'!$C7="","",'组合输入'!$H7*$B162+SQRT(1-'组合输入'!$H7^2)*AB162)</f>
        <v/>
      </c>
      <c r="AD162" s="7">
        <f>IF(AC162="","",NORM.S.DIST(AC162,TRUE))</f>
        <v/>
      </c>
      <c r="AE162" s="13">
        <f>IF(AD162="","",IF(AD162&lt;='组合输入'!$K7,"AAA",IF(AD162&lt;='组合输入'!$L7,"AA",IF(AD162&lt;='组合输入'!$M7,"A",IF(AD162&lt;='组合输入'!$N7,"BBB",IF(AD162&lt;='组合输入'!$O7,"BB",IF(AD162&lt;='组合输入'!$P7,"B",IF(AD162&lt;='组合输入'!$Q7,"CCC","D")))))))</f>
        <v/>
      </c>
      <c r="AF162" s="12">
        <f>IF(AE162="","",INDEX('状态价值'!$D7:$K7,MATCH(AE162,'状态价值'!$D$1:$K$1,0)))</f>
        <v/>
      </c>
      <c r="AG162" s="15">
        <f>NORM.S.INV(RAND())</f>
        <v/>
      </c>
      <c r="AH162" s="15">
        <f>IF('组合输入'!$C8="","",'组合输入'!$H8*$B162+SQRT(1-'组合输入'!$H8^2)*AG162)</f>
        <v/>
      </c>
      <c r="AI162" s="7">
        <f>IF(AH162="","",NORM.S.DIST(AH162,TRUE))</f>
        <v/>
      </c>
      <c r="AJ162" s="13">
        <f>IF(AI162="","",IF(AI162&lt;='组合输入'!$K8,"AAA",IF(AI162&lt;='组合输入'!$L8,"AA",IF(AI162&lt;='组合输入'!$M8,"A",IF(AI162&lt;='组合输入'!$N8,"BBB",IF(AI162&lt;='组合输入'!$O8,"BB",IF(AI162&lt;='组合输入'!$P8,"B",IF(AI162&lt;='组合输入'!$Q8,"CCC","D")))))))</f>
        <v/>
      </c>
      <c r="AK162" s="12">
        <f>IF(AJ162="","",INDEX('状态价值'!$D8:$K8,MATCH(AJ162,'状态价值'!$D$1:$K$1,0)))</f>
        <v/>
      </c>
      <c r="AL162" s="15">
        <f>NORM.S.INV(RAND())</f>
        <v/>
      </c>
      <c r="AM162" s="15">
        <f>IF('组合输入'!$C9="","",'组合输入'!$H9*$B162+SQRT(1-'组合输入'!$H9^2)*AL162)</f>
        <v/>
      </c>
      <c r="AN162" s="7">
        <f>IF(AM162="","",NORM.S.DIST(AM162,TRUE))</f>
        <v/>
      </c>
      <c r="AO162" s="13">
        <f>IF(AN162="","",IF(AN162&lt;='组合输入'!$K9,"AAA",IF(AN162&lt;='组合输入'!$L9,"AA",IF(AN162&lt;='组合输入'!$M9,"A",IF(AN162&lt;='组合输入'!$N9,"BBB",IF(AN162&lt;='组合输入'!$O9,"BB",IF(AN162&lt;='组合输入'!$P9,"B",IF(AN162&lt;='组合输入'!$Q9,"CCC","D")))))))</f>
        <v/>
      </c>
      <c r="AP162" s="12">
        <f>IF(AO162="","",INDEX('状态价值'!$D9:$K9,MATCH(AO162,'状态价值'!$D$1:$K$1,0)))</f>
        <v/>
      </c>
      <c r="AQ162" s="15">
        <f>NORM.S.INV(RAND())</f>
        <v/>
      </c>
      <c r="AR162" s="15">
        <f>IF('组合输入'!$C10="","",'组合输入'!$H10*$B162+SQRT(1-'组合输入'!$H10^2)*AQ162)</f>
        <v/>
      </c>
      <c r="AS162" s="7">
        <f>IF(AR162="","",NORM.S.DIST(AR162,TRUE))</f>
        <v/>
      </c>
      <c r="AT162" s="13">
        <f>IF(AS162="","",IF(AS162&lt;='组合输入'!$K10,"AAA",IF(AS162&lt;='组合输入'!$L10,"AA",IF(AS162&lt;='组合输入'!$M10,"A",IF(AS162&lt;='组合输入'!$N10,"BBB",IF(AS162&lt;='组合输入'!$O10,"BB",IF(AS162&lt;='组合输入'!$P10,"B",IF(AS162&lt;='组合输入'!$Q10,"CCC","D")))))))</f>
        <v/>
      </c>
      <c r="AU162" s="12">
        <f>IF(AT162="","",INDEX('状态价值'!$D10:$K10,MATCH(AT162,'状态价值'!$D$1:$K$1,0)))</f>
        <v/>
      </c>
      <c r="AV162" s="15">
        <f>NORM.S.INV(RAND())</f>
        <v/>
      </c>
      <c r="AW162" s="15">
        <f>IF('组合输入'!$C11="","",'组合输入'!$H11*$B162+SQRT(1-'组合输入'!$H11^2)*AV162)</f>
        <v/>
      </c>
      <c r="AX162" s="7">
        <f>IF(AW162="","",NORM.S.DIST(AW162,TRUE))</f>
        <v/>
      </c>
      <c r="AY162" s="13">
        <f>IF(AX162="","",IF(AX162&lt;='组合输入'!$K11,"AAA",IF(AX162&lt;='组合输入'!$L11,"AA",IF(AX162&lt;='组合输入'!$M11,"A",IF(AX162&lt;='组合输入'!$N11,"BBB",IF(AX162&lt;='组合输入'!$O11,"BB",IF(AX162&lt;='组合输入'!$P11,"B",IF(AX162&lt;='组合输入'!$Q11,"CCC","D")))))))</f>
        <v/>
      </c>
      <c r="AZ162" s="12">
        <f>IF(AY162="","",INDEX('状态价值'!$D11:$K11,MATCH(AY162,'状态价值'!$D$1:$K$1,0)))</f>
        <v/>
      </c>
      <c r="BA162" s="12">
        <f>G162+L162+Q162+V162+AA162+AF162+AK162+AP162+AU162+AZ162</f>
        <v/>
      </c>
      <c r="BB162" s="12">
        <f>SUM('组合输入'!$J$2:$J$11)-BA162</f>
        <v/>
      </c>
    </row>
    <row r="163">
      <c r="A163" s="11" t="n">
        <v>162</v>
      </c>
      <c r="B163" s="14">
        <f>NORM.S.INV(RAND())</f>
        <v/>
      </c>
      <c r="C163" s="14">
        <f>NORM.S.INV(RAND())</f>
        <v/>
      </c>
      <c r="D163" s="15">
        <f>IF('组合输入'!$C2="","",'组合输入'!$H2*$B163+SQRT(1-'组合输入'!$H2^2)*C163)</f>
        <v/>
      </c>
      <c r="E163" s="7">
        <f>IF(D163="","",NORM.S.DIST(D163,TRUE))</f>
        <v/>
      </c>
      <c r="F163" s="13">
        <f>IF(E163="","",IF(E163&lt;='组合输入'!$K2,"AAA",IF(E163&lt;='组合输入'!$L2,"AA",IF(E163&lt;='组合输入'!$M2,"A",IF(E163&lt;='组合输入'!$N2,"BBB",IF(E163&lt;='组合输入'!$O2,"BB",IF(E163&lt;='组合输入'!$P2,"B",IF(E163&lt;='组合输入'!$Q2,"CCC","D")))))))</f>
        <v/>
      </c>
      <c r="G163" s="12">
        <f>IF(F163="","",INDEX('状态价值'!$D2:$K2,MATCH(F163,'状态价值'!$D$1:$K$1,0)))</f>
        <v/>
      </c>
      <c r="H163" s="15">
        <f>NORM.S.INV(RAND())</f>
        <v/>
      </c>
      <c r="I163" s="15">
        <f>IF('组合输入'!$C3="","",'组合输入'!$H3*$B163+SQRT(1-'组合输入'!$H3^2)*H163)</f>
        <v/>
      </c>
      <c r="J163" s="7">
        <f>IF(I163="","",NORM.S.DIST(I163,TRUE))</f>
        <v/>
      </c>
      <c r="K163" s="13">
        <f>IF(J163="","",IF(J163&lt;='组合输入'!$K3,"AAA",IF(J163&lt;='组合输入'!$L3,"AA",IF(J163&lt;='组合输入'!$M3,"A",IF(J163&lt;='组合输入'!$N3,"BBB",IF(J163&lt;='组合输入'!$O3,"BB",IF(J163&lt;='组合输入'!$P3,"B",IF(J163&lt;='组合输入'!$Q3,"CCC","D")))))))</f>
        <v/>
      </c>
      <c r="L163" s="12">
        <f>IF(K163="","",INDEX('状态价值'!$D3:$K3,MATCH(K163,'状态价值'!$D$1:$K$1,0)))</f>
        <v/>
      </c>
      <c r="M163" s="15">
        <f>NORM.S.INV(RAND())</f>
        <v/>
      </c>
      <c r="N163" s="15">
        <f>IF('组合输入'!$C4="","",'组合输入'!$H4*$B163+SQRT(1-'组合输入'!$H4^2)*M163)</f>
        <v/>
      </c>
      <c r="O163" s="7">
        <f>IF(N163="","",NORM.S.DIST(N163,TRUE))</f>
        <v/>
      </c>
      <c r="P163" s="13">
        <f>IF(O163="","",IF(O163&lt;='组合输入'!$K4,"AAA",IF(O163&lt;='组合输入'!$L4,"AA",IF(O163&lt;='组合输入'!$M4,"A",IF(O163&lt;='组合输入'!$N4,"BBB",IF(O163&lt;='组合输入'!$O4,"BB",IF(O163&lt;='组合输入'!$P4,"B",IF(O163&lt;='组合输入'!$Q4,"CCC","D")))))))</f>
        <v/>
      </c>
      <c r="Q163" s="12">
        <f>IF(P163="","",INDEX('状态价值'!$D4:$K4,MATCH(P163,'状态价值'!$D$1:$K$1,0)))</f>
        <v/>
      </c>
      <c r="R163" s="15">
        <f>NORM.S.INV(RAND())</f>
        <v/>
      </c>
      <c r="S163" s="15">
        <f>IF('组合输入'!$C5="","",'组合输入'!$H5*$B163+SQRT(1-'组合输入'!$H5^2)*R163)</f>
        <v/>
      </c>
      <c r="T163" s="7">
        <f>IF(S163="","",NORM.S.DIST(S163,TRUE))</f>
        <v/>
      </c>
      <c r="U163" s="13">
        <f>IF(T163="","",IF(T163&lt;='组合输入'!$K5,"AAA",IF(T163&lt;='组合输入'!$L5,"AA",IF(T163&lt;='组合输入'!$M5,"A",IF(T163&lt;='组合输入'!$N5,"BBB",IF(T163&lt;='组合输入'!$O5,"BB",IF(T163&lt;='组合输入'!$P5,"B",IF(T163&lt;='组合输入'!$Q5,"CCC","D")))))))</f>
        <v/>
      </c>
      <c r="V163" s="12">
        <f>IF(U163="","",INDEX('状态价值'!$D5:$K5,MATCH(U163,'状态价值'!$D$1:$K$1,0)))</f>
        <v/>
      </c>
      <c r="W163" s="15">
        <f>NORM.S.INV(RAND())</f>
        <v/>
      </c>
      <c r="X163" s="15">
        <f>IF('组合输入'!$C6="","",'组合输入'!$H6*$B163+SQRT(1-'组合输入'!$H6^2)*W163)</f>
        <v/>
      </c>
      <c r="Y163" s="7">
        <f>IF(X163="","",NORM.S.DIST(X163,TRUE))</f>
        <v/>
      </c>
      <c r="Z163" s="13">
        <f>IF(Y163="","",IF(Y163&lt;='组合输入'!$K6,"AAA",IF(Y163&lt;='组合输入'!$L6,"AA",IF(Y163&lt;='组合输入'!$M6,"A",IF(Y163&lt;='组合输入'!$N6,"BBB",IF(Y163&lt;='组合输入'!$O6,"BB",IF(Y163&lt;='组合输入'!$P6,"B",IF(Y163&lt;='组合输入'!$Q6,"CCC","D")))))))</f>
        <v/>
      </c>
      <c r="AA163" s="12">
        <f>IF(Z163="","",INDEX('状态价值'!$D6:$K6,MATCH(Z163,'状态价值'!$D$1:$K$1,0)))</f>
        <v/>
      </c>
      <c r="AB163" s="15">
        <f>NORM.S.INV(RAND())</f>
        <v/>
      </c>
      <c r="AC163" s="15">
        <f>IF('组合输入'!$C7="","",'组合输入'!$H7*$B163+SQRT(1-'组合输入'!$H7^2)*AB163)</f>
        <v/>
      </c>
      <c r="AD163" s="7">
        <f>IF(AC163="","",NORM.S.DIST(AC163,TRUE))</f>
        <v/>
      </c>
      <c r="AE163" s="13">
        <f>IF(AD163="","",IF(AD163&lt;='组合输入'!$K7,"AAA",IF(AD163&lt;='组合输入'!$L7,"AA",IF(AD163&lt;='组合输入'!$M7,"A",IF(AD163&lt;='组合输入'!$N7,"BBB",IF(AD163&lt;='组合输入'!$O7,"BB",IF(AD163&lt;='组合输入'!$P7,"B",IF(AD163&lt;='组合输入'!$Q7,"CCC","D")))))))</f>
        <v/>
      </c>
      <c r="AF163" s="12">
        <f>IF(AE163="","",INDEX('状态价值'!$D7:$K7,MATCH(AE163,'状态价值'!$D$1:$K$1,0)))</f>
        <v/>
      </c>
      <c r="AG163" s="15">
        <f>NORM.S.INV(RAND())</f>
        <v/>
      </c>
      <c r="AH163" s="15">
        <f>IF('组合输入'!$C8="","",'组合输入'!$H8*$B163+SQRT(1-'组合输入'!$H8^2)*AG163)</f>
        <v/>
      </c>
      <c r="AI163" s="7">
        <f>IF(AH163="","",NORM.S.DIST(AH163,TRUE))</f>
        <v/>
      </c>
      <c r="AJ163" s="13">
        <f>IF(AI163="","",IF(AI163&lt;='组合输入'!$K8,"AAA",IF(AI163&lt;='组合输入'!$L8,"AA",IF(AI163&lt;='组合输入'!$M8,"A",IF(AI163&lt;='组合输入'!$N8,"BBB",IF(AI163&lt;='组合输入'!$O8,"BB",IF(AI163&lt;='组合输入'!$P8,"B",IF(AI163&lt;='组合输入'!$Q8,"CCC","D")))))))</f>
        <v/>
      </c>
      <c r="AK163" s="12">
        <f>IF(AJ163="","",INDEX('状态价值'!$D8:$K8,MATCH(AJ163,'状态价值'!$D$1:$K$1,0)))</f>
        <v/>
      </c>
      <c r="AL163" s="15">
        <f>NORM.S.INV(RAND())</f>
        <v/>
      </c>
      <c r="AM163" s="15">
        <f>IF('组合输入'!$C9="","",'组合输入'!$H9*$B163+SQRT(1-'组合输入'!$H9^2)*AL163)</f>
        <v/>
      </c>
      <c r="AN163" s="7">
        <f>IF(AM163="","",NORM.S.DIST(AM163,TRUE))</f>
        <v/>
      </c>
      <c r="AO163" s="13">
        <f>IF(AN163="","",IF(AN163&lt;='组合输入'!$K9,"AAA",IF(AN163&lt;='组合输入'!$L9,"AA",IF(AN163&lt;='组合输入'!$M9,"A",IF(AN163&lt;='组合输入'!$N9,"BBB",IF(AN163&lt;='组合输入'!$O9,"BB",IF(AN163&lt;='组合输入'!$P9,"B",IF(AN163&lt;='组合输入'!$Q9,"CCC","D")))))))</f>
        <v/>
      </c>
      <c r="AP163" s="12">
        <f>IF(AO163="","",INDEX('状态价值'!$D9:$K9,MATCH(AO163,'状态价值'!$D$1:$K$1,0)))</f>
        <v/>
      </c>
      <c r="AQ163" s="15">
        <f>NORM.S.INV(RAND())</f>
        <v/>
      </c>
      <c r="AR163" s="15">
        <f>IF('组合输入'!$C10="","",'组合输入'!$H10*$B163+SQRT(1-'组合输入'!$H10^2)*AQ163)</f>
        <v/>
      </c>
      <c r="AS163" s="7">
        <f>IF(AR163="","",NORM.S.DIST(AR163,TRUE))</f>
        <v/>
      </c>
      <c r="AT163" s="13">
        <f>IF(AS163="","",IF(AS163&lt;='组合输入'!$K10,"AAA",IF(AS163&lt;='组合输入'!$L10,"AA",IF(AS163&lt;='组合输入'!$M10,"A",IF(AS163&lt;='组合输入'!$N10,"BBB",IF(AS163&lt;='组合输入'!$O10,"BB",IF(AS163&lt;='组合输入'!$P10,"B",IF(AS163&lt;='组合输入'!$Q10,"CCC","D")))))))</f>
        <v/>
      </c>
      <c r="AU163" s="12">
        <f>IF(AT163="","",INDEX('状态价值'!$D10:$K10,MATCH(AT163,'状态价值'!$D$1:$K$1,0)))</f>
        <v/>
      </c>
      <c r="AV163" s="15">
        <f>NORM.S.INV(RAND())</f>
        <v/>
      </c>
      <c r="AW163" s="15">
        <f>IF('组合输入'!$C11="","",'组合输入'!$H11*$B163+SQRT(1-'组合输入'!$H11^2)*AV163)</f>
        <v/>
      </c>
      <c r="AX163" s="7">
        <f>IF(AW163="","",NORM.S.DIST(AW163,TRUE))</f>
        <v/>
      </c>
      <c r="AY163" s="13">
        <f>IF(AX163="","",IF(AX163&lt;='组合输入'!$K11,"AAA",IF(AX163&lt;='组合输入'!$L11,"AA",IF(AX163&lt;='组合输入'!$M11,"A",IF(AX163&lt;='组合输入'!$N11,"BBB",IF(AX163&lt;='组合输入'!$O11,"BB",IF(AX163&lt;='组合输入'!$P11,"B",IF(AX163&lt;='组合输入'!$Q11,"CCC","D")))))))</f>
        <v/>
      </c>
      <c r="AZ163" s="12">
        <f>IF(AY163="","",INDEX('状态价值'!$D11:$K11,MATCH(AY163,'状态价值'!$D$1:$K$1,0)))</f>
        <v/>
      </c>
      <c r="BA163" s="12">
        <f>G163+L163+Q163+V163+AA163+AF163+AK163+AP163+AU163+AZ163</f>
        <v/>
      </c>
      <c r="BB163" s="12">
        <f>SUM('组合输入'!$J$2:$J$11)-BA163</f>
        <v/>
      </c>
    </row>
    <row r="164">
      <c r="A164" s="11" t="n">
        <v>163</v>
      </c>
      <c r="B164" s="14">
        <f>NORM.S.INV(RAND())</f>
        <v/>
      </c>
      <c r="C164" s="14">
        <f>NORM.S.INV(RAND())</f>
        <v/>
      </c>
      <c r="D164" s="15">
        <f>IF('组合输入'!$C2="","",'组合输入'!$H2*$B164+SQRT(1-'组合输入'!$H2^2)*C164)</f>
        <v/>
      </c>
      <c r="E164" s="7">
        <f>IF(D164="","",NORM.S.DIST(D164,TRUE))</f>
        <v/>
      </c>
      <c r="F164" s="13">
        <f>IF(E164="","",IF(E164&lt;='组合输入'!$K2,"AAA",IF(E164&lt;='组合输入'!$L2,"AA",IF(E164&lt;='组合输入'!$M2,"A",IF(E164&lt;='组合输入'!$N2,"BBB",IF(E164&lt;='组合输入'!$O2,"BB",IF(E164&lt;='组合输入'!$P2,"B",IF(E164&lt;='组合输入'!$Q2,"CCC","D")))))))</f>
        <v/>
      </c>
      <c r="G164" s="12">
        <f>IF(F164="","",INDEX('状态价值'!$D2:$K2,MATCH(F164,'状态价值'!$D$1:$K$1,0)))</f>
        <v/>
      </c>
      <c r="H164" s="15">
        <f>NORM.S.INV(RAND())</f>
        <v/>
      </c>
      <c r="I164" s="15">
        <f>IF('组合输入'!$C3="","",'组合输入'!$H3*$B164+SQRT(1-'组合输入'!$H3^2)*H164)</f>
        <v/>
      </c>
      <c r="J164" s="7">
        <f>IF(I164="","",NORM.S.DIST(I164,TRUE))</f>
        <v/>
      </c>
      <c r="K164" s="13">
        <f>IF(J164="","",IF(J164&lt;='组合输入'!$K3,"AAA",IF(J164&lt;='组合输入'!$L3,"AA",IF(J164&lt;='组合输入'!$M3,"A",IF(J164&lt;='组合输入'!$N3,"BBB",IF(J164&lt;='组合输入'!$O3,"BB",IF(J164&lt;='组合输入'!$P3,"B",IF(J164&lt;='组合输入'!$Q3,"CCC","D")))))))</f>
        <v/>
      </c>
      <c r="L164" s="12">
        <f>IF(K164="","",INDEX('状态价值'!$D3:$K3,MATCH(K164,'状态价值'!$D$1:$K$1,0)))</f>
        <v/>
      </c>
      <c r="M164" s="15">
        <f>NORM.S.INV(RAND())</f>
        <v/>
      </c>
      <c r="N164" s="15">
        <f>IF('组合输入'!$C4="","",'组合输入'!$H4*$B164+SQRT(1-'组合输入'!$H4^2)*M164)</f>
        <v/>
      </c>
      <c r="O164" s="7">
        <f>IF(N164="","",NORM.S.DIST(N164,TRUE))</f>
        <v/>
      </c>
      <c r="P164" s="13">
        <f>IF(O164="","",IF(O164&lt;='组合输入'!$K4,"AAA",IF(O164&lt;='组合输入'!$L4,"AA",IF(O164&lt;='组合输入'!$M4,"A",IF(O164&lt;='组合输入'!$N4,"BBB",IF(O164&lt;='组合输入'!$O4,"BB",IF(O164&lt;='组合输入'!$P4,"B",IF(O164&lt;='组合输入'!$Q4,"CCC","D")))))))</f>
        <v/>
      </c>
      <c r="Q164" s="12">
        <f>IF(P164="","",INDEX('状态价值'!$D4:$K4,MATCH(P164,'状态价值'!$D$1:$K$1,0)))</f>
        <v/>
      </c>
      <c r="R164" s="15">
        <f>NORM.S.INV(RAND())</f>
        <v/>
      </c>
      <c r="S164" s="15">
        <f>IF('组合输入'!$C5="","",'组合输入'!$H5*$B164+SQRT(1-'组合输入'!$H5^2)*R164)</f>
        <v/>
      </c>
      <c r="T164" s="7">
        <f>IF(S164="","",NORM.S.DIST(S164,TRUE))</f>
        <v/>
      </c>
      <c r="U164" s="13">
        <f>IF(T164="","",IF(T164&lt;='组合输入'!$K5,"AAA",IF(T164&lt;='组合输入'!$L5,"AA",IF(T164&lt;='组合输入'!$M5,"A",IF(T164&lt;='组合输入'!$N5,"BBB",IF(T164&lt;='组合输入'!$O5,"BB",IF(T164&lt;='组合输入'!$P5,"B",IF(T164&lt;='组合输入'!$Q5,"CCC","D")))))))</f>
        <v/>
      </c>
      <c r="V164" s="12">
        <f>IF(U164="","",INDEX('状态价值'!$D5:$K5,MATCH(U164,'状态价值'!$D$1:$K$1,0)))</f>
        <v/>
      </c>
      <c r="W164" s="15">
        <f>NORM.S.INV(RAND())</f>
        <v/>
      </c>
      <c r="X164" s="15">
        <f>IF('组合输入'!$C6="","",'组合输入'!$H6*$B164+SQRT(1-'组合输入'!$H6^2)*W164)</f>
        <v/>
      </c>
      <c r="Y164" s="7">
        <f>IF(X164="","",NORM.S.DIST(X164,TRUE))</f>
        <v/>
      </c>
      <c r="Z164" s="13">
        <f>IF(Y164="","",IF(Y164&lt;='组合输入'!$K6,"AAA",IF(Y164&lt;='组合输入'!$L6,"AA",IF(Y164&lt;='组合输入'!$M6,"A",IF(Y164&lt;='组合输入'!$N6,"BBB",IF(Y164&lt;='组合输入'!$O6,"BB",IF(Y164&lt;='组合输入'!$P6,"B",IF(Y164&lt;='组合输入'!$Q6,"CCC","D")))))))</f>
        <v/>
      </c>
      <c r="AA164" s="12">
        <f>IF(Z164="","",INDEX('状态价值'!$D6:$K6,MATCH(Z164,'状态价值'!$D$1:$K$1,0)))</f>
        <v/>
      </c>
      <c r="AB164" s="15">
        <f>NORM.S.INV(RAND())</f>
        <v/>
      </c>
      <c r="AC164" s="15">
        <f>IF('组合输入'!$C7="","",'组合输入'!$H7*$B164+SQRT(1-'组合输入'!$H7^2)*AB164)</f>
        <v/>
      </c>
      <c r="AD164" s="7">
        <f>IF(AC164="","",NORM.S.DIST(AC164,TRUE))</f>
        <v/>
      </c>
      <c r="AE164" s="13">
        <f>IF(AD164="","",IF(AD164&lt;='组合输入'!$K7,"AAA",IF(AD164&lt;='组合输入'!$L7,"AA",IF(AD164&lt;='组合输入'!$M7,"A",IF(AD164&lt;='组合输入'!$N7,"BBB",IF(AD164&lt;='组合输入'!$O7,"BB",IF(AD164&lt;='组合输入'!$P7,"B",IF(AD164&lt;='组合输入'!$Q7,"CCC","D")))))))</f>
        <v/>
      </c>
      <c r="AF164" s="12">
        <f>IF(AE164="","",INDEX('状态价值'!$D7:$K7,MATCH(AE164,'状态价值'!$D$1:$K$1,0)))</f>
        <v/>
      </c>
      <c r="AG164" s="15">
        <f>NORM.S.INV(RAND())</f>
        <v/>
      </c>
      <c r="AH164" s="15">
        <f>IF('组合输入'!$C8="","",'组合输入'!$H8*$B164+SQRT(1-'组合输入'!$H8^2)*AG164)</f>
        <v/>
      </c>
      <c r="AI164" s="7">
        <f>IF(AH164="","",NORM.S.DIST(AH164,TRUE))</f>
        <v/>
      </c>
      <c r="AJ164" s="13">
        <f>IF(AI164="","",IF(AI164&lt;='组合输入'!$K8,"AAA",IF(AI164&lt;='组合输入'!$L8,"AA",IF(AI164&lt;='组合输入'!$M8,"A",IF(AI164&lt;='组合输入'!$N8,"BBB",IF(AI164&lt;='组合输入'!$O8,"BB",IF(AI164&lt;='组合输入'!$P8,"B",IF(AI164&lt;='组合输入'!$Q8,"CCC","D")))))))</f>
        <v/>
      </c>
      <c r="AK164" s="12">
        <f>IF(AJ164="","",INDEX('状态价值'!$D8:$K8,MATCH(AJ164,'状态价值'!$D$1:$K$1,0)))</f>
        <v/>
      </c>
      <c r="AL164" s="15">
        <f>NORM.S.INV(RAND())</f>
        <v/>
      </c>
      <c r="AM164" s="15">
        <f>IF('组合输入'!$C9="","",'组合输入'!$H9*$B164+SQRT(1-'组合输入'!$H9^2)*AL164)</f>
        <v/>
      </c>
      <c r="AN164" s="7">
        <f>IF(AM164="","",NORM.S.DIST(AM164,TRUE))</f>
        <v/>
      </c>
      <c r="AO164" s="13">
        <f>IF(AN164="","",IF(AN164&lt;='组合输入'!$K9,"AAA",IF(AN164&lt;='组合输入'!$L9,"AA",IF(AN164&lt;='组合输入'!$M9,"A",IF(AN164&lt;='组合输入'!$N9,"BBB",IF(AN164&lt;='组合输入'!$O9,"BB",IF(AN164&lt;='组合输入'!$P9,"B",IF(AN164&lt;='组合输入'!$Q9,"CCC","D")))))))</f>
        <v/>
      </c>
      <c r="AP164" s="12">
        <f>IF(AO164="","",INDEX('状态价值'!$D9:$K9,MATCH(AO164,'状态价值'!$D$1:$K$1,0)))</f>
        <v/>
      </c>
      <c r="AQ164" s="15">
        <f>NORM.S.INV(RAND())</f>
        <v/>
      </c>
      <c r="AR164" s="15">
        <f>IF('组合输入'!$C10="","",'组合输入'!$H10*$B164+SQRT(1-'组合输入'!$H10^2)*AQ164)</f>
        <v/>
      </c>
      <c r="AS164" s="7">
        <f>IF(AR164="","",NORM.S.DIST(AR164,TRUE))</f>
        <v/>
      </c>
      <c r="AT164" s="13">
        <f>IF(AS164="","",IF(AS164&lt;='组合输入'!$K10,"AAA",IF(AS164&lt;='组合输入'!$L10,"AA",IF(AS164&lt;='组合输入'!$M10,"A",IF(AS164&lt;='组合输入'!$N10,"BBB",IF(AS164&lt;='组合输入'!$O10,"BB",IF(AS164&lt;='组合输入'!$P10,"B",IF(AS164&lt;='组合输入'!$Q10,"CCC","D")))))))</f>
        <v/>
      </c>
      <c r="AU164" s="12">
        <f>IF(AT164="","",INDEX('状态价值'!$D10:$K10,MATCH(AT164,'状态价值'!$D$1:$K$1,0)))</f>
        <v/>
      </c>
      <c r="AV164" s="15">
        <f>NORM.S.INV(RAND())</f>
        <v/>
      </c>
      <c r="AW164" s="15">
        <f>IF('组合输入'!$C11="","",'组合输入'!$H11*$B164+SQRT(1-'组合输入'!$H11^2)*AV164)</f>
        <v/>
      </c>
      <c r="AX164" s="7">
        <f>IF(AW164="","",NORM.S.DIST(AW164,TRUE))</f>
        <v/>
      </c>
      <c r="AY164" s="13">
        <f>IF(AX164="","",IF(AX164&lt;='组合输入'!$K11,"AAA",IF(AX164&lt;='组合输入'!$L11,"AA",IF(AX164&lt;='组合输入'!$M11,"A",IF(AX164&lt;='组合输入'!$N11,"BBB",IF(AX164&lt;='组合输入'!$O11,"BB",IF(AX164&lt;='组合输入'!$P11,"B",IF(AX164&lt;='组合输入'!$Q11,"CCC","D")))))))</f>
        <v/>
      </c>
      <c r="AZ164" s="12">
        <f>IF(AY164="","",INDEX('状态价值'!$D11:$K11,MATCH(AY164,'状态价值'!$D$1:$K$1,0)))</f>
        <v/>
      </c>
      <c r="BA164" s="12">
        <f>G164+L164+Q164+V164+AA164+AF164+AK164+AP164+AU164+AZ164</f>
        <v/>
      </c>
      <c r="BB164" s="12">
        <f>SUM('组合输入'!$J$2:$J$11)-BA164</f>
        <v/>
      </c>
    </row>
    <row r="165">
      <c r="A165" s="11" t="n">
        <v>164</v>
      </c>
      <c r="B165" s="14">
        <f>NORM.S.INV(RAND())</f>
        <v/>
      </c>
      <c r="C165" s="14">
        <f>NORM.S.INV(RAND())</f>
        <v/>
      </c>
      <c r="D165" s="15">
        <f>IF('组合输入'!$C2="","",'组合输入'!$H2*$B165+SQRT(1-'组合输入'!$H2^2)*C165)</f>
        <v/>
      </c>
      <c r="E165" s="7">
        <f>IF(D165="","",NORM.S.DIST(D165,TRUE))</f>
        <v/>
      </c>
      <c r="F165" s="13">
        <f>IF(E165="","",IF(E165&lt;='组合输入'!$K2,"AAA",IF(E165&lt;='组合输入'!$L2,"AA",IF(E165&lt;='组合输入'!$M2,"A",IF(E165&lt;='组合输入'!$N2,"BBB",IF(E165&lt;='组合输入'!$O2,"BB",IF(E165&lt;='组合输入'!$P2,"B",IF(E165&lt;='组合输入'!$Q2,"CCC","D")))))))</f>
        <v/>
      </c>
      <c r="G165" s="12">
        <f>IF(F165="","",INDEX('状态价值'!$D2:$K2,MATCH(F165,'状态价值'!$D$1:$K$1,0)))</f>
        <v/>
      </c>
      <c r="H165" s="15">
        <f>NORM.S.INV(RAND())</f>
        <v/>
      </c>
      <c r="I165" s="15">
        <f>IF('组合输入'!$C3="","",'组合输入'!$H3*$B165+SQRT(1-'组合输入'!$H3^2)*H165)</f>
        <v/>
      </c>
      <c r="J165" s="7">
        <f>IF(I165="","",NORM.S.DIST(I165,TRUE))</f>
        <v/>
      </c>
      <c r="K165" s="13">
        <f>IF(J165="","",IF(J165&lt;='组合输入'!$K3,"AAA",IF(J165&lt;='组合输入'!$L3,"AA",IF(J165&lt;='组合输入'!$M3,"A",IF(J165&lt;='组合输入'!$N3,"BBB",IF(J165&lt;='组合输入'!$O3,"BB",IF(J165&lt;='组合输入'!$P3,"B",IF(J165&lt;='组合输入'!$Q3,"CCC","D")))))))</f>
        <v/>
      </c>
      <c r="L165" s="12">
        <f>IF(K165="","",INDEX('状态价值'!$D3:$K3,MATCH(K165,'状态价值'!$D$1:$K$1,0)))</f>
        <v/>
      </c>
      <c r="M165" s="15">
        <f>NORM.S.INV(RAND())</f>
        <v/>
      </c>
      <c r="N165" s="15">
        <f>IF('组合输入'!$C4="","",'组合输入'!$H4*$B165+SQRT(1-'组合输入'!$H4^2)*M165)</f>
        <v/>
      </c>
      <c r="O165" s="7">
        <f>IF(N165="","",NORM.S.DIST(N165,TRUE))</f>
        <v/>
      </c>
      <c r="P165" s="13">
        <f>IF(O165="","",IF(O165&lt;='组合输入'!$K4,"AAA",IF(O165&lt;='组合输入'!$L4,"AA",IF(O165&lt;='组合输入'!$M4,"A",IF(O165&lt;='组合输入'!$N4,"BBB",IF(O165&lt;='组合输入'!$O4,"BB",IF(O165&lt;='组合输入'!$P4,"B",IF(O165&lt;='组合输入'!$Q4,"CCC","D")))))))</f>
        <v/>
      </c>
      <c r="Q165" s="12">
        <f>IF(P165="","",INDEX('状态价值'!$D4:$K4,MATCH(P165,'状态价值'!$D$1:$K$1,0)))</f>
        <v/>
      </c>
      <c r="R165" s="15">
        <f>NORM.S.INV(RAND())</f>
        <v/>
      </c>
      <c r="S165" s="15">
        <f>IF('组合输入'!$C5="","",'组合输入'!$H5*$B165+SQRT(1-'组合输入'!$H5^2)*R165)</f>
        <v/>
      </c>
      <c r="T165" s="7">
        <f>IF(S165="","",NORM.S.DIST(S165,TRUE))</f>
        <v/>
      </c>
      <c r="U165" s="13">
        <f>IF(T165="","",IF(T165&lt;='组合输入'!$K5,"AAA",IF(T165&lt;='组合输入'!$L5,"AA",IF(T165&lt;='组合输入'!$M5,"A",IF(T165&lt;='组合输入'!$N5,"BBB",IF(T165&lt;='组合输入'!$O5,"BB",IF(T165&lt;='组合输入'!$P5,"B",IF(T165&lt;='组合输入'!$Q5,"CCC","D")))))))</f>
        <v/>
      </c>
      <c r="V165" s="12">
        <f>IF(U165="","",INDEX('状态价值'!$D5:$K5,MATCH(U165,'状态价值'!$D$1:$K$1,0)))</f>
        <v/>
      </c>
      <c r="W165" s="15">
        <f>NORM.S.INV(RAND())</f>
        <v/>
      </c>
      <c r="X165" s="15">
        <f>IF('组合输入'!$C6="","",'组合输入'!$H6*$B165+SQRT(1-'组合输入'!$H6^2)*W165)</f>
        <v/>
      </c>
      <c r="Y165" s="7">
        <f>IF(X165="","",NORM.S.DIST(X165,TRUE))</f>
        <v/>
      </c>
      <c r="Z165" s="13">
        <f>IF(Y165="","",IF(Y165&lt;='组合输入'!$K6,"AAA",IF(Y165&lt;='组合输入'!$L6,"AA",IF(Y165&lt;='组合输入'!$M6,"A",IF(Y165&lt;='组合输入'!$N6,"BBB",IF(Y165&lt;='组合输入'!$O6,"BB",IF(Y165&lt;='组合输入'!$P6,"B",IF(Y165&lt;='组合输入'!$Q6,"CCC","D")))))))</f>
        <v/>
      </c>
      <c r="AA165" s="12">
        <f>IF(Z165="","",INDEX('状态价值'!$D6:$K6,MATCH(Z165,'状态价值'!$D$1:$K$1,0)))</f>
        <v/>
      </c>
      <c r="AB165" s="15">
        <f>NORM.S.INV(RAND())</f>
        <v/>
      </c>
      <c r="AC165" s="15">
        <f>IF('组合输入'!$C7="","",'组合输入'!$H7*$B165+SQRT(1-'组合输入'!$H7^2)*AB165)</f>
        <v/>
      </c>
      <c r="AD165" s="7">
        <f>IF(AC165="","",NORM.S.DIST(AC165,TRUE))</f>
        <v/>
      </c>
      <c r="AE165" s="13">
        <f>IF(AD165="","",IF(AD165&lt;='组合输入'!$K7,"AAA",IF(AD165&lt;='组合输入'!$L7,"AA",IF(AD165&lt;='组合输入'!$M7,"A",IF(AD165&lt;='组合输入'!$N7,"BBB",IF(AD165&lt;='组合输入'!$O7,"BB",IF(AD165&lt;='组合输入'!$P7,"B",IF(AD165&lt;='组合输入'!$Q7,"CCC","D")))))))</f>
        <v/>
      </c>
      <c r="AF165" s="12">
        <f>IF(AE165="","",INDEX('状态价值'!$D7:$K7,MATCH(AE165,'状态价值'!$D$1:$K$1,0)))</f>
        <v/>
      </c>
      <c r="AG165" s="15">
        <f>NORM.S.INV(RAND())</f>
        <v/>
      </c>
      <c r="AH165" s="15">
        <f>IF('组合输入'!$C8="","",'组合输入'!$H8*$B165+SQRT(1-'组合输入'!$H8^2)*AG165)</f>
        <v/>
      </c>
      <c r="AI165" s="7">
        <f>IF(AH165="","",NORM.S.DIST(AH165,TRUE))</f>
        <v/>
      </c>
      <c r="AJ165" s="13">
        <f>IF(AI165="","",IF(AI165&lt;='组合输入'!$K8,"AAA",IF(AI165&lt;='组合输入'!$L8,"AA",IF(AI165&lt;='组合输入'!$M8,"A",IF(AI165&lt;='组合输入'!$N8,"BBB",IF(AI165&lt;='组合输入'!$O8,"BB",IF(AI165&lt;='组合输入'!$P8,"B",IF(AI165&lt;='组合输入'!$Q8,"CCC","D")))))))</f>
        <v/>
      </c>
      <c r="AK165" s="12">
        <f>IF(AJ165="","",INDEX('状态价值'!$D8:$K8,MATCH(AJ165,'状态价值'!$D$1:$K$1,0)))</f>
        <v/>
      </c>
      <c r="AL165" s="15">
        <f>NORM.S.INV(RAND())</f>
        <v/>
      </c>
      <c r="AM165" s="15">
        <f>IF('组合输入'!$C9="","",'组合输入'!$H9*$B165+SQRT(1-'组合输入'!$H9^2)*AL165)</f>
        <v/>
      </c>
      <c r="AN165" s="7">
        <f>IF(AM165="","",NORM.S.DIST(AM165,TRUE))</f>
        <v/>
      </c>
      <c r="AO165" s="13">
        <f>IF(AN165="","",IF(AN165&lt;='组合输入'!$K9,"AAA",IF(AN165&lt;='组合输入'!$L9,"AA",IF(AN165&lt;='组合输入'!$M9,"A",IF(AN165&lt;='组合输入'!$N9,"BBB",IF(AN165&lt;='组合输入'!$O9,"BB",IF(AN165&lt;='组合输入'!$P9,"B",IF(AN165&lt;='组合输入'!$Q9,"CCC","D")))))))</f>
        <v/>
      </c>
      <c r="AP165" s="12">
        <f>IF(AO165="","",INDEX('状态价值'!$D9:$K9,MATCH(AO165,'状态价值'!$D$1:$K$1,0)))</f>
        <v/>
      </c>
      <c r="AQ165" s="15">
        <f>NORM.S.INV(RAND())</f>
        <v/>
      </c>
      <c r="AR165" s="15">
        <f>IF('组合输入'!$C10="","",'组合输入'!$H10*$B165+SQRT(1-'组合输入'!$H10^2)*AQ165)</f>
        <v/>
      </c>
      <c r="AS165" s="7">
        <f>IF(AR165="","",NORM.S.DIST(AR165,TRUE))</f>
        <v/>
      </c>
      <c r="AT165" s="13">
        <f>IF(AS165="","",IF(AS165&lt;='组合输入'!$K10,"AAA",IF(AS165&lt;='组合输入'!$L10,"AA",IF(AS165&lt;='组合输入'!$M10,"A",IF(AS165&lt;='组合输入'!$N10,"BBB",IF(AS165&lt;='组合输入'!$O10,"BB",IF(AS165&lt;='组合输入'!$P10,"B",IF(AS165&lt;='组合输入'!$Q10,"CCC","D")))))))</f>
        <v/>
      </c>
      <c r="AU165" s="12">
        <f>IF(AT165="","",INDEX('状态价值'!$D10:$K10,MATCH(AT165,'状态价值'!$D$1:$K$1,0)))</f>
        <v/>
      </c>
      <c r="AV165" s="15">
        <f>NORM.S.INV(RAND())</f>
        <v/>
      </c>
      <c r="AW165" s="15">
        <f>IF('组合输入'!$C11="","",'组合输入'!$H11*$B165+SQRT(1-'组合输入'!$H11^2)*AV165)</f>
        <v/>
      </c>
      <c r="AX165" s="7">
        <f>IF(AW165="","",NORM.S.DIST(AW165,TRUE))</f>
        <v/>
      </c>
      <c r="AY165" s="13">
        <f>IF(AX165="","",IF(AX165&lt;='组合输入'!$K11,"AAA",IF(AX165&lt;='组合输入'!$L11,"AA",IF(AX165&lt;='组合输入'!$M11,"A",IF(AX165&lt;='组合输入'!$N11,"BBB",IF(AX165&lt;='组合输入'!$O11,"BB",IF(AX165&lt;='组合输入'!$P11,"B",IF(AX165&lt;='组合输入'!$Q11,"CCC","D")))))))</f>
        <v/>
      </c>
      <c r="AZ165" s="12">
        <f>IF(AY165="","",INDEX('状态价值'!$D11:$K11,MATCH(AY165,'状态价值'!$D$1:$K$1,0)))</f>
        <v/>
      </c>
      <c r="BA165" s="12">
        <f>G165+L165+Q165+V165+AA165+AF165+AK165+AP165+AU165+AZ165</f>
        <v/>
      </c>
      <c r="BB165" s="12">
        <f>SUM('组合输入'!$J$2:$J$11)-BA165</f>
        <v/>
      </c>
    </row>
    <row r="166">
      <c r="A166" s="11" t="n">
        <v>165</v>
      </c>
      <c r="B166" s="14">
        <f>NORM.S.INV(RAND())</f>
        <v/>
      </c>
      <c r="C166" s="14">
        <f>NORM.S.INV(RAND())</f>
        <v/>
      </c>
      <c r="D166" s="15">
        <f>IF('组合输入'!$C2="","",'组合输入'!$H2*$B166+SQRT(1-'组合输入'!$H2^2)*C166)</f>
        <v/>
      </c>
      <c r="E166" s="7">
        <f>IF(D166="","",NORM.S.DIST(D166,TRUE))</f>
        <v/>
      </c>
      <c r="F166" s="13">
        <f>IF(E166="","",IF(E166&lt;='组合输入'!$K2,"AAA",IF(E166&lt;='组合输入'!$L2,"AA",IF(E166&lt;='组合输入'!$M2,"A",IF(E166&lt;='组合输入'!$N2,"BBB",IF(E166&lt;='组合输入'!$O2,"BB",IF(E166&lt;='组合输入'!$P2,"B",IF(E166&lt;='组合输入'!$Q2,"CCC","D")))))))</f>
        <v/>
      </c>
      <c r="G166" s="12">
        <f>IF(F166="","",INDEX('状态价值'!$D2:$K2,MATCH(F166,'状态价值'!$D$1:$K$1,0)))</f>
        <v/>
      </c>
      <c r="H166" s="15">
        <f>NORM.S.INV(RAND())</f>
        <v/>
      </c>
      <c r="I166" s="15">
        <f>IF('组合输入'!$C3="","",'组合输入'!$H3*$B166+SQRT(1-'组合输入'!$H3^2)*H166)</f>
        <v/>
      </c>
      <c r="J166" s="7">
        <f>IF(I166="","",NORM.S.DIST(I166,TRUE))</f>
        <v/>
      </c>
      <c r="K166" s="13">
        <f>IF(J166="","",IF(J166&lt;='组合输入'!$K3,"AAA",IF(J166&lt;='组合输入'!$L3,"AA",IF(J166&lt;='组合输入'!$M3,"A",IF(J166&lt;='组合输入'!$N3,"BBB",IF(J166&lt;='组合输入'!$O3,"BB",IF(J166&lt;='组合输入'!$P3,"B",IF(J166&lt;='组合输入'!$Q3,"CCC","D")))))))</f>
        <v/>
      </c>
      <c r="L166" s="12">
        <f>IF(K166="","",INDEX('状态价值'!$D3:$K3,MATCH(K166,'状态价值'!$D$1:$K$1,0)))</f>
        <v/>
      </c>
      <c r="M166" s="15">
        <f>NORM.S.INV(RAND())</f>
        <v/>
      </c>
      <c r="N166" s="15">
        <f>IF('组合输入'!$C4="","",'组合输入'!$H4*$B166+SQRT(1-'组合输入'!$H4^2)*M166)</f>
        <v/>
      </c>
      <c r="O166" s="7">
        <f>IF(N166="","",NORM.S.DIST(N166,TRUE))</f>
        <v/>
      </c>
      <c r="P166" s="13">
        <f>IF(O166="","",IF(O166&lt;='组合输入'!$K4,"AAA",IF(O166&lt;='组合输入'!$L4,"AA",IF(O166&lt;='组合输入'!$M4,"A",IF(O166&lt;='组合输入'!$N4,"BBB",IF(O166&lt;='组合输入'!$O4,"BB",IF(O166&lt;='组合输入'!$P4,"B",IF(O166&lt;='组合输入'!$Q4,"CCC","D")))))))</f>
        <v/>
      </c>
      <c r="Q166" s="12">
        <f>IF(P166="","",INDEX('状态价值'!$D4:$K4,MATCH(P166,'状态价值'!$D$1:$K$1,0)))</f>
        <v/>
      </c>
      <c r="R166" s="15">
        <f>NORM.S.INV(RAND())</f>
        <v/>
      </c>
      <c r="S166" s="15">
        <f>IF('组合输入'!$C5="","",'组合输入'!$H5*$B166+SQRT(1-'组合输入'!$H5^2)*R166)</f>
        <v/>
      </c>
      <c r="T166" s="7">
        <f>IF(S166="","",NORM.S.DIST(S166,TRUE))</f>
        <v/>
      </c>
      <c r="U166" s="13">
        <f>IF(T166="","",IF(T166&lt;='组合输入'!$K5,"AAA",IF(T166&lt;='组合输入'!$L5,"AA",IF(T166&lt;='组合输入'!$M5,"A",IF(T166&lt;='组合输入'!$N5,"BBB",IF(T166&lt;='组合输入'!$O5,"BB",IF(T166&lt;='组合输入'!$P5,"B",IF(T166&lt;='组合输入'!$Q5,"CCC","D")))))))</f>
        <v/>
      </c>
      <c r="V166" s="12">
        <f>IF(U166="","",INDEX('状态价值'!$D5:$K5,MATCH(U166,'状态价值'!$D$1:$K$1,0)))</f>
        <v/>
      </c>
      <c r="W166" s="15">
        <f>NORM.S.INV(RAND())</f>
        <v/>
      </c>
      <c r="X166" s="15">
        <f>IF('组合输入'!$C6="","",'组合输入'!$H6*$B166+SQRT(1-'组合输入'!$H6^2)*W166)</f>
        <v/>
      </c>
      <c r="Y166" s="7">
        <f>IF(X166="","",NORM.S.DIST(X166,TRUE))</f>
        <v/>
      </c>
      <c r="Z166" s="13">
        <f>IF(Y166="","",IF(Y166&lt;='组合输入'!$K6,"AAA",IF(Y166&lt;='组合输入'!$L6,"AA",IF(Y166&lt;='组合输入'!$M6,"A",IF(Y166&lt;='组合输入'!$N6,"BBB",IF(Y166&lt;='组合输入'!$O6,"BB",IF(Y166&lt;='组合输入'!$P6,"B",IF(Y166&lt;='组合输入'!$Q6,"CCC","D")))))))</f>
        <v/>
      </c>
      <c r="AA166" s="12">
        <f>IF(Z166="","",INDEX('状态价值'!$D6:$K6,MATCH(Z166,'状态价值'!$D$1:$K$1,0)))</f>
        <v/>
      </c>
      <c r="AB166" s="15">
        <f>NORM.S.INV(RAND())</f>
        <v/>
      </c>
      <c r="AC166" s="15">
        <f>IF('组合输入'!$C7="","",'组合输入'!$H7*$B166+SQRT(1-'组合输入'!$H7^2)*AB166)</f>
        <v/>
      </c>
      <c r="AD166" s="7">
        <f>IF(AC166="","",NORM.S.DIST(AC166,TRUE))</f>
        <v/>
      </c>
      <c r="AE166" s="13">
        <f>IF(AD166="","",IF(AD166&lt;='组合输入'!$K7,"AAA",IF(AD166&lt;='组合输入'!$L7,"AA",IF(AD166&lt;='组合输入'!$M7,"A",IF(AD166&lt;='组合输入'!$N7,"BBB",IF(AD166&lt;='组合输入'!$O7,"BB",IF(AD166&lt;='组合输入'!$P7,"B",IF(AD166&lt;='组合输入'!$Q7,"CCC","D")))))))</f>
        <v/>
      </c>
      <c r="AF166" s="12">
        <f>IF(AE166="","",INDEX('状态价值'!$D7:$K7,MATCH(AE166,'状态价值'!$D$1:$K$1,0)))</f>
        <v/>
      </c>
      <c r="AG166" s="15">
        <f>NORM.S.INV(RAND())</f>
        <v/>
      </c>
      <c r="AH166" s="15">
        <f>IF('组合输入'!$C8="","",'组合输入'!$H8*$B166+SQRT(1-'组合输入'!$H8^2)*AG166)</f>
        <v/>
      </c>
      <c r="AI166" s="7">
        <f>IF(AH166="","",NORM.S.DIST(AH166,TRUE))</f>
        <v/>
      </c>
      <c r="AJ166" s="13">
        <f>IF(AI166="","",IF(AI166&lt;='组合输入'!$K8,"AAA",IF(AI166&lt;='组合输入'!$L8,"AA",IF(AI166&lt;='组合输入'!$M8,"A",IF(AI166&lt;='组合输入'!$N8,"BBB",IF(AI166&lt;='组合输入'!$O8,"BB",IF(AI166&lt;='组合输入'!$P8,"B",IF(AI166&lt;='组合输入'!$Q8,"CCC","D")))))))</f>
        <v/>
      </c>
      <c r="AK166" s="12">
        <f>IF(AJ166="","",INDEX('状态价值'!$D8:$K8,MATCH(AJ166,'状态价值'!$D$1:$K$1,0)))</f>
        <v/>
      </c>
      <c r="AL166" s="15">
        <f>NORM.S.INV(RAND())</f>
        <v/>
      </c>
      <c r="AM166" s="15">
        <f>IF('组合输入'!$C9="","",'组合输入'!$H9*$B166+SQRT(1-'组合输入'!$H9^2)*AL166)</f>
        <v/>
      </c>
      <c r="AN166" s="7">
        <f>IF(AM166="","",NORM.S.DIST(AM166,TRUE))</f>
        <v/>
      </c>
      <c r="AO166" s="13">
        <f>IF(AN166="","",IF(AN166&lt;='组合输入'!$K9,"AAA",IF(AN166&lt;='组合输入'!$L9,"AA",IF(AN166&lt;='组合输入'!$M9,"A",IF(AN166&lt;='组合输入'!$N9,"BBB",IF(AN166&lt;='组合输入'!$O9,"BB",IF(AN166&lt;='组合输入'!$P9,"B",IF(AN166&lt;='组合输入'!$Q9,"CCC","D")))))))</f>
        <v/>
      </c>
      <c r="AP166" s="12">
        <f>IF(AO166="","",INDEX('状态价值'!$D9:$K9,MATCH(AO166,'状态价值'!$D$1:$K$1,0)))</f>
        <v/>
      </c>
      <c r="AQ166" s="15">
        <f>NORM.S.INV(RAND())</f>
        <v/>
      </c>
      <c r="AR166" s="15">
        <f>IF('组合输入'!$C10="","",'组合输入'!$H10*$B166+SQRT(1-'组合输入'!$H10^2)*AQ166)</f>
        <v/>
      </c>
      <c r="AS166" s="7">
        <f>IF(AR166="","",NORM.S.DIST(AR166,TRUE))</f>
        <v/>
      </c>
      <c r="AT166" s="13">
        <f>IF(AS166="","",IF(AS166&lt;='组合输入'!$K10,"AAA",IF(AS166&lt;='组合输入'!$L10,"AA",IF(AS166&lt;='组合输入'!$M10,"A",IF(AS166&lt;='组合输入'!$N10,"BBB",IF(AS166&lt;='组合输入'!$O10,"BB",IF(AS166&lt;='组合输入'!$P10,"B",IF(AS166&lt;='组合输入'!$Q10,"CCC","D")))))))</f>
        <v/>
      </c>
      <c r="AU166" s="12">
        <f>IF(AT166="","",INDEX('状态价值'!$D10:$K10,MATCH(AT166,'状态价值'!$D$1:$K$1,0)))</f>
        <v/>
      </c>
      <c r="AV166" s="15">
        <f>NORM.S.INV(RAND())</f>
        <v/>
      </c>
      <c r="AW166" s="15">
        <f>IF('组合输入'!$C11="","",'组合输入'!$H11*$B166+SQRT(1-'组合输入'!$H11^2)*AV166)</f>
        <v/>
      </c>
      <c r="AX166" s="7">
        <f>IF(AW166="","",NORM.S.DIST(AW166,TRUE))</f>
        <v/>
      </c>
      <c r="AY166" s="13">
        <f>IF(AX166="","",IF(AX166&lt;='组合输入'!$K11,"AAA",IF(AX166&lt;='组合输入'!$L11,"AA",IF(AX166&lt;='组合输入'!$M11,"A",IF(AX166&lt;='组合输入'!$N11,"BBB",IF(AX166&lt;='组合输入'!$O11,"BB",IF(AX166&lt;='组合输入'!$P11,"B",IF(AX166&lt;='组合输入'!$Q11,"CCC","D")))))))</f>
        <v/>
      </c>
      <c r="AZ166" s="12">
        <f>IF(AY166="","",INDEX('状态价值'!$D11:$K11,MATCH(AY166,'状态价值'!$D$1:$K$1,0)))</f>
        <v/>
      </c>
      <c r="BA166" s="12">
        <f>G166+L166+Q166+V166+AA166+AF166+AK166+AP166+AU166+AZ166</f>
        <v/>
      </c>
      <c r="BB166" s="12">
        <f>SUM('组合输入'!$J$2:$J$11)-BA166</f>
        <v/>
      </c>
    </row>
    <row r="167">
      <c r="A167" s="11" t="n">
        <v>166</v>
      </c>
      <c r="B167" s="14">
        <f>NORM.S.INV(RAND())</f>
        <v/>
      </c>
      <c r="C167" s="14">
        <f>NORM.S.INV(RAND())</f>
        <v/>
      </c>
      <c r="D167" s="15">
        <f>IF('组合输入'!$C2="","",'组合输入'!$H2*$B167+SQRT(1-'组合输入'!$H2^2)*C167)</f>
        <v/>
      </c>
      <c r="E167" s="7">
        <f>IF(D167="","",NORM.S.DIST(D167,TRUE))</f>
        <v/>
      </c>
      <c r="F167" s="13">
        <f>IF(E167="","",IF(E167&lt;='组合输入'!$K2,"AAA",IF(E167&lt;='组合输入'!$L2,"AA",IF(E167&lt;='组合输入'!$M2,"A",IF(E167&lt;='组合输入'!$N2,"BBB",IF(E167&lt;='组合输入'!$O2,"BB",IF(E167&lt;='组合输入'!$P2,"B",IF(E167&lt;='组合输入'!$Q2,"CCC","D")))))))</f>
        <v/>
      </c>
      <c r="G167" s="12">
        <f>IF(F167="","",INDEX('状态价值'!$D2:$K2,MATCH(F167,'状态价值'!$D$1:$K$1,0)))</f>
        <v/>
      </c>
      <c r="H167" s="15">
        <f>NORM.S.INV(RAND())</f>
        <v/>
      </c>
      <c r="I167" s="15">
        <f>IF('组合输入'!$C3="","",'组合输入'!$H3*$B167+SQRT(1-'组合输入'!$H3^2)*H167)</f>
        <v/>
      </c>
      <c r="J167" s="7">
        <f>IF(I167="","",NORM.S.DIST(I167,TRUE))</f>
        <v/>
      </c>
      <c r="K167" s="13">
        <f>IF(J167="","",IF(J167&lt;='组合输入'!$K3,"AAA",IF(J167&lt;='组合输入'!$L3,"AA",IF(J167&lt;='组合输入'!$M3,"A",IF(J167&lt;='组合输入'!$N3,"BBB",IF(J167&lt;='组合输入'!$O3,"BB",IF(J167&lt;='组合输入'!$P3,"B",IF(J167&lt;='组合输入'!$Q3,"CCC","D")))))))</f>
        <v/>
      </c>
      <c r="L167" s="12">
        <f>IF(K167="","",INDEX('状态价值'!$D3:$K3,MATCH(K167,'状态价值'!$D$1:$K$1,0)))</f>
        <v/>
      </c>
      <c r="M167" s="15">
        <f>NORM.S.INV(RAND())</f>
        <v/>
      </c>
      <c r="N167" s="15">
        <f>IF('组合输入'!$C4="","",'组合输入'!$H4*$B167+SQRT(1-'组合输入'!$H4^2)*M167)</f>
        <v/>
      </c>
      <c r="O167" s="7">
        <f>IF(N167="","",NORM.S.DIST(N167,TRUE))</f>
        <v/>
      </c>
      <c r="P167" s="13">
        <f>IF(O167="","",IF(O167&lt;='组合输入'!$K4,"AAA",IF(O167&lt;='组合输入'!$L4,"AA",IF(O167&lt;='组合输入'!$M4,"A",IF(O167&lt;='组合输入'!$N4,"BBB",IF(O167&lt;='组合输入'!$O4,"BB",IF(O167&lt;='组合输入'!$P4,"B",IF(O167&lt;='组合输入'!$Q4,"CCC","D")))))))</f>
        <v/>
      </c>
      <c r="Q167" s="12">
        <f>IF(P167="","",INDEX('状态价值'!$D4:$K4,MATCH(P167,'状态价值'!$D$1:$K$1,0)))</f>
        <v/>
      </c>
      <c r="R167" s="15">
        <f>NORM.S.INV(RAND())</f>
        <v/>
      </c>
      <c r="S167" s="15">
        <f>IF('组合输入'!$C5="","",'组合输入'!$H5*$B167+SQRT(1-'组合输入'!$H5^2)*R167)</f>
        <v/>
      </c>
      <c r="T167" s="7">
        <f>IF(S167="","",NORM.S.DIST(S167,TRUE))</f>
        <v/>
      </c>
      <c r="U167" s="13">
        <f>IF(T167="","",IF(T167&lt;='组合输入'!$K5,"AAA",IF(T167&lt;='组合输入'!$L5,"AA",IF(T167&lt;='组合输入'!$M5,"A",IF(T167&lt;='组合输入'!$N5,"BBB",IF(T167&lt;='组合输入'!$O5,"BB",IF(T167&lt;='组合输入'!$P5,"B",IF(T167&lt;='组合输入'!$Q5,"CCC","D")))))))</f>
        <v/>
      </c>
      <c r="V167" s="12">
        <f>IF(U167="","",INDEX('状态价值'!$D5:$K5,MATCH(U167,'状态价值'!$D$1:$K$1,0)))</f>
        <v/>
      </c>
      <c r="W167" s="15">
        <f>NORM.S.INV(RAND())</f>
        <v/>
      </c>
      <c r="X167" s="15">
        <f>IF('组合输入'!$C6="","",'组合输入'!$H6*$B167+SQRT(1-'组合输入'!$H6^2)*W167)</f>
        <v/>
      </c>
      <c r="Y167" s="7">
        <f>IF(X167="","",NORM.S.DIST(X167,TRUE))</f>
        <v/>
      </c>
      <c r="Z167" s="13">
        <f>IF(Y167="","",IF(Y167&lt;='组合输入'!$K6,"AAA",IF(Y167&lt;='组合输入'!$L6,"AA",IF(Y167&lt;='组合输入'!$M6,"A",IF(Y167&lt;='组合输入'!$N6,"BBB",IF(Y167&lt;='组合输入'!$O6,"BB",IF(Y167&lt;='组合输入'!$P6,"B",IF(Y167&lt;='组合输入'!$Q6,"CCC","D")))))))</f>
        <v/>
      </c>
      <c r="AA167" s="12">
        <f>IF(Z167="","",INDEX('状态价值'!$D6:$K6,MATCH(Z167,'状态价值'!$D$1:$K$1,0)))</f>
        <v/>
      </c>
      <c r="AB167" s="15">
        <f>NORM.S.INV(RAND())</f>
        <v/>
      </c>
      <c r="AC167" s="15">
        <f>IF('组合输入'!$C7="","",'组合输入'!$H7*$B167+SQRT(1-'组合输入'!$H7^2)*AB167)</f>
        <v/>
      </c>
      <c r="AD167" s="7">
        <f>IF(AC167="","",NORM.S.DIST(AC167,TRUE))</f>
        <v/>
      </c>
      <c r="AE167" s="13">
        <f>IF(AD167="","",IF(AD167&lt;='组合输入'!$K7,"AAA",IF(AD167&lt;='组合输入'!$L7,"AA",IF(AD167&lt;='组合输入'!$M7,"A",IF(AD167&lt;='组合输入'!$N7,"BBB",IF(AD167&lt;='组合输入'!$O7,"BB",IF(AD167&lt;='组合输入'!$P7,"B",IF(AD167&lt;='组合输入'!$Q7,"CCC","D")))))))</f>
        <v/>
      </c>
      <c r="AF167" s="12">
        <f>IF(AE167="","",INDEX('状态价值'!$D7:$K7,MATCH(AE167,'状态价值'!$D$1:$K$1,0)))</f>
        <v/>
      </c>
      <c r="AG167" s="15">
        <f>NORM.S.INV(RAND())</f>
        <v/>
      </c>
      <c r="AH167" s="15">
        <f>IF('组合输入'!$C8="","",'组合输入'!$H8*$B167+SQRT(1-'组合输入'!$H8^2)*AG167)</f>
        <v/>
      </c>
      <c r="AI167" s="7">
        <f>IF(AH167="","",NORM.S.DIST(AH167,TRUE))</f>
        <v/>
      </c>
      <c r="AJ167" s="13">
        <f>IF(AI167="","",IF(AI167&lt;='组合输入'!$K8,"AAA",IF(AI167&lt;='组合输入'!$L8,"AA",IF(AI167&lt;='组合输入'!$M8,"A",IF(AI167&lt;='组合输入'!$N8,"BBB",IF(AI167&lt;='组合输入'!$O8,"BB",IF(AI167&lt;='组合输入'!$P8,"B",IF(AI167&lt;='组合输入'!$Q8,"CCC","D")))))))</f>
        <v/>
      </c>
      <c r="AK167" s="12">
        <f>IF(AJ167="","",INDEX('状态价值'!$D8:$K8,MATCH(AJ167,'状态价值'!$D$1:$K$1,0)))</f>
        <v/>
      </c>
      <c r="AL167" s="15">
        <f>NORM.S.INV(RAND())</f>
        <v/>
      </c>
      <c r="AM167" s="15">
        <f>IF('组合输入'!$C9="","",'组合输入'!$H9*$B167+SQRT(1-'组合输入'!$H9^2)*AL167)</f>
        <v/>
      </c>
      <c r="AN167" s="7">
        <f>IF(AM167="","",NORM.S.DIST(AM167,TRUE))</f>
        <v/>
      </c>
      <c r="AO167" s="13">
        <f>IF(AN167="","",IF(AN167&lt;='组合输入'!$K9,"AAA",IF(AN167&lt;='组合输入'!$L9,"AA",IF(AN167&lt;='组合输入'!$M9,"A",IF(AN167&lt;='组合输入'!$N9,"BBB",IF(AN167&lt;='组合输入'!$O9,"BB",IF(AN167&lt;='组合输入'!$P9,"B",IF(AN167&lt;='组合输入'!$Q9,"CCC","D")))))))</f>
        <v/>
      </c>
      <c r="AP167" s="12">
        <f>IF(AO167="","",INDEX('状态价值'!$D9:$K9,MATCH(AO167,'状态价值'!$D$1:$K$1,0)))</f>
        <v/>
      </c>
      <c r="AQ167" s="15">
        <f>NORM.S.INV(RAND())</f>
        <v/>
      </c>
      <c r="AR167" s="15">
        <f>IF('组合输入'!$C10="","",'组合输入'!$H10*$B167+SQRT(1-'组合输入'!$H10^2)*AQ167)</f>
        <v/>
      </c>
      <c r="AS167" s="7">
        <f>IF(AR167="","",NORM.S.DIST(AR167,TRUE))</f>
        <v/>
      </c>
      <c r="AT167" s="13">
        <f>IF(AS167="","",IF(AS167&lt;='组合输入'!$K10,"AAA",IF(AS167&lt;='组合输入'!$L10,"AA",IF(AS167&lt;='组合输入'!$M10,"A",IF(AS167&lt;='组合输入'!$N10,"BBB",IF(AS167&lt;='组合输入'!$O10,"BB",IF(AS167&lt;='组合输入'!$P10,"B",IF(AS167&lt;='组合输入'!$Q10,"CCC","D")))))))</f>
        <v/>
      </c>
      <c r="AU167" s="12">
        <f>IF(AT167="","",INDEX('状态价值'!$D10:$K10,MATCH(AT167,'状态价值'!$D$1:$K$1,0)))</f>
        <v/>
      </c>
      <c r="AV167" s="15">
        <f>NORM.S.INV(RAND())</f>
        <v/>
      </c>
      <c r="AW167" s="15">
        <f>IF('组合输入'!$C11="","",'组合输入'!$H11*$B167+SQRT(1-'组合输入'!$H11^2)*AV167)</f>
        <v/>
      </c>
      <c r="AX167" s="7">
        <f>IF(AW167="","",NORM.S.DIST(AW167,TRUE))</f>
        <v/>
      </c>
      <c r="AY167" s="13">
        <f>IF(AX167="","",IF(AX167&lt;='组合输入'!$K11,"AAA",IF(AX167&lt;='组合输入'!$L11,"AA",IF(AX167&lt;='组合输入'!$M11,"A",IF(AX167&lt;='组合输入'!$N11,"BBB",IF(AX167&lt;='组合输入'!$O11,"BB",IF(AX167&lt;='组合输入'!$P11,"B",IF(AX167&lt;='组合输入'!$Q11,"CCC","D")))))))</f>
        <v/>
      </c>
      <c r="AZ167" s="12">
        <f>IF(AY167="","",INDEX('状态价值'!$D11:$K11,MATCH(AY167,'状态价值'!$D$1:$K$1,0)))</f>
        <v/>
      </c>
      <c r="BA167" s="12">
        <f>G167+L167+Q167+V167+AA167+AF167+AK167+AP167+AU167+AZ167</f>
        <v/>
      </c>
      <c r="BB167" s="12">
        <f>SUM('组合输入'!$J$2:$J$11)-BA167</f>
        <v/>
      </c>
    </row>
    <row r="168">
      <c r="A168" s="11" t="n">
        <v>167</v>
      </c>
      <c r="B168" s="14">
        <f>NORM.S.INV(RAND())</f>
        <v/>
      </c>
      <c r="C168" s="14">
        <f>NORM.S.INV(RAND())</f>
        <v/>
      </c>
      <c r="D168" s="15">
        <f>IF('组合输入'!$C2="","",'组合输入'!$H2*$B168+SQRT(1-'组合输入'!$H2^2)*C168)</f>
        <v/>
      </c>
      <c r="E168" s="7">
        <f>IF(D168="","",NORM.S.DIST(D168,TRUE))</f>
        <v/>
      </c>
      <c r="F168" s="13">
        <f>IF(E168="","",IF(E168&lt;='组合输入'!$K2,"AAA",IF(E168&lt;='组合输入'!$L2,"AA",IF(E168&lt;='组合输入'!$M2,"A",IF(E168&lt;='组合输入'!$N2,"BBB",IF(E168&lt;='组合输入'!$O2,"BB",IF(E168&lt;='组合输入'!$P2,"B",IF(E168&lt;='组合输入'!$Q2,"CCC","D")))))))</f>
        <v/>
      </c>
      <c r="G168" s="12">
        <f>IF(F168="","",INDEX('状态价值'!$D2:$K2,MATCH(F168,'状态价值'!$D$1:$K$1,0)))</f>
        <v/>
      </c>
      <c r="H168" s="15">
        <f>NORM.S.INV(RAND())</f>
        <v/>
      </c>
      <c r="I168" s="15">
        <f>IF('组合输入'!$C3="","",'组合输入'!$H3*$B168+SQRT(1-'组合输入'!$H3^2)*H168)</f>
        <v/>
      </c>
      <c r="J168" s="7">
        <f>IF(I168="","",NORM.S.DIST(I168,TRUE))</f>
        <v/>
      </c>
      <c r="K168" s="13">
        <f>IF(J168="","",IF(J168&lt;='组合输入'!$K3,"AAA",IF(J168&lt;='组合输入'!$L3,"AA",IF(J168&lt;='组合输入'!$M3,"A",IF(J168&lt;='组合输入'!$N3,"BBB",IF(J168&lt;='组合输入'!$O3,"BB",IF(J168&lt;='组合输入'!$P3,"B",IF(J168&lt;='组合输入'!$Q3,"CCC","D")))))))</f>
        <v/>
      </c>
      <c r="L168" s="12">
        <f>IF(K168="","",INDEX('状态价值'!$D3:$K3,MATCH(K168,'状态价值'!$D$1:$K$1,0)))</f>
        <v/>
      </c>
      <c r="M168" s="15">
        <f>NORM.S.INV(RAND())</f>
        <v/>
      </c>
      <c r="N168" s="15">
        <f>IF('组合输入'!$C4="","",'组合输入'!$H4*$B168+SQRT(1-'组合输入'!$H4^2)*M168)</f>
        <v/>
      </c>
      <c r="O168" s="7">
        <f>IF(N168="","",NORM.S.DIST(N168,TRUE))</f>
        <v/>
      </c>
      <c r="P168" s="13">
        <f>IF(O168="","",IF(O168&lt;='组合输入'!$K4,"AAA",IF(O168&lt;='组合输入'!$L4,"AA",IF(O168&lt;='组合输入'!$M4,"A",IF(O168&lt;='组合输入'!$N4,"BBB",IF(O168&lt;='组合输入'!$O4,"BB",IF(O168&lt;='组合输入'!$P4,"B",IF(O168&lt;='组合输入'!$Q4,"CCC","D")))))))</f>
        <v/>
      </c>
      <c r="Q168" s="12">
        <f>IF(P168="","",INDEX('状态价值'!$D4:$K4,MATCH(P168,'状态价值'!$D$1:$K$1,0)))</f>
        <v/>
      </c>
      <c r="R168" s="15">
        <f>NORM.S.INV(RAND())</f>
        <v/>
      </c>
      <c r="S168" s="15">
        <f>IF('组合输入'!$C5="","",'组合输入'!$H5*$B168+SQRT(1-'组合输入'!$H5^2)*R168)</f>
        <v/>
      </c>
      <c r="T168" s="7">
        <f>IF(S168="","",NORM.S.DIST(S168,TRUE))</f>
        <v/>
      </c>
      <c r="U168" s="13">
        <f>IF(T168="","",IF(T168&lt;='组合输入'!$K5,"AAA",IF(T168&lt;='组合输入'!$L5,"AA",IF(T168&lt;='组合输入'!$M5,"A",IF(T168&lt;='组合输入'!$N5,"BBB",IF(T168&lt;='组合输入'!$O5,"BB",IF(T168&lt;='组合输入'!$P5,"B",IF(T168&lt;='组合输入'!$Q5,"CCC","D")))))))</f>
        <v/>
      </c>
      <c r="V168" s="12">
        <f>IF(U168="","",INDEX('状态价值'!$D5:$K5,MATCH(U168,'状态价值'!$D$1:$K$1,0)))</f>
        <v/>
      </c>
      <c r="W168" s="15">
        <f>NORM.S.INV(RAND())</f>
        <v/>
      </c>
      <c r="X168" s="15">
        <f>IF('组合输入'!$C6="","",'组合输入'!$H6*$B168+SQRT(1-'组合输入'!$H6^2)*W168)</f>
        <v/>
      </c>
      <c r="Y168" s="7">
        <f>IF(X168="","",NORM.S.DIST(X168,TRUE))</f>
        <v/>
      </c>
      <c r="Z168" s="13">
        <f>IF(Y168="","",IF(Y168&lt;='组合输入'!$K6,"AAA",IF(Y168&lt;='组合输入'!$L6,"AA",IF(Y168&lt;='组合输入'!$M6,"A",IF(Y168&lt;='组合输入'!$N6,"BBB",IF(Y168&lt;='组合输入'!$O6,"BB",IF(Y168&lt;='组合输入'!$P6,"B",IF(Y168&lt;='组合输入'!$Q6,"CCC","D")))))))</f>
        <v/>
      </c>
      <c r="AA168" s="12">
        <f>IF(Z168="","",INDEX('状态价值'!$D6:$K6,MATCH(Z168,'状态价值'!$D$1:$K$1,0)))</f>
        <v/>
      </c>
      <c r="AB168" s="15">
        <f>NORM.S.INV(RAND())</f>
        <v/>
      </c>
      <c r="AC168" s="15">
        <f>IF('组合输入'!$C7="","",'组合输入'!$H7*$B168+SQRT(1-'组合输入'!$H7^2)*AB168)</f>
        <v/>
      </c>
      <c r="AD168" s="7">
        <f>IF(AC168="","",NORM.S.DIST(AC168,TRUE))</f>
        <v/>
      </c>
      <c r="AE168" s="13">
        <f>IF(AD168="","",IF(AD168&lt;='组合输入'!$K7,"AAA",IF(AD168&lt;='组合输入'!$L7,"AA",IF(AD168&lt;='组合输入'!$M7,"A",IF(AD168&lt;='组合输入'!$N7,"BBB",IF(AD168&lt;='组合输入'!$O7,"BB",IF(AD168&lt;='组合输入'!$P7,"B",IF(AD168&lt;='组合输入'!$Q7,"CCC","D")))))))</f>
        <v/>
      </c>
      <c r="AF168" s="12">
        <f>IF(AE168="","",INDEX('状态价值'!$D7:$K7,MATCH(AE168,'状态价值'!$D$1:$K$1,0)))</f>
        <v/>
      </c>
      <c r="AG168" s="15">
        <f>NORM.S.INV(RAND())</f>
        <v/>
      </c>
      <c r="AH168" s="15">
        <f>IF('组合输入'!$C8="","",'组合输入'!$H8*$B168+SQRT(1-'组合输入'!$H8^2)*AG168)</f>
        <v/>
      </c>
      <c r="AI168" s="7">
        <f>IF(AH168="","",NORM.S.DIST(AH168,TRUE))</f>
        <v/>
      </c>
      <c r="AJ168" s="13">
        <f>IF(AI168="","",IF(AI168&lt;='组合输入'!$K8,"AAA",IF(AI168&lt;='组合输入'!$L8,"AA",IF(AI168&lt;='组合输入'!$M8,"A",IF(AI168&lt;='组合输入'!$N8,"BBB",IF(AI168&lt;='组合输入'!$O8,"BB",IF(AI168&lt;='组合输入'!$P8,"B",IF(AI168&lt;='组合输入'!$Q8,"CCC","D")))))))</f>
        <v/>
      </c>
      <c r="AK168" s="12">
        <f>IF(AJ168="","",INDEX('状态价值'!$D8:$K8,MATCH(AJ168,'状态价值'!$D$1:$K$1,0)))</f>
        <v/>
      </c>
      <c r="AL168" s="15">
        <f>NORM.S.INV(RAND())</f>
        <v/>
      </c>
      <c r="AM168" s="15">
        <f>IF('组合输入'!$C9="","",'组合输入'!$H9*$B168+SQRT(1-'组合输入'!$H9^2)*AL168)</f>
        <v/>
      </c>
      <c r="AN168" s="7">
        <f>IF(AM168="","",NORM.S.DIST(AM168,TRUE))</f>
        <v/>
      </c>
      <c r="AO168" s="13">
        <f>IF(AN168="","",IF(AN168&lt;='组合输入'!$K9,"AAA",IF(AN168&lt;='组合输入'!$L9,"AA",IF(AN168&lt;='组合输入'!$M9,"A",IF(AN168&lt;='组合输入'!$N9,"BBB",IF(AN168&lt;='组合输入'!$O9,"BB",IF(AN168&lt;='组合输入'!$P9,"B",IF(AN168&lt;='组合输入'!$Q9,"CCC","D")))))))</f>
        <v/>
      </c>
      <c r="AP168" s="12">
        <f>IF(AO168="","",INDEX('状态价值'!$D9:$K9,MATCH(AO168,'状态价值'!$D$1:$K$1,0)))</f>
        <v/>
      </c>
      <c r="AQ168" s="15">
        <f>NORM.S.INV(RAND())</f>
        <v/>
      </c>
      <c r="AR168" s="15">
        <f>IF('组合输入'!$C10="","",'组合输入'!$H10*$B168+SQRT(1-'组合输入'!$H10^2)*AQ168)</f>
        <v/>
      </c>
      <c r="AS168" s="7">
        <f>IF(AR168="","",NORM.S.DIST(AR168,TRUE))</f>
        <v/>
      </c>
      <c r="AT168" s="13">
        <f>IF(AS168="","",IF(AS168&lt;='组合输入'!$K10,"AAA",IF(AS168&lt;='组合输入'!$L10,"AA",IF(AS168&lt;='组合输入'!$M10,"A",IF(AS168&lt;='组合输入'!$N10,"BBB",IF(AS168&lt;='组合输入'!$O10,"BB",IF(AS168&lt;='组合输入'!$P10,"B",IF(AS168&lt;='组合输入'!$Q10,"CCC","D")))))))</f>
        <v/>
      </c>
      <c r="AU168" s="12">
        <f>IF(AT168="","",INDEX('状态价值'!$D10:$K10,MATCH(AT168,'状态价值'!$D$1:$K$1,0)))</f>
        <v/>
      </c>
      <c r="AV168" s="15">
        <f>NORM.S.INV(RAND())</f>
        <v/>
      </c>
      <c r="AW168" s="15">
        <f>IF('组合输入'!$C11="","",'组合输入'!$H11*$B168+SQRT(1-'组合输入'!$H11^2)*AV168)</f>
        <v/>
      </c>
      <c r="AX168" s="7">
        <f>IF(AW168="","",NORM.S.DIST(AW168,TRUE))</f>
        <v/>
      </c>
      <c r="AY168" s="13">
        <f>IF(AX168="","",IF(AX168&lt;='组合输入'!$K11,"AAA",IF(AX168&lt;='组合输入'!$L11,"AA",IF(AX168&lt;='组合输入'!$M11,"A",IF(AX168&lt;='组合输入'!$N11,"BBB",IF(AX168&lt;='组合输入'!$O11,"BB",IF(AX168&lt;='组合输入'!$P11,"B",IF(AX168&lt;='组合输入'!$Q11,"CCC","D")))))))</f>
        <v/>
      </c>
      <c r="AZ168" s="12">
        <f>IF(AY168="","",INDEX('状态价值'!$D11:$K11,MATCH(AY168,'状态价值'!$D$1:$K$1,0)))</f>
        <v/>
      </c>
      <c r="BA168" s="12">
        <f>G168+L168+Q168+V168+AA168+AF168+AK168+AP168+AU168+AZ168</f>
        <v/>
      </c>
      <c r="BB168" s="12">
        <f>SUM('组合输入'!$J$2:$J$11)-BA168</f>
        <v/>
      </c>
    </row>
    <row r="169">
      <c r="A169" s="11" t="n">
        <v>168</v>
      </c>
      <c r="B169" s="14">
        <f>NORM.S.INV(RAND())</f>
        <v/>
      </c>
      <c r="C169" s="14">
        <f>NORM.S.INV(RAND())</f>
        <v/>
      </c>
      <c r="D169" s="15">
        <f>IF('组合输入'!$C2="","",'组合输入'!$H2*$B169+SQRT(1-'组合输入'!$H2^2)*C169)</f>
        <v/>
      </c>
      <c r="E169" s="7">
        <f>IF(D169="","",NORM.S.DIST(D169,TRUE))</f>
        <v/>
      </c>
      <c r="F169" s="13">
        <f>IF(E169="","",IF(E169&lt;='组合输入'!$K2,"AAA",IF(E169&lt;='组合输入'!$L2,"AA",IF(E169&lt;='组合输入'!$M2,"A",IF(E169&lt;='组合输入'!$N2,"BBB",IF(E169&lt;='组合输入'!$O2,"BB",IF(E169&lt;='组合输入'!$P2,"B",IF(E169&lt;='组合输入'!$Q2,"CCC","D")))))))</f>
        <v/>
      </c>
      <c r="G169" s="12">
        <f>IF(F169="","",INDEX('状态价值'!$D2:$K2,MATCH(F169,'状态价值'!$D$1:$K$1,0)))</f>
        <v/>
      </c>
      <c r="H169" s="15">
        <f>NORM.S.INV(RAND())</f>
        <v/>
      </c>
      <c r="I169" s="15">
        <f>IF('组合输入'!$C3="","",'组合输入'!$H3*$B169+SQRT(1-'组合输入'!$H3^2)*H169)</f>
        <v/>
      </c>
      <c r="J169" s="7">
        <f>IF(I169="","",NORM.S.DIST(I169,TRUE))</f>
        <v/>
      </c>
      <c r="K169" s="13">
        <f>IF(J169="","",IF(J169&lt;='组合输入'!$K3,"AAA",IF(J169&lt;='组合输入'!$L3,"AA",IF(J169&lt;='组合输入'!$M3,"A",IF(J169&lt;='组合输入'!$N3,"BBB",IF(J169&lt;='组合输入'!$O3,"BB",IF(J169&lt;='组合输入'!$P3,"B",IF(J169&lt;='组合输入'!$Q3,"CCC","D")))))))</f>
        <v/>
      </c>
      <c r="L169" s="12">
        <f>IF(K169="","",INDEX('状态价值'!$D3:$K3,MATCH(K169,'状态价值'!$D$1:$K$1,0)))</f>
        <v/>
      </c>
      <c r="M169" s="15">
        <f>NORM.S.INV(RAND())</f>
        <v/>
      </c>
      <c r="N169" s="15">
        <f>IF('组合输入'!$C4="","",'组合输入'!$H4*$B169+SQRT(1-'组合输入'!$H4^2)*M169)</f>
        <v/>
      </c>
      <c r="O169" s="7">
        <f>IF(N169="","",NORM.S.DIST(N169,TRUE))</f>
        <v/>
      </c>
      <c r="P169" s="13">
        <f>IF(O169="","",IF(O169&lt;='组合输入'!$K4,"AAA",IF(O169&lt;='组合输入'!$L4,"AA",IF(O169&lt;='组合输入'!$M4,"A",IF(O169&lt;='组合输入'!$N4,"BBB",IF(O169&lt;='组合输入'!$O4,"BB",IF(O169&lt;='组合输入'!$P4,"B",IF(O169&lt;='组合输入'!$Q4,"CCC","D")))))))</f>
        <v/>
      </c>
      <c r="Q169" s="12">
        <f>IF(P169="","",INDEX('状态价值'!$D4:$K4,MATCH(P169,'状态价值'!$D$1:$K$1,0)))</f>
        <v/>
      </c>
      <c r="R169" s="15">
        <f>NORM.S.INV(RAND())</f>
        <v/>
      </c>
      <c r="S169" s="15">
        <f>IF('组合输入'!$C5="","",'组合输入'!$H5*$B169+SQRT(1-'组合输入'!$H5^2)*R169)</f>
        <v/>
      </c>
      <c r="T169" s="7">
        <f>IF(S169="","",NORM.S.DIST(S169,TRUE))</f>
        <v/>
      </c>
      <c r="U169" s="13">
        <f>IF(T169="","",IF(T169&lt;='组合输入'!$K5,"AAA",IF(T169&lt;='组合输入'!$L5,"AA",IF(T169&lt;='组合输入'!$M5,"A",IF(T169&lt;='组合输入'!$N5,"BBB",IF(T169&lt;='组合输入'!$O5,"BB",IF(T169&lt;='组合输入'!$P5,"B",IF(T169&lt;='组合输入'!$Q5,"CCC","D")))))))</f>
        <v/>
      </c>
      <c r="V169" s="12">
        <f>IF(U169="","",INDEX('状态价值'!$D5:$K5,MATCH(U169,'状态价值'!$D$1:$K$1,0)))</f>
        <v/>
      </c>
      <c r="W169" s="15">
        <f>NORM.S.INV(RAND())</f>
        <v/>
      </c>
      <c r="X169" s="15">
        <f>IF('组合输入'!$C6="","",'组合输入'!$H6*$B169+SQRT(1-'组合输入'!$H6^2)*W169)</f>
        <v/>
      </c>
      <c r="Y169" s="7">
        <f>IF(X169="","",NORM.S.DIST(X169,TRUE))</f>
        <v/>
      </c>
      <c r="Z169" s="13">
        <f>IF(Y169="","",IF(Y169&lt;='组合输入'!$K6,"AAA",IF(Y169&lt;='组合输入'!$L6,"AA",IF(Y169&lt;='组合输入'!$M6,"A",IF(Y169&lt;='组合输入'!$N6,"BBB",IF(Y169&lt;='组合输入'!$O6,"BB",IF(Y169&lt;='组合输入'!$P6,"B",IF(Y169&lt;='组合输入'!$Q6,"CCC","D")))))))</f>
        <v/>
      </c>
      <c r="AA169" s="12">
        <f>IF(Z169="","",INDEX('状态价值'!$D6:$K6,MATCH(Z169,'状态价值'!$D$1:$K$1,0)))</f>
        <v/>
      </c>
      <c r="AB169" s="15">
        <f>NORM.S.INV(RAND())</f>
        <v/>
      </c>
      <c r="AC169" s="15">
        <f>IF('组合输入'!$C7="","",'组合输入'!$H7*$B169+SQRT(1-'组合输入'!$H7^2)*AB169)</f>
        <v/>
      </c>
      <c r="AD169" s="7">
        <f>IF(AC169="","",NORM.S.DIST(AC169,TRUE))</f>
        <v/>
      </c>
      <c r="AE169" s="13">
        <f>IF(AD169="","",IF(AD169&lt;='组合输入'!$K7,"AAA",IF(AD169&lt;='组合输入'!$L7,"AA",IF(AD169&lt;='组合输入'!$M7,"A",IF(AD169&lt;='组合输入'!$N7,"BBB",IF(AD169&lt;='组合输入'!$O7,"BB",IF(AD169&lt;='组合输入'!$P7,"B",IF(AD169&lt;='组合输入'!$Q7,"CCC","D")))))))</f>
        <v/>
      </c>
      <c r="AF169" s="12">
        <f>IF(AE169="","",INDEX('状态价值'!$D7:$K7,MATCH(AE169,'状态价值'!$D$1:$K$1,0)))</f>
        <v/>
      </c>
      <c r="AG169" s="15">
        <f>NORM.S.INV(RAND())</f>
        <v/>
      </c>
      <c r="AH169" s="15">
        <f>IF('组合输入'!$C8="","",'组合输入'!$H8*$B169+SQRT(1-'组合输入'!$H8^2)*AG169)</f>
        <v/>
      </c>
      <c r="AI169" s="7">
        <f>IF(AH169="","",NORM.S.DIST(AH169,TRUE))</f>
        <v/>
      </c>
      <c r="AJ169" s="13">
        <f>IF(AI169="","",IF(AI169&lt;='组合输入'!$K8,"AAA",IF(AI169&lt;='组合输入'!$L8,"AA",IF(AI169&lt;='组合输入'!$M8,"A",IF(AI169&lt;='组合输入'!$N8,"BBB",IF(AI169&lt;='组合输入'!$O8,"BB",IF(AI169&lt;='组合输入'!$P8,"B",IF(AI169&lt;='组合输入'!$Q8,"CCC","D")))))))</f>
        <v/>
      </c>
      <c r="AK169" s="12">
        <f>IF(AJ169="","",INDEX('状态价值'!$D8:$K8,MATCH(AJ169,'状态价值'!$D$1:$K$1,0)))</f>
        <v/>
      </c>
      <c r="AL169" s="15">
        <f>NORM.S.INV(RAND())</f>
        <v/>
      </c>
      <c r="AM169" s="15">
        <f>IF('组合输入'!$C9="","",'组合输入'!$H9*$B169+SQRT(1-'组合输入'!$H9^2)*AL169)</f>
        <v/>
      </c>
      <c r="AN169" s="7">
        <f>IF(AM169="","",NORM.S.DIST(AM169,TRUE))</f>
        <v/>
      </c>
      <c r="AO169" s="13">
        <f>IF(AN169="","",IF(AN169&lt;='组合输入'!$K9,"AAA",IF(AN169&lt;='组合输入'!$L9,"AA",IF(AN169&lt;='组合输入'!$M9,"A",IF(AN169&lt;='组合输入'!$N9,"BBB",IF(AN169&lt;='组合输入'!$O9,"BB",IF(AN169&lt;='组合输入'!$P9,"B",IF(AN169&lt;='组合输入'!$Q9,"CCC","D")))))))</f>
        <v/>
      </c>
      <c r="AP169" s="12">
        <f>IF(AO169="","",INDEX('状态价值'!$D9:$K9,MATCH(AO169,'状态价值'!$D$1:$K$1,0)))</f>
        <v/>
      </c>
      <c r="AQ169" s="15">
        <f>NORM.S.INV(RAND())</f>
        <v/>
      </c>
      <c r="AR169" s="15">
        <f>IF('组合输入'!$C10="","",'组合输入'!$H10*$B169+SQRT(1-'组合输入'!$H10^2)*AQ169)</f>
        <v/>
      </c>
      <c r="AS169" s="7">
        <f>IF(AR169="","",NORM.S.DIST(AR169,TRUE))</f>
        <v/>
      </c>
      <c r="AT169" s="13">
        <f>IF(AS169="","",IF(AS169&lt;='组合输入'!$K10,"AAA",IF(AS169&lt;='组合输入'!$L10,"AA",IF(AS169&lt;='组合输入'!$M10,"A",IF(AS169&lt;='组合输入'!$N10,"BBB",IF(AS169&lt;='组合输入'!$O10,"BB",IF(AS169&lt;='组合输入'!$P10,"B",IF(AS169&lt;='组合输入'!$Q10,"CCC","D")))))))</f>
        <v/>
      </c>
      <c r="AU169" s="12">
        <f>IF(AT169="","",INDEX('状态价值'!$D10:$K10,MATCH(AT169,'状态价值'!$D$1:$K$1,0)))</f>
        <v/>
      </c>
      <c r="AV169" s="15">
        <f>NORM.S.INV(RAND())</f>
        <v/>
      </c>
      <c r="AW169" s="15">
        <f>IF('组合输入'!$C11="","",'组合输入'!$H11*$B169+SQRT(1-'组合输入'!$H11^2)*AV169)</f>
        <v/>
      </c>
      <c r="AX169" s="7">
        <f>IF(AW169="","",NORM.S.DIST(AW169,TRUE))</f>
        <v/>
      </c>
      <c r="AY169" s="13">
        <f>IF(AX169="","",IF(AX169&lt;='组合输入'!$K11,"AAA",IF(AX169&lt;='组合输入'!$L11,"AA",IF(AX169&lt;='组合输入'!$M11,"A",IF(AX169&lt;='组合输入'!$N11,"BBB",IF(AX169&lt;='组合输入'!$O11,"BB",IF(AX169&lt;='组合输入'!$P11,"B",IF(AX169&lt;='组合输入'!$Q11,"CCC","D")))))))</f>
        <v/>
      </c>
      <c r="AZ169" s="12">
        <f>IF(AY169="","",INDEX('状态价值'!$D11:$K11,MATCH(AY169,'状态价值'!$D$1:$K$1,0)))</f>
        <v/>
      </c>
      <c r="BA169" s="12">
        <f>G169+L169+Q169+V169+AA169+AF169+AK169+AP169+AU169+AZ169</f>
        <v/>
      </c>
      <c r="BB169" s="12">
        <f>SUM('组合输入'!$J$2:$J$11)-BA169</f>
        <v/>
      </c>
    </row>
    <row r="170">
      <c r="A170" s="11" t="n">
        <v>169</v>
      </c>
      <c r="B170" s="14">
        <f>NORM.S.INV(RAND())</f>
        <v/>
      </c>
      <c r="C170" s="14">
        <f>NORM.S.INV(RAND())</f>
        <v/>
      </c>
      <c r="D170" s="15">
        <f>IF('组合输入'!$C2="","",'组合输入'!$H2*$B170+SQRT(1-'组合输入'!$H2^2)*C170)</f>
        <v/>
      </c>
      <c r="E170" s="7">
        <f>IF(D170="","",NORM.S.DIST(D170,TRUE))</f>
        <v/>
      </c>
      <c r="F170" s="13">
        <f>IF(E170="","",IF(E170&lt;='组合输入'!$K2,"AAA",IF(E170&lt;='组合输入'!$L2,"AA",IF(E170&lt;='组合输入'!$M2,"A",IF(E170&lt;='组合输入'!$N2,"BBB",IF(E170&lt;='组合输入'!$O2,"BB",IF(E170&lt;='组合输入'!$P2,"B",IF(E170&lt;='组合输入'!$Q2,"CCC","D")))))))</f>
        <v/>
      </c>
      <c r="G170" s="12">
        <f>IF(F170="","",INDEX('状态价值'!$D2:$K2,MATCH(F170,'状态价值'!$D$1:$K$1,0)))</f>
        <v/>
      </c>
      <c r="H170" s="15">
        <f>NORM.S.INV(RAND())</f>
        <v/>
      </c>
      <c r="I170" s="15">
        <f>IF('组合输入'!$C3="","",'组合输入'!$H3*$B170+SQRT(1-'组合输入'!$H3^2)*H170)</f>
        <v/>
      </c>
      <c r="J170" s="7">
        <f>IF(I170="","",NORM.S.DIST(I170,TRUE))</f>
        <v/>
      </c>
      <c r="K170" s="13">
        <f>IF(J170="","",IF(J170&lt;='组合输入'!$K3,"AAA",IF(J170&lt;='组合输入'!$L3,"AA",IF(J170&lt;='组合输入'!$M3,"A",IF(J170&lt;='组合输入'!$N3,"BBB",IF(J170&lt;='组合输入'!$O3,"BB",IF(J170&lt;='组合输入'!$P3,"B",IF(J170&lt;='组合输入'!$Q3,"CCC","D")))))))</f>
        <v/>
      </c>
      <c r="L170" s="12">
        <f>IF(K170="","",INDEX('状态价值'!$D3:$K3,MATCH(K170,'状态价值'!$D$1:$K$1,0)))</f>
        <v/>
      </c>
      <c r="M170" s="15">
        <f>NORM.S.INV(RAND())</f>
        <v/>
      </c>
      <c r="N170" s="15">
        <f>IF('组合输入'!$C4="","",'组合输入'!$H4*$B170+SQRT(1-'组合输入'!$H4^2)*M170)</f>
        <v/>
      </c>
      <c r="O170" s="7">
        <f>IF(N170="","",NORM.S.DIST(N170,TRUE))</f>
        <v/>
      </c>
      <c r="P170" s="13">
        <f>IF(O170="","",IF(O170&lt;='组合输入'!$K4,"AAA",IF(O170&lt;='组合输入'!$L4,"AA",IF(O170&lt;='组合输入'!$M4,"A",IF(O170&lt;='组合输入'!$N4,"BBB",IF(O170&lt;='组合输入'!$O4,"BB",IF(O170&lt;='组合输入'!$P4,"B",IF(O170&lt;='组合输入'!$Q4,"CCC","D")))))))</f>
        <v/>
      </c>
      <c r="Q170" s="12">
        <f>IF(P170="","",INDEX('状态价值'!$D4:$K4,MATCH(P170,'状态价值'!$D$1:$K$1,0)))</f>
        <v/>
      </c>
      <c r="R170" s="15">
        <f>NORM.S.INV(RAND())</f>
        <v/>
      </c>
      <c r="S170" s="15">
        <f>IF('组合输入'!$C5="","",'组合输入'!$H5*$B170+SQRT(1-'组合输入'!$H5^2)*R170)</f>
        <v/>
      </c>
      <c r="T170" s="7">
        <f>IF(S170="","",NORM.S.DIST(S170,TRUE))</f>
        <v/>
      </c>
      <c r="U170" s="13">
        <f>IF(T170="","",IF(T170&lt;='组合输入'!$K5,"AAA",IF(T170&lt;='组合输入'!$L5,"AA",IF(T170&lt;='组合输入'!$M5,"A",IF(T170&lt;='组合输入'!$N5,"BBB",IF(T170&lt;='组合输入'!$O5,"BB",IF(T170&lt;='组合输入'!$P5,"B",IF(T170&lt;='组合输入'!$Q5,"CCC","D")))))))</f>
        <v/>
      </c>
      <c r="V170" s="12">
        <f>IF(U170="","",INDEX('状态价值'!$D5:$K5,MATCH(U170,'状态价值'!$D$1:$K$1,0)))</f>
        <v/>
      </c>
      <c r="W170" s="15">
        <f>NORM.S.INV(RAND())</f>
        <v/>
      </c>
      <c r="X170" s="15">
        <f>IF('组合输入'!$C6="","",'组合输入'!$H6*$B170+SQRT(1-'组合输入'!$H6^2)*W170)</f>
        <v/>
      </c>
      <c r="Y170" s="7">
        <f>IF(X170="","",NORM.S.DIST(X170,TRUE))</f>
        <v/>
      </c>
      <c r="Z170" s="13">
        <f>IF(Y170="","",IF(Y170&lt;='组合输入'!$K6,"AAA",IF(Y170&lt;='组合输入'!$L6,"AA",IF(Y170&lt;='组合输入'!$M6,"A",IF(Y170&lt;='组合输入'!$N6,"BBB",IF(Y170&lt;='组合输入'!$O6,"BB",IF(Y170&lt;='组合输入'!$P6,"B",IF(Y170&lt;='组合输入'!$Q6,"CCC","D")))))))</f>
        <v/>
      </c>
      <c r="AA170" s="12">
        <f>IF(Z170="","",INDEX('状态价值'!$D6:$K6,MATCH(Z170,'状态价值'!$D$1:$K$1,0)))</f>
        <v/>
      </c>
      <c r="AB170" s="15">
        <f>NORM.S.INV(RAND())</f>
        <v/>
      </c>
      <c r="AC170" s="15">
        <f>IF('组合输入'!$C7="","",'组合输入'!$H7*$B170+SQRT(1-'组合输入'!$H7^2)*AB170)</f>
        <v/>
      </c>
      <c r="AD170" s="7">
        <f>IF(AC170="","",NORM.S.DIST(AC170,TRUE))</f>
        <v/>
      </c>
      <c r="AE170" s="13">
        <f>IF(AD170="","",IF(AD170&lt;='组合输入'!$K7,"AAA",IF(AD170&lt;='组合输入'!$L7,"AA",IF(AD170&lt;='组合输入'!$M7,"A",IF(AD170&lt;='组合输入'!$N7,"BBB",IF(AD170&lt;='组合输入'!$O7,"BB",IF(AD170&lt;='组合输入'!$P7,"B",IF(AD170&lt;='组合输入'!$Q7,"CCC","D")))))))</f>
        <v/>
      </c>
      <c r="AF170" s="12">
        <f>IF(AE170="","",INDEX('状态价值'!$D7:$K7,MATCH(AE170,'状态价值'!$D$1:$K$1,0)))</f>
        <v/>
      </c>
      <c r="AG170" s="15">
        <f>NORM.S.INV(RAND())</f>
        <v/>
      </c>
      <c r="AH170" s="15">
        <f>IF('组合输入'!$C8="","",'组合输入'!$H8*$B170+SQRT(1-'组合输入'!$H8^2)*AG170)</f>
        <v/>
      </c>
      <c r="AI170" s="7">
        <f>IF(AH170="","",NORM.S.DIST(AH170,TRUE))</f>
        <v/>
      </c>
      <c r="AJ170" s="13">
        <f>IF(AI170="","",IF(AI170&lt;='组合输入'!$K8,"AAA",IF(AI170&lt;='组合输入'!$L8,"AA",IF(AI170&lt;='组合输入'!$M8,"A",IF(AI170&lt;='组合输入'!$N8,"BBB",IF(AI170&lt;='组合输入'!$O8,"BB",IF(AI170&lt;='组合输入'!$P8,"B",IF(AI170&lt;='组合输入'!$Q8,"CCC","D")))))))</f>
        <v/>
      </c>
      <c r="AK170" s="12">
        <f>IF(AJ170="","",INDEX('状态价值'!$D8:$K8,MATCH(AJ170,'状态价值'!$D$1:$K$1,0)))</f>
        <v/>
      </c>
      <c r="AL170" s="15">
        <f>NORM.S.INV(RAND())</f>
        <v/>
      </c>
      <c r="AM170" s="15">
        <f>IF('组合输入'!$C9="","",'组合输入'!$H9*$B170+SQRT(1-'组合输入'!$H9^2)*AL170)</f>
        <v/>
      </c>
      <c r="AN170" s="7">
        <f>IF(AM170="","",NORM.S.DIST(AM170,TRUE))</f>
        <v/>
      </c>
      <c r="AO170" s="13">
        <f>IF(AN170="","",IF(AN170&lt;='组合输入'!$K9,"AAA",IF(AN170&lt;='组合输入'!$L9,"AA",IF(AN170&lt;='组合输入'!$M9,"A",IF(AN170&lt;='组合输入'!$N9,"BBB",IF(AN170&lt;='组合输入'!$O9,"BB",IF(AN170&lt;='组合输入'!$P9,"B",IF(AN170&lt;='组合输入'!$Q9,"CCC","D")))))))</f>
        <v/>
      </c>
      <c r="AP170" s="12">
        <f>IF(AO170="","",INDEX('状态价值'!$D9:$K9,MATCH(AO170,'状态价值'!$D$1:$K$1,0)))</f>
        <v/>
      </c>
      <c r="AQ170" s="15">
        <f>NORM.S.INV(RAND())</f>
        <v/>
      </c>
      <c r="AR170" s="15">
        <f>IF('组合输入'!$C10="","",'组合输入'!$H10*$B170+SQRT(1-'组合输入'!$H10^2)*AQ170)</f>
        <v/>
      </c>
      <c r="AS170" s="7">
        <f>IF(AR170="","",NORM.S.DIST(AR170,TRUE))</f>
        <v/>
      </c>
      <c r="AT170" s="13">
        <f>IF(AS170="","",IF(AS170&lt;='组合输入'!$K10,"AAA",IF(AS170&lt;='组合输入'!$L10,"AA",IF(AS170&lt;='组合输入'!$M10,"A",IF(AS170&lt;='组合输入'!$N10,"BBB",IF(AS170&lt;='组合输入'!$O10,"BB",IF(AS170&lt;='组合输入'!$P10,"B",IF(AS170&lt;='组合输入'!$Q10,"CCC","D")))))))</f>
        <v/>
      </c>
      <c r="AU170" s="12">
        <f>IF(AT170="","",INDEX('状态价值'!$D10:$K10,MATCH(AT170,'状态价值'!$D$1:$K$1,0)))</f>
        <v/>
      </c>
      <c r="AV170" s="15">
        <f>NORM.S.INV(RAND())</f>
        <v/>
      </c>
      <c r="AW170" s="15">
        <f>IF('组合输入'!$C11="","",'组合输入'!$H11*$B170+SQRT(1-'组合输入'!$H11^2)*AV170)</f>
        <v/>
      </c>
      <c r="AX170" s="7">
        <f>IF(AW170="","",NORM.S.DIST(AW170,TRUE))</f>
        <v/>
      </c>
      <c r="AY170" s="13">
        <f>IF(AX170="","",IF(AX170&lt;='组合输入'!$K11,"AAA",IF(AX170&lt;='组合输入'!$L11,"AA",IF(AX170&lt;='组合输入'!$M11,"A",IF(AX170&lt;='组合输入'!$N11,"BBB",IF(AX170&lt;='组合输入'!$O11,"BB",IF(AX170&lt;='组合输入'!$P11,"B",IF(AX170&lt;='组合输入'!$Q11,"CCC","D")))))))</f>
        <v/>
      </c>
      <c r="AZ170" s="12">
        <f>IF(AY170="","",INDEX('状态价值'!$D11:$K11,MATCH(AY170,'状态价值'!$D$1:$K$1,0)))</f>
        <v/>
      </c>
      <c r="BA170" s="12">
        <f>G170+L170+Q170+V170+AA170+AF170+AK170+AP170+AU170+AZ170</f>
        <v/>
      </c>
      <c r="BB170" s="12">
        <f>SUM('组合输入'!$J$2:$J$11)-BA170</f>
        <v/>
      </c>
    </row>
    <row r="171">
      <c r="A171" s="11" t="n">
        <v>170</v>
      </c>
      <c r="B171" s="14">
        <f>NORM.S.INV(RAND())</f>
        <v/>
      </c>
      <c r="C171" s="14">
        <f>NORM.S.INV(RAND())</f>
        <v/>
      </c>
      <c r="D171" s="15">
        <f>IF('组合输入'!$C2="","",'组合输入'!$H2*$B171+SQRT(1-'组合输入'!$H2^2)*C171)</f>
        <v/>
      </c>
      <c r="E171" s="7">
        <f>IF(D171="","",NORM.S.DIST(D171,TRUE))</f>
        <v/>
      </c>
      <c r="F171" s="13">
        <f>IF(E171="","",IF(E171&lt;='组合输入'!$K2,"AAA",IF(E171&lt;='组合输入'!$L2,"AA",IF(E171&lt;='组合输入'!$M2,"A",IF(E171&lt;='组合输入'!$N2,"BBB",IF(E171&lt;='组合输入'!$O2,"BB",IF(E171&lt;='组合输入'!$P2,"B",IF(E171&lt;='组合输入'!$Q2,"CCC","D")))))))</f>
        <v/>
      </c>
      <c r="G171" s="12">
        <f>IF(F171="","",INDEX('状态价值'!$D2:$K2,MATCH(F171,'状态价值'!$D$1:$K$1,0)))</f>
        <v/>
      </c>
      <c r="H171" s="15">
        <f>NORM.S.INV(RAND())</f>
        <v/>
      </c>
      <c r="I171" s="15">
        <f>IF('组合输入'!$C3="","",'组合输入'!$H3*$B171+SQRT(1-'组合输入'!$H3^2)*H171)</f>
        <v/>
      </c>
      <c r="J171" s="7">
        <f>IF(I171="","",NORM.S.DIST(I171,TRUE))</f>
        <v/>
      </c>
      <c r="K171" s="13">
        <f>IF(J171="","",IF(J171&lt;='组合输入'!$K3,"AAA",IF(J171&lt;='组合输入'!$L3,"AA",IF(J171&lt;='组合输入'!$M3,"A",IF(J171&lt;='组合输入'!$N3,"BBB",IF(J171&lt;='组合输入'!$O3,"BB",IF(J171&lt;='组合输入'!$P3,"B",IF(J171&lt;='组合输入'!$Q3,"CCC","D")))))))</f>
        <v/>
      </c>
      <c r="L171" s="12">
        <f>IF(K171="","",INDEX('状态价值'!$D3:$K3,MATCH(K171,'状态价值'!$D$1:$K$1,0)))</f>
        <v/>
      </c>
      <c r="M171" s="15">
        <f>NORM.S.INV(RAND())</f>
        <v/>
      </c>
      <c r="N171" s="15">
        <f>IF('组合输入'!$C4="","",'组合输入'!$H4*$B171+SQRT(1-'组合输入'!$H4^2)*M171)</f>
        <v/>
      </c>
      <c r="O171" s="7">
        <f>IF(N171="","",NORM.S.DIST(N171,TRUE))</f>
        <v/>
      </c>
      <c r="P171" s="13">
        <f>IF(O171="","",IF(O171&lt;='组合输入'!$K4,"AAA",IF(O171&lt;='组合输入'!$L4,"AA",IF(O171&lt;='组合输入'!$M4,"A",IF(O171&lt;='组合输入'!$N4,"BBB",IF(O171&lt;='组合输入'!$O4,"BB",IF(O171&lt;='组合输入'!$P4,"B",IF(O171&lt;='组合输入'!$Q4,"CCC","D")))))))</f>
        <v/>
      </c>
      <c r="Q171" s="12">
        <f>IF(P171="","",INDEX('状态价值'!$D4:$K4,MATCH(P171,'状态价值'!$D$1:$K$1,0)))</f>
        <v/>
      </c>
      <c r="R171" s="15">
        <f>NORM.S.INV(RAND())</f>
        <v/>
      </c>
      <c r="S171" s="15">
        <f>IF('组合输入'!$C5="","",'组合输入'!$H5*$B171+SQRT(1-'组合输入'!$H5^2)*R171)</f>
        <v/>
      </c>
      <c r="T171" s="7">
        <f>IF(S171="","",NORM.S.DIST(S171,TRUE))</f>
        <v/>
      </c>
      <c r="U171" s="13">
        <f>IF(T171="","",IF(T171&lt;='组合输入'!$K5,"AAA",IF(T171&lt;='组合输入'!$L5,"AA",IF(T171&lt;='组合输入'!$M5,"A",IF(T171&lt;='组合输入'!$N5,"BBB",IF(T171&lt;='组合输入'!$O5,"BB",IF(T171&lt;='组合输入'!$P5,"B",IF(T171&lt;='组合输入'!$Q5,"CCC","D")))))))</f>
        <v/>
      </c>
      <c r="V171" s="12">
        <f>IF(U171="","",INDEX('状态价值'!$D5:$K5,MATCH(U171,'状态价值'!$D$1:$K$1,0)))</f>
        <v/>
      </c>
      <c r="W171" s="15">
        <f>NORM.S.INV(RAND())</f>
        <v/>
      </c>
      <c r="X171" s="15">
        <f>IF('组合输入'!$C6="","",'组合输入'!$H6*$B171+SQRT(1-'组合输入'!$H6^2)*W171)</f>
        <v/>
      </c>
      <c r="Y171" s="7">
        <f>IF(X171="","",NORM.S.DIST(X171,TRUE))</f>
        <v/>
      </c>
      <c r="Z171" s="13">
        <f>IF(Y171="","",IF(Y171&lt;='组合输入'!$K6,"AAA",IF(Y171&lt;='组合输入'!$L6,"AA",IF(Y171&lt;='组合输入'!$M6,"A",IF(Y171&lt;='组合输入'!$N6,"BBB",IF(Y171&lt;='组合输入'!$O6,"BB",IF(Y171&lt;='组合输入'!$P6,"B",IF(Y171&lt;='组合输入'!$Q6,"CCC","D")))))))</f>
        <v/>
      </c>
      <c r="AA171" s="12">
        <f>IF(Z171="","",INDEX('状态价值'!$D6:$K6,MATCH(Z171,'状态价值'!$D$1:$K$1,0)))</f>
        <v/>
      </c>
      <c r="AB171" s="15">
        <f>NORM.S.INV(RAND())</f>
        <v/>
      </c>
      <c r="AC171" s="15">
        <f>IF('组合输入'!$C7="","",'组合输入'!$H7*$B171+SQRT(1-'组合输入'!$H7^2)*AB171)</f>
        <v/>
      </c>
      <c r="AD171" s="7">
        <f>IF(AC171="","",NORM.S.DIST(AC171,TRUE))</f>
        <v/>
      </c>
      <c r="AE171" s="13">
        <f>IF(AD171="","",IF(AD171&lt;='组合输入'!$K7,"AAA",IF(AD171&lt;='组合输入'!$L7,"AA",IF(AD171&lt;='组合输入'!$M7,"A",IF(AD171&lt;='组合输入'!$N7,"BBB",IF(AD171&lt;='组合输入'!$O7,"BB",IF(AD171&lt;='组合输入'!$P7,"B",IF(AD171&lt;='组合输入'!$Q7,"CCC","D")))))))</f>
        <v/>
      </c>
      <c r="AF171" s="12">
        <f>IF(AE171="","",INDEX('状态价值'!$D7:$K7,MATCH(AE171,'状态价值'!$D$1:$K$1,0)))</f>
        <v/>
      </c>
      <c r="AG171" s="15">
        <f>NORM.S.INV(RAND())</f>
        <v/>
      </c>
      <c r="AH171" s="15">
        <f>IF('组合输入'!$C8="","",'组合输入'!$H8*$B171+SQRT(1-'组合输入'!$H8^2)*AG171)</f>
        <v/>
      </c>
      <c r="AI171" s="7">
        <f>IF(AH171="","",NORM.S.DIST(AH171,TRUE))</f>
        <v/>
      </c>
      <c r="AJ171" s="13">
        <f>IF(AI171="","",IF(AI171&lt;='组合输入'!$K8,"AAA",IF(AI171&lt;='组合输入'!$L8,"AA",IF(AI171&lt;='组合输入'!$M8,"A",IF(AI171&lt;='组合输入'!$N8,"BBB",IF(AI171&lt;='组合输入'!$O8,"BB",IF(AI171&lt;='组合输入'!$P8,"B",IF(AI171&lt;='组合输入'!$Q8,"CCC","D")))))))</f>
        <v/>
      </c>
      <c r="AK171" s="12">
        <f>IF(AJ171="","",INDEX('状态价值'!$D8:$K8,MATCH(AJ171,'状态价值'!$D$1:$K$1,0)))</f>
        <v/>
      </c>
      <c r="AL171" s="15">
        <f>NORM.S.INV(RAND())</f>
        <v/>
      </c>
      <c r="AM171" s="15">
        <f>IF('组合输入'!$C9="","",'组合输入'!$H9*$B171+SQRT(1-'组合输入'!$H9^2)*AL171)</f>
        <v/>
      </c>
      <c r="AN171" s="7">
        <f>IF(AM171="","",NORM.S.DIST(AM171,TRUE))</f>
        <v/>
      </c>
      <c r="AO171" s="13">
        <f>IF(AN171="","",IF(AN171&lt;='组合输入'!$K9,"AAA",IF(AN171&lt;='组合输入'!$L9,"AA",IF(AN171&lt;='组合输入'!$M9,"A",IF(AN171&lt;='组合输入'!$N9,"BBB",IF(AN171&lt;='组合输入'!$O9,"BB",IF(AN171&lt;='组合输入'!$P9,"B",IF(AN171&lt;='组合输入'!$Q9,"CCC","D")))))))</f>
        <v/>
      </c>
      <c r="AP171" s="12">
        <f>IF(AO171="","",INDEX('状态价值'!$D9:$K9,MATCH(AO171,'状态价值'!$D$1:$K$1,0)))</f>
        <v/>
      </c>
      <c r="AQ171" s="15">
        <f>NORM.S.INV(RAND())</f>
        <v/>
      </c>
      <c r="AR171" s="15">
        <f>IF('组合输入'!$C10="","",'组合输入'!$H10*$B171+SQRT(1-'组合输入'!$H10^2)*AQ171)</f>
        <v/>
      </c>
      <c r="AS171" s="7">
        <f>IF(AR171="","",NORM.S.DIST(AR171,TRUE))</f>
        <v/>
      </c>
      <c r="AT171" s="13">
        <f>IF(AS171="","",IF(AS171&lt;='组合输入'!$K10,"AAA",IF(AS171&lt;='组合输入'!$L10,"AA",IF(AS171&lt;='组合输入'!$M10,"A",IF(AS171&lt;='组合输入'!$N10,"BBB",IF(AS171&lt;='组合输入'!$O10,"BB",IF(AS171&lt;='组合输入'!$P10,"B",IF(AS171&lt;='组合输入'!$Q10,"CCC","D")))))))</f>
        <v/>
      </c>
      <c r="AU171" s="12">
        <f>IF(AT171="","",INDEX('状态价值'!$D10:$K10,MATCH(AT171,'状态价值'!$D$1:$K$1,0)))</f>
        <v/>
      </c>
      <c r="AV171" s="15">
        <f>NORM.S.INV(RAND())</f>
        <v/>
      </c>
      <c r="AW171" s="15">
        <f>IF('组合输入'!$C11="","",'组合输入'!$H11*$B171+SQRT(1-'组合输入'!$H11^2)*AV171)</f>
        <v/>
      </c>
      <c r="AX171" s="7">
        <f>IF(AW171="","",NORM.S.DIST(AW171,TRUE))</f>
        <v/>
      </c>
      <c r="AY171" s="13">
        <f>IF(AX171="","",IF(AX171&lt;='组合输入'!$K11,"AAA",IF(AX171&lt;='组合输入'!$L11,"AA",IF(AX171&lt;='组合输入'!$M11,"A",IF(AX171&lt;='组合输入'!$N11,"BBB",IF(AX171&lt;='组合输入'!$O11,"BB",IF(AX171&lt;='组合输入'!$P11,"B",IF(AX171&lt;='组合输入'!$Q11,"CCC","D")))))))</f>
        <v/>
      </c>
      <c r="AZ171" s="12">
        <f>IF(AY171="","",INDEX('状态价值'!$D11:$K11,MATCH(AY171,'状态价值'!$D$1:$K$1,0)))</f>
        <v/>
      </c>
      <c r="BA171" s="12">
        <f>G171+L171+Q171+V171+AA171+AF171+AK171+AP171+AU171+AZ171</f>
        <v/>
      </c>
      <c r="BB171" s="12">
        <f>SUM('组合输入'!$J$2:$J$11)-BA171</f>
        <v/>
      </c>
    </row>
    <row r="172">
      <c r="A172" s="11" t="n">
        <v>171</v>
      </c>
      <c r="B172" s="14">
        <f>NORM.S.INV(RAND())</f>
        <v/>
      </c>
      <c r="C172" s="14">
        <f>NORM.S.INV(RAND())</f>
        <v/>
      </c>
      <c r="D172" s="15">
        <f>IF('组合输入'!$C2="","",'组合输入'!$H2*$B172+SQRT(1-'组合输入'!$H2^2)*C172)</f>
        <v/>
      </c>
      <c r="E172" s="7">
        <f>IF(D172="","",NORM.S.DIST(D172,TRUE))</f>
        <v/>
      </c>
      <c r="F172" s="13">
        <f>IF(E172="","",IF(E172&lt;='组合输入'!$K2,"AAA",IF(E172&lt;='组合输入'!$L2,"AA",IF(E172&lt;='组合输入'!$M2,"A",IF(E172&lt;='组合输入'!$N2,"BBB",IF(E172&lt;='组合输入'!$O2,"BB",IF(E172&lt;='组合输入'!$P2,"B",IF(E172&lt;='组合输入'!$Q2,"CCC","D")))))))</f>
        <v/>
      </c>
      <c r="G172" s="12">
        <f>IF(F172="","",INDEX('状态价值'!$D2:$K2,MATCH(F172,'状态价值'!$D$1:$K$1,0)))</f>
        <v/>
      </c>
      <c r="H172" s="15">
        <f>NORM.S.INV(RAND())</f>
        <v/>
      </c>
      <c r="I172" s="15">
        <f>IF('组合输入'!$C3="","",'组合输入'!$H3*$B172+SQRT(1-'组合输入'!$H3^2)*H172)</f>
        <v/>
      </c>
      <c r="J172" s="7">
        <f>IF(I172="","",NORM.S.DIST(I172,TRUE))</f>
        <v/>
      </c>
      <c r="K172" s="13">
        <f>IF(J172="","",IF(J172&lt;='组合输入'!$K3,"AAA",IF(J172&lt;='组合输入'!$L3,"AA",IF(J172&lt;='组合输入'!$M3,"A",IF(J172&lt;='组合输入'!$N3,"BBB",IF(J172&lt;='组合输入'!$O3,"BB",IF(J172&lt;='组合输入'!$P3,"B",IF(J172&lt;='组合输入'!$Q3,"CCC","D")))))))</f>
        <v/>
      </c>
      <c r="L172" s="12">
        <f>IF(K172="","",INDEX('状态价值'!$D3:$K3,MATCH(K172,'状态价值'!$D$1:$K$1,0)))</f>
        <v/>
      </c>
      <c r="M172" s="15">
        <f>NORM.S.INV(RAND())</f>
        <v/>
      </c>
      <c r="N172" s="15">
        <f>IF('组合输入'!$C4="","",'组合输入'!$H4*$B172+SQRT(1-'组合输入'!$H4^2)*M172)</f>
        <v/>
      </c>
      <c r="O172" s="7">
        <f>IF(N172="","",NORM.S.DIST(N172,TRUE))</f>
        <v/>
      </c>
      <c r="P172" s="13">
        <f>IF(O172="","",IF(O172&lt;='组合输入'!$K4,"AAA",IF(O172&lt;='组合输入'!$L4,"AA",IF(O172&lt;='组合输入'!$M4,"A",IF(O172&lt;='组合输入'!$N4,"BBB",IF(O172&lt;='组合输入'!$O4,"BB",IF(O172&lt;='组合输入'!$P4,"B",IF(O172&lt;='组合输入'!$Q4,"CCC","D")))))))</f>
        <v/>
      </c>
      <c r="Q172" s="12">
        <f>IF(P172="","",INDEX('状态价值'!$D4:$K4,MATCH(P172,'状态价值'!$D$1:$K$1,0)))</f>
        <v/>
      </c>
      <c r="R172" s="15">
        <f>NORM.S.INV(RAND())</f>
        <v/>
      </c>
      <c r="S172" s="15">
        <f>IF('组合输入'!$C5="","",'组合输入'!$H5*$B172+SQRT(1-'组合输入'!$H5^2)*R172)</f>
        <v/>
      </c>
      <c r="T172" s="7">
        <f>IF(S172="","",NORM.S.DIST(S172,TRUE))</f>
        <v/>
      </c>
      <c r="U172" s="13">
        <f>IF(T172="","",IF(T172&lt;='组合输入'!$K5,"AAA",IF(T172&lt;='组合输入'!$L5,"AA",IF(T172&lt;='组合输入'!$M5,"A",IF(T172&lt;='组合输入'!$N5,"BBB",IF(T172&lt;='组合输入'!$O5,"BB",IF(T172&lt;='组合输入'!$P5,"B",IF(T172&lt;='组合输入'!$Q5,"CCC","D")))))))</f>
        <v/>
      </c>
      <c r="V172" s="12">
        <f>IF(U172="","",INDEX('状态价值'!$D5:$K5,MATCH(U172,'状态价值'!$D$1:$K$1,0)))</f>
        <v/>
      </c>
      <c r="W172" s="15">
        <f>NORM.S.INV(RAND())</f>
        <v/>
      </c>
      <c r="X172" s="15">
        <f>IF('组合输入'!$C6="","",'组合输入'!$H6*$B172+SQRT(1-'组合输入'!$H6^2)*W172)</f>
        <v/>
      </c>
      <c r="Y172" s="7">
        <f>IF(X172="","",NORM.S.DIST(X172,TRUE))</f>
        <v/>
      </c>
      <c r="Z172" s="13">
        <f>IF(Y172="","",IF(Y172&lt;='组合输入'!$K6,"AAA",IF(Y172&lt;='组合输入'!$L6,"AA",IF(Y172&lt;='组合输入'!$M6,"A",IF(Y172&lt;='组合输入'!$N6,"BBB",IF(Y172&lt;='组合输入'!$O6,"BB",IF(Y172&lt;='组合输入'!$P6,"B",IF(Y172&lt;='组合输入'!$Q6,"CCC","D")))))))</f>
        <v/>
      </c>
      <c r="AA172" s="12">
        <f>IF(Z172="","",INDEX('状态价值'!$D6:$K6,MATCH(Z172,'状态价值'!$D$1:$K$1,0)))</f>
        <v/>
      </c>
      <c r="AB172" s="15">
        <f>NORM.S.INV(RAND())</f>
        <v/>
      </c>
      <c r="AC172" s="15">
        <f>IF('组合输入'!$C7="","",'组合输入'!$H7*$B172+SQRT(1-'组合输入'!$H7^2)*AB172)</f>
        <v/>
      </c>
      <c r="AD172" s="7">
        <f>IF(AC172="","",NORM.S.DIST(AC172,TRUE))</f>
        <v/>
      </c>
      <c r="AE172" s="13">
        <f>IF(AD172="","",IF(AD172&lt;='组合输入'!$K7,"AAA",IF(AD172&lt;='组合输入'!$L7,"AA",IF(AD172&lt;='组合输入'!$M7,"A",IF(AD172&lt;='组合输入'!$N7,"BBB",IF(AD172&lt;='组合输入'!$O7,"BB",IF(AD172&lt;='组合输入'!$P7,"B",IF(AD172&lt;='组合输入'!$Q7,"CCC","D")))))))</f>
        <v/>
      </c>
      <c r="AF172" s="12">
        <f>IF(AE172="","",INDEX('状态价值'!$D7:$K7,MATCH(AE172,'状态价值'!$D$1:$K$1,0)))</f>
        <v/>
      </c>
      <c r="AG172" s="15">
        <f>NORM.S.INV(RAND())</f>
        <v/>
      </c>
      <c r="AH172" s="15">
        <f>IF('组合输入'!$C8="","",'组合输入'!$H8*$B172+SQRT(1-'组合输入'!$H8^2)*AG172)</f>
        <v/>
      </c>
      <c r="AI172" s="7">
        <f>IF(AH172="","",NORM.S.DIST(AH172,TRUE))</f>
        <v/>
      </c>
      <c r="AJ172" s="13">
        <f>IF(AI172="","",IF(AI172&lt;='组合输入'!$K8,"AAA",IF(AI172&lt;='组合输入'!$L8,"AA",IF(AI172&lt;='组合输入'!$M8,"A",IF(AI172&lt;='组合输入'!$N8,"BBB",IF(AI172&lt;='组合输入'!$O8,"BB",IF(AI172&lt;='组合输入'!$P8,"B",IF(AI172&lt;='组合输入'!$Q8,"CCC","D")))))))</f>
        <v/>
      </c>
      <c r="AK172" s="12">
        <f>IF(AJ172="","",INDEX('状态价值'!$D8:$K8,MATCH(AJ172,'状态价值'!$D$1:$K$1,0)))</f>
        <v/>
      </c>
      <c r="AL172" s="15">
        <f>NORM.S.INV(RAND())</f>
        <v/>
      </c>
      <c r="AM172" s="15">
        <f>IF('组合输入'!$C9="","",'组合输入'!$H9*$B172+SQRT(1-'组合输入'!$H9^2)*AL172)</f>
        <v/>
      </c>
      <c r="AN172" s="7">
        <f>IF(AM172="","",NORM.S.DIST(AM172,TRUE))</f>
        <v/>
      </c>
      <c r="AO172" s="13">
        <f>IF(AN172="","",IF(AN172&lt;='组合输入'!$K9,"AAA",IF(AN172&lt;='组合输入'!$L9,"AA",IF(AN172&lt;='组合输入'!$M9,"A",IF(AN172&lt;='组合输入'!$N9,"BBB",IF(AN172&lt;='组合输入'!$O9,"BB",IF(AN172&lt;='组合输入'!$P9,"B",IF(AN172&lt;='组合输入'!$Q9,"CCC","D")))))))</f>
        <v/>
      </c>
      <c r="AP172" s="12">
        <f>IF(AO172="","",INDEX('状态价值'!$D9:$K9,MATCH(AO172,'状态价值'!$D$1:$K$1,0)))</f>
        <v/>
      </c>
      <c r="AQ172" s="15">
        <f>NORM.S.INV(RAND())</f>
        <v/>
      </c>
      <c r="AR172" s="15">
        <f>IF('组合输入'!$C10="","",'组合输入'!$H10*$B172+SQRT(1-'组合输入'!$H10^2)*AQ172)</f>
        <v/>
      </c>
      <c r="AS172" s="7">
        <f>IF(AR172="","",NORM.S.DIST(AR172,TRUE))</f>
        <v/>
      </c>
      <c r="AT172" s="13">
        <f>IF(AS172="","",IF(AS172&lt;='组合输入'!$K10,"AAA",IF(AS172&lt;='组合输入'!$L10,"AA",IF(AS172&lt;='组合输入'!$M10,"A",IF(AS172&lt;='组合输入'!$N10,"BBB",IF(AS172&lt;='组合输入'!$O10,"BB",IF(AS172&lt;='组合输入'!$P10,"B",IF(AS172&lt;='组合输入'!$Q10,"CCC","D")))))))</f>
        <v/>
      </c>
      <c r="AU172" s="12">
        <f>IF(AT172="","",INDEX('状态价值'!$D10:$K10,MATCH(AT172,'状态价值'!$D$1:$K$1,0)))</f>
        <v/>
      </c>
      <c r="AV172" s="15">
        <f>NORM.S.INV(RAND())</f>
        <v/>
      </c>
      <c r="AW172" s="15">
        <f>IF('组合输入'!$C11="","",'组合输入'!$H11*$B172+SQRT(1-'组合输入'!$H11^2)*AV172)</f>
        <v/>
      </c>
      <c r="AX172" s="7">
        <f>IF(AW172="","",NORM.S.DIST(AW172,TRUE))</f>
        <v/>
      </c>
      <c r="AY172" s="13">
        <f>IF(AX172="","",IF(AX172&lt;='组合输入'!$K11,"AAA",IF(AX172&lt;='组合输入'!$L11,"AA",IF(AX172&lt;='组合输入'!$M11,"A",IF(AX172&lt;='组合输入'!$N11,"BBB",IF(AX172&lt;='组合输入'!$O11,"BB",IF(AX172&lt;='组合输入'!$P11,"B",IF(AX172&lt;='组合输入'!$Q11,"CCC","D")))))))</f>
        <v/>
      </c>
      <c r="AZ172" s="12">
        <f>IF(AY172="","",INDEX('状态价值'!$D11:$K11,MATCH(AY172,'状态价值'!$D$1:$K$1,0)))</f>
        <v/>
      </c>
      <c r="BA172" s="12">
        <f>G172+L172+Q172+V172+AA172+AF172+AK172+AP172+AU172+AZ172</f>
        <v/>
      </c>
      <c r="BB172" s="12">
        <f>SUM('组合输入'!$J$2:$J$11)-BA172</f>
        <v/>
      </c>
    </row>
    <row r="173">
      <c r="A173" s="11" t="n">
        <v>172</v>
      </c>
      <c r="B173" s="14">
        <f>NORM.S.INV(RAND())</f>
        <v/>
      </c>
      <c r="C173" s="14">
        <f>NORM.S.INV(RAND())</f>
        <v/>
      </c>
      <c r="D173" s="15">
        <f>IF('组合输入'!$C2="","",'组合输入'!$H2*$B173+SQRT(1-'组合输入'!$H2^2)*C173)</f>
        <v/>
      </c>
      <c r="E173" s="7">
        <f>IF(D173="","",NORM.S.DIST(D173,TRUE))</f>
        <v/>
      </c>
      <c r="F173" s="13">
        <f>IF(E173="","",IF(E173&lt;='组合输入'!$K2,"AAA",IF(E173&lt;='组合输入'!$L2,"AA",IF(E173&lt;='组合输入'!$M2,"A",IF(E173&lt;='组合输入'!$N2,"BBB",IF(E173&lt;='组合输入'!$O2,"BB",IF(E173&lt;='组合输入'!$P2,"B",IF(E173&lt;='组合输入'!$Q2,"CCC","D")))))))</f>
        <v/>
      </c>
      <c r="G173" s="12">
        <f>IF(F173="","",INDEX('状态价值'!$D2:$K2,MATCH(F173,'状态价值'!$D$1:$K$1,0)))</f>
        <v/>
      </c>
      <c r="H173" s="15">
        <f>NORM.S.INV(RAND())</f>
        <v/>
      </c>
      <c r="I173" s="15">
        <f>IF('组合输入'!$C3="","",'组合输入'!$H3*$B173+SQRT(1-'组合输入'!$H3^2)*H173)</f>
        <v/>
      </c>
      <c r="J173" s="7">
        <f>IF(I173="","",NORM.S.DIST(I173,TRUE))</f>
        <v/>
      </c>
      <c r="K173" s="13">
        <f>IF(J173="","",IF(J173&lt;='组合输入'!$K3,"AAA",IF(J173&lt;='组合输入'!$L3,"AA",IF(J173&lt;='组合输入'!$M3,"A",IF(J173&lt;='组合输入'!$N3,"BBB",IF(J173&lt;='组合输入'!$O3,"BB",IF(J173&lt;='组合输入'!$P3,"B",IF(J173&lt;='组合输入'!$Q3,"CCC","D")))))))</f>
        <v/>
      </c>
      <c r="L173" s="12">
        <f>IF(K173="","",INDEX('状态价值'!$D3:$K3,MATCH(K173,'状态价值'!$D$1:$K$1,0)))</f>
        <v/>
      </c>
      <c r="M173" s="15">
        <f>NORM.S.INV(RAND())</f>
        <v/>
      </c>
      <c r="N173" s="15">
        <f>IF('组合输入'!$C4="","",'组合输入'!$H4*$B173+SQRT(1-'组合输入'!$H4^2)*M173)</f>
        <v/>
      </c>
      <c r="O173" s="7">
        <f>IF(N173="","",NORM.S.DIST(N173,TRUE))</f>
        <v/>
      </c>
      <c r="P173" s="13">
        <f>IF(O173="","",IF(O173&lt;='组合输入'!$K4,"AAA",IF(O173&lt;='组合输入'!$L4,"AA",IF(O173&lt;='组合输入'!$M4,"A",IF(O173&lt;='组合输入'!$N4,"BBB",IF(O173&lt;='组合输入'!$O4,"BB",IF(O173&lt;='组合输入'!$P4,"B",IF(O173&lt;='组合输入'!$Q4,"CCC","D")))))))</f>
        <v/>
      </c>
      <c r="Q173" s="12">
        <f>IF(P173="","",INDEX('状态价值'!$D4:$K4,MATCH(P173,'状态价值'!$D$1:$K$1,0)))</f>
        <v/>
      </c>
      <c r="R173" s="15">
        <f>NORM.S.INV(RAND())</f>
        <v/>
      </c>
      <c r="S173" s="15">
        <f>IF('组合输入'!$C5="","",'组合输入'!$H5*$B173+SQRT(1-'组合输入'!$H5^2)*R173)</f>
        <v/>
      </c>
      <c r="T173" s="7">
        <f>IF(S173="","",NORM.S.DIST(S173,TRUE))</f>
        <v/>
      </c>
      <c r="U173" s="13">
        <f>IF(T173="","",IF(T173&lt;='组合输入'!$K5,"AAA",IF(T173&lt;='组合输入'!$L5,"AA",IF(T173&lt;='组合输入'!$M5,"A",IF(T173&lt;='组合输入'!$N5,"BBB",IF(T173&lt;='组合输入'!$O5,"BB",IF(T173&lt;='组合输入'!$P5,"B",IF(T173&lt;='组合输入'!$Q5,"CCC","D")))))))</f>
        <v/>
      </c>
      <c r="V173" s="12">
        <f>IF(U173="","",INDEX('状态价值'!$D5:$K5,MATCH(U173,'状态价值'!$D$1:$K$1,0)))</f>
        <v/>
      </c>
      <c r="W173" s="15">
        <f>NORM.S.INV(RAND())</f>
        <v/>
      </c>
      <c r="X173" s="15">
        <f>IF('组合输入'!$C6="","",'组合输入'!$H6*$B173+SQRT(1-'组合输入'!$H6^2)*W173)</f>
        <v/>
      </c>
      <c r="Y173" s="7">
        <f>IF(X173="","",NORM.S.DIST(X173,TRUE))</f>
        <v/>
      </c>
      <c r="Z173" s="13">
        <f>IF(Y173="","",IF(Y173&lt;='组合输入'!$K6,"AAA",IF(Y173&lt;='组合输入'!$L6,"AA",IF(Y173&lt;='组合输入'!$M6,"A",IF(Y173&lt;='组合输入'!$N6,"BBB",IF(Y173&lt;='组合输入'!$O6,"BB",IF(Y173&lt;='组合输入'!$P6,"B",IF(Y173&lt;='组合输入'!$Q6,"CCC","D")))))))</f>
        <v/>
      </c>
      <c r="AA173" s="12">
        <f>IF(Z173="","",INDEX('状态价值'!$D6:$K6,MATCH(Z173,'状态价值'!$D$1:$K$1,0)))</f>
        <v/>
      </c>
      <c r="AB173" s="15">
        <f>NORM.S.INV(RAND())</f>
        <v/>
      </c>
      <c r="AC173" s="15">
        <f>IF('组合输入'!$C7="","",'组合输入'!$H7*$B173+SQRT(1-'组合输入'!$H7^2)*AB173)</f>
        <v/>
      </c>
      <c r="AD173" s="7">
        <f>IF(AC173="","",NORM.S.DIST(AC173,TRUE))</f>
        <v/>
      </c>
      <c r="AE173" s="13">
        <f>IF(AD173="","",IF(AD173&lt;='组合输入'!$K7,"AAA",IF(AD173&lt;='组合输入'!$L7,"AA",IF(AD173&lt;='组合输入'!$M7,"A",IF(AD173&lt;='组合输入'!$N7,"BBB",IF(AD173&lt;='组合输入'!$O7,"BB",IF(AD173&lt;='组合输入'!$P7,"B",IF(AD173&lt;='组合输入'!$Q7,"CCC","D")))))))</f>
        <v/>
      </c>
      <c r="AF173" s="12">
        <f>IF(AE173="","",INDEX('状态价值'!$D7:$K7,MATCH(AE173,'状态价值'!$D$1:$K$1,0)))</f>
        <v/>
      </c>
      <c r="AG173" s="15">
        <f>NORM.S.INV(RAND())</f>
        <v/>
      </c>
      <c r="AH173" s="15">
        <f>IF('组合输入'!$C8="","",'组合输入'!$H8*$B173+SQRT(1-'组合输入'!$H8^2)*AG173)</f>
        <v/>
      </c>
      <c r="AI173" s="7">
        <f>IF(AH173="","",NORM.S.DIST(AH173,TRUE))</f>
        <v/>
      </c>
      <c r="AJ173" s="13">
        <f>IF(AI173="","",IF(AI173&lt;='组合输入'!$K8,"AAA",IF(AI173&lt;='组合输入'!$L8,"AA",IF(AI173&lt;='组合输入'!$M8,"A",IF(AI173&lt;='组合输入'!$N8,"BBB",IF(AI173&lt;='组合输入'!$O8,"BB",IF(AI173&lt;='组合输入'!$P8,"B",IF(AI173&lt;='组合输入'!$Q8,"CCC","D")))))))</f>
        <v/>
      </c>
      <c r="AK173" s="12">
        <f>IF(AJ173="","",INDEX('状态价值'!$D8:$K8,MATCH(AJ173,'状态价值'!$D$1:$K$1,0)))</f>
        <v/>
      </c>
      <c r="AL173" s="15">
        <f>NORM.S.INV(RAND())</f>
        <v/>
      </c>
      <c r="AM173" s="15">
        <f>IF('组合输入'!$C9="","",'组合输入'!$H9*$B173+SQRT(1-'组合输入'!$H9^2)*AL173)</f>
        <v/>
      </c>
      <c r="AN173" s="7">
        <f>IF(AM173="","",NORM.S.DIST(AM173,TRUE))</f>
        <v/>
      </c>
      <c r="AO173" s="13">
        <f>IF(AN173="","",IF(AN173&lt;='组合输入'!$K9,"AAA",IF(AN173&lt;='组合输入'!$L9,"AA",IF(AN173&lt;='组合输入'!$M9,"A",IF(AN173&lt;='组合输入'!$N9,"BBB",IF(AN173&lt;='组合输入'!$O9,"BB",IF(AN173&lt;='组合输入'!$P9,"B",IF(AN173&lt;='组合输入'!$Q9,"CCC","D")))))))</f>
        <v/>
      </c>
      <c r="AP173" s="12">
        <f>IF(AO173="","",INDEX('状态价值'!$D9:$K9,MATCH(AO173,'状态价值'!$D$1:$K$1,0)))</f>
        <v/>
      </c>
      <c r="AQ173" s="15">
        <f>NORM.S.INV(RAND())</f>
        <v/>
      </c>
      <c r="AR173" s="15">
        <f>IF('组合输入'!$C10="","",'组合输入'!$H10*$B173+SQRT(1-'组合输入'!$H10^2)*AQ173)</f>
        <v/>
      </c>
      <c r="AS173" s="7">
        <f>IF(AR173="","",NORM.S.DIST(AR173,TRUE))</f>
        <v/>
      </c>
      <c r="AT173" s="13">
        <f>IF(AS173="","",IF(AS173&lt;='组合输入'!$K10,"AAA",IF(AS173&lt;='组合输入'!$L10,"AA",IF(AS173&lt;='组合输入'!$M10,"A",IF(AS173&lt;='组合输入'!$N10,"BBB",IF(AS173&lt;='组合输入'!$O10,"BB",IF(AS173&lt;='组合输入'!$P10,"B",IF(AS173&lt;='组合输入'!$Q10,"CCC","D")))))))</f>
        <v/>
      </c>
      <c r="AU173" s="12">
        <f>IF(AT173="","",INDEX('状态价值'!$D10:$K10,MATCH(AT173,'状态价值'!$D$1:$K$1,0)))</f>
        <v/>
      </c>
      <c r="AV173" s="15">
        <f>NORM.S.INV(RAND())</f>
        <v/>
      </c>
      <c r="AW173" s="15">
        <f>IF('组合输入'!$C11="","",'组合输入'!$H11*$B173+SQRT(1-'组合输入'!$H11^2)*AV173)</f>
        <v/>
      </c>
      <c r="AX173" s="7">
        <f>IF(AW173="","",NORM.S.DIST(AW173,TRUE))</f>
        <v/>
      </c>
      <c r="AY173" s="13">
        <f>IF(AX173="","",IF(AX173&lt;='组合输入'!$K11,"AAA",IF(AX173&lt;='组合输入'!$L11,"AA",IF(AX173&lt;='组合输入'!$M11,"A",IF(AX173&lt;='组合输入'!$N11,"BBB",IF(AX173&lt;='组合输入'!$O11,"BB",IF(AX173&lt;='组合输入'!$P11,"B",IF(AX173&lt;='组合输入'!$Q11,"CCC","D")))))))</f>
        <v/>
      </c>
      <c r="AZ173" s="12">
        <f>IF(AY173="","",INDEX('状态价值'!$D11:$K11,MATCH(AY173,'状态价值'!$D$1:$K$1,0)))</f>
        <v/>
      </c>
      <c r="BA173" s="12">
        <f>G173+L173+Q173+V173+AA173+AF173+AK173+AP173+AU173+AZ173</f>
        <v/>
      </c>
      <c r="BB173" s="12">
        <f>SUM('组合输入'!$J$2:$J$11)-BA173</f>
        <v/>
      </c>
    </row>
    <row r="174">
      <c r="A174" s="11" t="n">
        <v>173</v>
      </c>
      <c r="B174" s="14">
        <f>NORM.S.INV(RAND())</f>
        <v/>
      </c>
      <c r="C174" s="14">
        <f>NORM.S.INV(RAND())</f>
        <v/>
      </c>
      <c r="D174" s="15">
        <f>IF('组合输入'!$C2="","",'组合输入'!$H2*$B174+SQRT(1-'组合输入'!$H2^2)*C174)</f>
        <v/>
      </c>
      <c r="E174" s="7">
        <f>IF(D174="","",NORM.S.DIST(D174,TRUE))</f>
        <v/>
      </c>
      <c r="F174" s="13">
        <f>IF(E174="","",IF(E174&lt;='组合输入'!$K2,"AAA",IF(E174&lt;='组合输入'!$L2,"AA",IF(E174&lt;='组合输入'!$M2,"A",IF(E174&lt;='组合输入'!$N2,"BBB",IF(E174&lt;='组合输入'!$O2,"BB",IF(E174&lt;='组合输入'!$P2,"B",IF(E174&lt;='组合输入'!$Q2,"CCC","D")))))))</f>
        <v/>
      </c>
      <c r="G174" s="12">
        <f>IF(F174="","",INDEX('状态价值'!$D2:$K2,MATCH(F174,'状态价值'!$D$1:$K$1,0)))</f>
        <v/>
      </c>
      <c r="H174" s="15">
        <f>NORM.S.INV(RAND())</f>
        <v/>
      </c>
      <c r="I174" s="15">
        <f>IF('组合输入'!$C3="","",'组合输入'!$H3*$B174+SQRT(1-'组合输入'!$H3^2)*H174)</f>
        <v/>
      </c>
      <c r="J174" s="7">
        <f>IF(I174="","",NORM.S.DIST(I174,TRUE))</f>
        <v/>
      </c>
      <c r="K174" s="13">
        <f>IF(J174="","",IF(J174&lt;='组合输入'!$K3,"AAA",IF(J174&lt;='组合输入'!$L3,"AA",IF(J174&lt;='组合输入'!$M3,"A",IF(J174&lt;='组合输入'!$N3,"BBB",IF(J174&lt;='组合输入'!$O3,"BB",IF(J174&lt;='组合输入'!$P3,"B",IF(J174&lt;='组合输入'!$Q3,"CCC","D")))))))</f>
        <v/>
      </c>
      <c r="L174" s="12">
        <f>IF(K174="","",INDEX('状态价值'!$D3:$K3,MATCH(K174,'状态价值'!$D$1:$K$1,0)))</f>
        <v/>
      </c>
      <c r="M174" s="15">
        <f>NORM.S.INV(RAND())</f>
        <v/>
      </c>
      <c r="N174" s="15">
        <f>IF('组合输入'!$C4="","",'组合输入'!$H4*$B174+SQRT(1-'组合输入'!$H4^2)*M174)</f>
        <v/>
      </c>
      <c r="O174" s="7">
        <f>IF(N174="","",NORM.S.DIST(N174,TRUE))</f>
        <v/>
      </c>
      <c r="P174" s="13">
        <f>IF(O174="","",IF(O174&lt;='组合输入'!$K4,"AAA",IF(O174&lt;='组合输入'!$L4,"AA",IF(O174&lt;='组合输入'!$M4,"A",IF(O174&lt;='组合输入'!$N4,"BBB",IF(O174&lt;='组合输入'!$O4,"BB",IF(O174&lt;='组合输入'!$P4,"B",IF(O174&lt;='组合输入'!$Q4,"CCC","D")))))))</f>
        <v/>
      </c>
      <c r="Q174" s="12">
        <f>IF(P174="","",INDEX('状态价值'!$D4:$K4,MATCH(P174,'状态价值'!$D$1:$K$1,0)))</f>
        <v/>
      </c>
      <c r="R174" s="15">
        <f>NORM.S.INV(RAND())</f>
        <v/>
      </c>
      <c r="S174" s="15">
        <f>IF('组合输入'!$C5="","",'组合输入'!$H5*$B174+SQRT(1-'组合输入'!$H5^2)*R174)</f>
        <v/>
      </c>
      <c r="T174" s="7">
        <f>IF(S174="","",NORM.S.DIST(S174,TRUE))</f>
        <v/>
      </c>
      <c r="U174" s="13">
        <f>IF(T174="","",IF(T174&lt;='组合输入'!$K5,"AAA",IF(T174&lt;='组合输入'!$L5,"AA",IF(T174&lt;='组合输入'!$M5,"A",IF(T174&lt;='组合输入'!$N5,"BBB",IF(T174&lt;='组合输入'!$O5,"BB",IF(T174&lt;='组合输入'!$P5,"B",IF(T174&lt;='组合输入'!$Q5,"CCC","D")))))))</f>
        <v/>
      </c>
      <c r="V174" s="12">
        <f>IF(U174="","",INDEX('状态价值'!$D5:$K5,MATCH(U174,'状态价值'!$D$1:$K$1,0)))</f>
        <v/>
      </c>
      <c r="W174" s="15">
        <f>NORM.S.INV(RAND())</f>
        <v/>
      </c>
      <c r="X174" s="15">
        <f>IF('组合输入'!$C6="","",'组合输入'!$H6*$B174+SQRT(1-'组合输入'!$H6^2)*W174)</f>
        <v/>
      </c>
      <c r="Y174" s="7">
        <f>IF(X174="","",NORM.S.DIST(X174,TRUE))</f>
        <v/>
      </c>
      <c r="Z174" s="13">
        <f>IF(Y174="","",IF(Y174&lt;='组合输入'!$K6,"AAA",IF(Y174&lt;='组合输入'!$L6,"AA",IF(Y174&lt;='组合输入'!$M6,"A",IF(Y174&lt;='组合输入'!$N6,"BBB",IF(Y174&lt;='组合输入'!$O6,"BB",IF(Y174&lt;='组合输入'!$P6,"B",IF(Y174&lt;='组合输入'!$Q6,"CCC","D")))))))</f>
        <v/>
      </c>
      <c r="AA174" s="12">
        <f>IF(Z174="","",INDEX('状态价值'!$D6:$K6,MATCH(Z174,'状态价值'!$D$1:$K$1,0)))</f>
        <v/>
      </c>
      <c r="AB174" s="15">
        <f>NORM.S.INV(RAND())</f>
        <v/>
      </c>
      <c r="AC174" s="15">
        <f>IF('组合输入'!$C7="","",'组合输入'!$H7*$B174+SQRT(1-'组合输入'!$H7^2)*AB174)</f>
        <v/>
      </c>
      <c r="AD174" s="7">
        <f>IF(AC174="","",NORM.S.DIST(AC174,TRUE))</f>
        <v/>
      </c>
      <c r="AE174" s="13">
        <f>IF(AD174="","",IF(AD174&lt;='组合输入'!$K7,"AAA",IF(AD174&lt;='组合输入'!$L7,"AA",IF(AD174&lt;='组合输入'!$M7,"A",IF(AD174&lt;='组合输入'!$N7,"BBB",IF(AD174&lt;='组合输入'!$O7,"BB",IF(AD174&lt;='组合输入'!$P7,"B",IF(AD174&lt;='组合输入'!$Q7,"CCC","D")))))))</f>
        <v/>
      </c>
      <c r="AF174" s="12">
        <f>IF(AE174="","",INDEX('状态价值'!$D7:$K7,MATCH(AE174,'状态价值'!$D$1:$K$1,0)))</f>
        <v/>
      </c>
      <c r="AG174" s="15">
        <f>NORM.S.INV(RAND())</f>
        <v/>
      </c>
      <c r="AH174" s="15">
        <f>IF('组合输入'!$C8="","",'组合输入'!$H8*$B174+SQRT(1-'组合输入'!$H8^2)*AG174)</f>
        <v/>
      </c>
      <c r="AI174" s="7">
        <f>IF(AH174="","",NORM.S.DIST(AH174,TRUE))</f>
        <v/>
      </c>
      <c r="AJ174" s="13">
        <f>IF(AI174="","",IF(AI174&lt;='组合输入'!$K8,"AAA",IF(AI174&lt;='组合输入'!$L8,"AA",IF(AI174&lt;='组合输入'!$M8,"A",IF(AI174&lt;='组合输入'!$N8,"BBB",IF(AI174&lt;='组合输入'!$O8,"BB",IF(AI174&lt;='组合输入'!$P8,"B",IF(AI174&lt;='组合输入'!$Q8,"CCC","D")))))))</f>
        <v/>
      </c>
      <c r="AK174" s="12">
        <f>IF(AJ174="","",INDEX('状态价值'!$D8:$K8,MATCH(AJ174,'状态价值'!$D$1:$K$1,0)))</f>
        <v/>
      </c>
      <c r="AL174" s="15">
        <f>NORM.S.INV(RAND())</f>
        <v/>
      </c>
      <c r="AM174" s="15">
        <f>IF('组合输入'!$C9="","",'组合输入'!$H9*$B174+SQRT(1-'组合输入'!$H9^2)*AL174)</f>
        <v/>
      </c>
      <c r="AN174" s="7">
        <f>IF(AM174="","",NORM.S.DIST(AM174,TRUE))</f>
        <v/>
      </c>
      <c r="AO174" s="13">
        <f>IF(AN174="","",IF(AN174&lt;='组合输入'!$K9,"AAA",IF(AN174&lt;='组合输入'!$L9,"AA",IF(AN174&lt;='组合输入'!$M9,"A",IF(AN174&lt;='组合输入'!$N9,"BBB",IF(AN174&lt;='组合输入'!$O9,"BB",IF(AN174&lt;='组合输入'!$P9,"B",IF(AN174&lt;='组合输入'!$Q9,"CCC","D")))))))</f>
        <v/>
      </c>
      <c r="AP174" s="12">
        <f>IF(AO174="","",INDEX('状态价值'!$D9:$K9,MATCH(AO174,'状态价值'!$D$1:$K$1,0)))</f>
        <v/>
      </c>
      <c r="AQ174" s="15">
        <f>NORM.S.INV(RAND())</f>
        <v/>
      </c>
      <c r="AR174" s="15">
        <f>IF('组合输入'!$C10="","",'组合输入'!$H10*$B174+SQRT(1-'组合输入'!$H10^2)*AQ174)</f>
        <v/>
      </c>
      <c r="AS174" s="7">
        <f>IF(AR174="","",NORM.S.DIST(AR174,TRUE))</f>
        <v/>
      </c>
      <c r="AT174" s="13">
        <f>IF(AS174="","",IF(AS174&lt;='组合输入'!$K10,"AAA",IF(AS174&lt;='组合输入'!$L10,"AA",IF(AS174&lt;='组合输入'!$M10,"A",IF(AS174&lt;='组合输入'!$N10,"BBB",IF(AS174&lt;='组合输入'!$O10,"BB",IF(AS174&lt;='组合输入'!$P10,"B",IF(AS174&lt;='组合输入'!$Q10,"CCC","D")))))))</f>
        <v/>
      </c>
      <c r="AU174" s="12">
        <f>IF(AT174="","",INDEX('状态价值'!$D10:$K10,MATCH(AT174,'状态价值'!$D$1:$K$1,0)))</f>
        <v/>
      </c>
      <c r="AV174" s="15">
        <f>NORM.S.INV(RAND())</f>
        <v/>
      </c>
      <c r="AW174" s="15">
        <f>IF('组合输入'!$C11="","",'组合输入'!$H11*$B174+SQRT(1-'组合输入'!$H11^2)*AV174)</f>
        <v/>
      </c>
      <c r="AX174" s="7">
        <f>IF(AW174="","",NORM.S.DIST(AW174,TRUE))</f>
        <v/>
      </c>
      <c r="AY174" s="13">
        <f>IF(AX174="","",IF(AX174&lt;='组合输入'!$K11,"AAA",IF(AX174&lt;='组合输入'!$L11,"AA",IF(AX174&lt;='组合输入'!$M11,"A",IF(AX174&lt;='组合输入'!$N11,"BBB",IF(AX174&lt;='组合输入'!$O11,"BB",IF(AX174&lt;='组合输入'!$P11,"B",IF(AX174&lt;='组合输入'!$Q11,"CCC","D")))))))</f>
        <v/>
      </c>
      <c r="AZ174" s="12">
        <f>IF(AY174="","",INDEX('状态价值'!$D11:$K11,MATCH(AY174,'状态价值'!$D$1:$K$1,0)))</f>
        <v/>
      </c>
      <c r="BA174" s="12">
        <f>G174+L174+Q174+V174+AA174+AF174+AK174+AP174+AU174+AZ174</f>
        <v/>
      </c>
      <c r="BB174" s="12">
        <f>SUM('组合输入'!$J$2:$J$11)-BA174</f>
        <v/>
      </c>
    </row>
    <row r="175">
      <c r="A175" s="11" t="n">
        <v>174</v>
      </c>
      <c r="B175" s="14">
        <f>NORM.S.INV(RAND())</f>
        <v/>
      </c>
      <c r="C175" s="14">
        <f>NORM.S.INV(RAND())</f>
        <v/>
      </c>
      <c r="D175" s="15">
        <f>IF('组合输入'!$C2="","",'组合输入'!$H2*$B175+SQRT(1-'组合输入'!$H2^2)*C175)</f>
        <v/>
      </c>
      <c r="E175" s="7">
        <f>IF(D175="","",NORM.S.DIST(D175,TRUE))</f>
        <v/>
      </c>
      <c r="F175" s="13">
        <f>IF(E175="","",IF(E175&lt;='组合输入'!$K2,"AAA",IF(E175&lt;='组合输入'!$L2,"AA",IF(E175&lt;='组合输入'!$M2,"A",IF(E175&lt;='组合输入'!$N2,"BBB",IF(E175&lt;='组合输入'!$O2,"BB",IF(E175&lt;='组合输入'!$P2,"B",IF(E175&lt;='组合输入'!$Q2,"CCC","D")))))))</f>
        <v/>
      </c>
      <c r="G175" s="12">
        <f>IF(F175="","",INDEX('状态价值'!$D2:$K2,MATCH(F175,'状态价值'!$D$1:$K$1,0)))</f>
        <v/>
      </c>
      <c r="H175" s="15">
        <f>NORM.S.INV(RAND())</f>
        <v/>
      </c>
      <c r="I175" s="15">
        <f>IF('组合输入'!$C3="","",'组合输入'!$H3*$B175+SQRT(1-'组合输入'!$H3^2)*H175)</f>
        <v/>
      </c>
      <c r="J175" s="7">
        <f>IF(I175="","",NORM.S.DIST(I175,TRUE))</f>
        <v/>
      </c>
      <c r="K175" s="13">
        <f>IF(J175="","",IF(J175&lt;='组合输入'!$K3,"AAA",IF(J175&lt;='组合输入'!$L3,"AA",IF(J175&lt;='组合输入'!$M3,"A",IF(J175&lt;='组合输入'!$N3,"BBB",IF(J175&lt;='组合输入'!$O3,"BB",IF(J175&lt;='组合输入'!$P3,"B",IF(J175&lt;='组合输入'!$Q3,"CCC","D")))))))</f>
        <v/>
      </c>
      <c r="L175" s="12">
        <f>IF(K175="","",INDEX('状态价值'!$D3:$K3,MATCH(K175,'状态价值'!$D$1:$K$1,0)))</f>
        <v/>
      </c>
      <c r="M175" s="15">
        <f>NORM.S.INV(RAND())</f>
        <v/>
      </c>
      <c r="N175" s="15">
        <f>IF('组合输入'!$C4="","",'组合输入'!$H4*$B175+SQRT(1-'组合输入'!$H4^2)*M175)</f>
        <v/>
      </c>
      <c r="O175" s="7">
        <f>IF(N175="","",NORM.S.DIST(N175,TRUE))</f>
        <v/>
      </c>
      <c r="P175" s="13">
        <f>IF(O175="","",IF(O175&lt;='组合输入'!$K4,"AAA",IF(O175&lt;='组合输入'!$L4,"AA",IF(O175&lt;='组合输入'!$M4,"A",IF(O175&lt;='组合输入'!$N4,"BBB",IF(O175&lt;='组合输入'!$O4,"BB",IF(O175&lt;='组合输入'!$P4,"B",IF(O175&lt;='组合输入'!$Q4,"CCC","D")))))))</f>
        <v/>
      </c>
      <c r="Q175" s="12">
        <f>IF(P175="","",INDEX('状态价值'!$D4:$K4,MATCH(P175,'状态价值'!$D$1:$K$1,0)))</f>
        <v/>
      </c>
      <c r="R175" s="15">
        <f>NORM.S.INV(RAND())</f>
        <v/>
      </c>
      <c r="S175" s="15">
        <f>IF('组合输入'!$C5="","",'组合输入'!$H5*$B175+SQRT(1-'组合输入'!$H5^2)*R175)</f>
        <v/>
      </c>
      <c r="T175" s="7">
        <f>IF(S175="","",NORM.S.DIST(S175,TRUE))</f>
        <v/>
      </c>
      <c r="U175" s="13">
        <f>IF(T175="","",IF(T175&lt;='组合输入'!$K5,"AAA",IF(T175&lt;='组合输入'!$L5,"AA",IF(T175&lt;='组合输入'!$M5,"A",IF(T175&lt;='组合输入'!$N5,"BBB",IF(T175&lt;='组合输入'!$O5,"BB",IF(T175&lt;='组合输入'!$P5,"B",IF(T175&lt;='组合输入'!$Q5,"CCC","D")))))))</f>
        <v/>
      </c>
      <c r="V175" s="12">
        <f>IF(U175="","",INDEX('状态价值'!$D5:$K5,MATCH(U175,'状态价值'!$D$1:$K$1,0)))</f>
        <v/>
      </c>
      <c r="W175" s="15">
        <f>NORM.S.INV(RAND())</f>
        <v/>
      </c>
      <c r="X175" s="15">
        <f>IF('组合输入'!$C6="","",'组合输入'!$H6*$B175+SQRT(1-'组合输入'!$H6^2)*W175)</f>
        <v/>
      </c>
      <c r="Y175" s="7">
        <f>IF(X175="","",NORM.S.DIST(X175,TRUE))</f>
        <v/>
      </c>
      <c r="Z175" s="13">
        <f>IF(Y175="","",IF(Y175&lt;='组合输入'!$K6,"AAA",IF(Y175&lt;='组合输入'!$L6,"AA",IF(Y175&lt;='组合输入'!$M6,"A",IF(Y175&lt;='组合输入'!$N6,"BBB",IF(Y175&lt;='组合输入'!$O6,"BB",IF(Y175&lt;='组合输入'!$P6,"B",IF(Y175&lt;='组合输入'!$Q6,"CCC","D")))))))</f>
        <v/>
      </c>
      <c r="AA175" s="12">
        <f>IF(Z175="","",INDEX('状态价值'!$D6:$K6,MATCH(Z175,'状态价值'!$D$1:$K$1,0)))</f>
        <v/>
      </c>
      <c r="AB175" s="15">
        <f>NORM.S.INV(RAND())</f>
        <v/>
      </c>
      <c r="AC175" s="15">
        <f>IF('组合输入'!$C7="","",'组合输入'!$H7*$B175+SQRT(1-'组合输入'!$H7^2)*AB175)</f>
        <v/>
      </c>
      <c r="AD175" s="7">
        <f>IF(AC175="","",NORM.S.DIST(AC175,TRUE))</f>
        <v/>
      </c>
      <c r="AE175" s="13">
        <f>IF(AD175="","",IF(AD175&lt;='组合输入'!$K7,"AAA",IF(AD175&lt;='组合输入'!$L7,"AA",IF(AD175&lt;='组合输入'!$M7,"A",IF(AD175&lt;='组合输入'!$N7,"BBB",IF(AD175&lt;='组合输入'!$O7,"BB",IF(AD175&lt;='组合输入'!$P7,"B",IF(AD175&lt;='组合输入'!$Q7,"CCC","D")))))))</f>
        <v/>
      </c>
      <c r="AF175" s="12">
        <f>IF(AE175="","",INDEX('状态价值'!$D7:$K7,MATCH(AE175,'状态价值'!$D$1:$K$1,0)))</f>
        <v/>
      </c>
      <c r="AG175" s="15">
        <f>NORM.S.INV(RAND())</f>
        <v/>
      </c>
      <c r="AH175" s="15">
        <f>IF('组合输入'!$C8="","",'组合输入'!$H8*$B175+SQRT(1-'组合输入'!$H8^2)*AG175)</f>
        <v/>
      </c>
      <c r="AI175" s="7">
        <f>IF(AH175="","",NORM.S.DIST(AH175,TRUE))</f>
        <v/>
      </c>
      <c r="AJ175" s="13">
        <f>IF(AI175="","",IF(AI175&lt;='组合输入'!$K8,"AAA",IF(AI175&lt;='组合输入'!$L8,"AA",IF(AI175&lt;='组合输入'!$M8,"A",IF(AI175&lt;='组合输入'!$N8,"BBB",IF(AI175&lt;='组合输入'!$O8,"BB",IF(AI175&lt;='组合输入'!$P8,"B",IF(AI175&lt;='组合输入'!$Q8,"CCC","D")))))))</f>
        <v/>
      </c>
      <c r="AK175" s="12">
        <f>IF(AJ175="","",INDEX('状态价值'!$D8:$K8,MATCH(AJ175,'状态价值'!$D$1:$K$1,0)))</f>
        <v/>
      </c>
      <c r="AL175" s="15">
        <f>NORM.S.INV(RAND())</f>
        <v/>
      </c>
      <c r="AM175" s="15">
        <f>IF('组合输入'!$C9="","",'组合输入'!$H9*$B175+SQRT(1-'组合输入'!$H9^2)*AL175)</f>
        <v/>
      </c>
      <c r="AN175" s="7">
        <f>IF(AM175="","",NORM.S.DIST(AM175,TRUE))</f>
        <v/>
      </c>
      <c r="AO175" s="13">
        <f>IF(AN175="","",IF(AN175&lt;='组合输入'!$K9,"AAA",IF(AN175&lt;='组合输入'!$L9,"AA",IF(AN175&lt;='组合输入'!$M9,"A",IF(AN175&lt;='组合输入'!$N9,"BBB",IF(AN175&lt;='组合输入'!$O9,"BB",IF(AN175&lt;='组合输入'!$P9,"B",IF(AN175&lt;='组合输入'!$Q9,"CCC","D")))))))</f>
        <v/>
      </c>
      <c r="AP175" s="12">
        <f>IF(AO175="","",INDEX('状态价值'!$D9:$K9,MATCH(AO175,'状态价值'!$D$1:$K$1,0)))</f>
        <v/>
      </c>
      <c r="AQ175" s="15">
        <f>NORM.S.INV(RAND())</f>
        <v/>
      </c>
      <c r="AR175" s="15">
        <f>IF('组合输入'!$C10="","",'组合输入'!$H10*$B175+SQRT(1-'组合输入'!$H10^2)*AQ175)</f>
        <v/>
      </c>
      <c r="AS175" s="7">
        <f>IF(AR175="","",NORM.S.DIST(AR175,TRUE))</f>
        <v/>
      </c>
      <c r="AT175" s="13">
        <f>IF(AS175="","",IF(AS175&lt;='组合输入'!$K10,"AAA",IF(AS175&lt;='组合输入'!$L10,"AA",IF(AS175&lt;='组合输入'!$M10,"A",IF(AS175&lt;='组合输入'!$N10,"BBB",IF(AS175&lt;='组合输入'!$O10,"BB",IF(AS175&lt;='组合输入'!$P10,"B",IF(AS175&lt;='组合输入'!$Q10,"CCC","D")))))))</f>
        <v/>
      </c>
      <c r="AU175" s="12">
        <f>IF(AT175="","",INDEX('状态价值'!$D10:$K10,MATCH(AT175,'状态价值'!$D$1:$K$1,0)))</f>
        <v/>
      </c>
      <c r="AV175" s="15">
        <f>NORM.S.INV(RAND())</f>
        <v/>
      </c>
      <c r="AW175" s="15">
        <f>IF('组合输入'!$C11="","",'组合输入'!$H11*$B175+SQRT(1-'组合输入'!$H11^2)*AV175)</f>
        <v/>
      </c>
      <c r="AX175" s="7">
        <f>IF(AW175="","",NORM.S.DIST(AW175,TRUE))</f>
        <v/>
      </c>
      <c r="AY175" s="13">
        <f>IF(AX175="","",IF(AX175&lt;='组合输入'!$K11,"AAA",IF(AX175&lt;='组合输入'!$L11,"AA",IF(AX175&lt;='组合输入'!$M11,"A",IF(AX175&lt;='组合输入'!$N11,"BBB",IF(AX175&lt;='组合输入'!$O11,"BB",IF(AX175&lt;='组合输入'!$P11,"B",IF(AX175&lt;='组合输入'!$Q11,"CCC","D")))))))</f>
        <v/>
      </c>
      <c r="AZ175" s="12">
        <f>IF(AY175="","",INDEX('状态价值'!$D11:$K11,MATCH(AY175,'状态价值'!$D$1:$K$1,0)))</f>
        <v/>
      </c>
      <c r="BA175" s="12">
        <f>G175+L175+Q175+V175+AA175+AF175+AK175+AP175+AU175+AZ175</f>
        <v/>
      </c>
      <c r="BB175" s="12">
        <f>SUM('组合输入'!$J$2:$J$11)-BA175</f>
        <v/>
      </c>
    </row>
    <row r="176">
      <c r="A176" s="11" t="n">
        <v>175</v>
      </c>
      <c r="B176" s="14">
        <f>NORM.S.INV(RAND())</f>
        <v/>
      </c>
      <c r="C176" s="14">
        <f>NORM.S.INV(RAND())</f>
        <v/>
      </c>
      <c r="D176" s="15">
        <f>IF('组合输入'!$C2="","",'组合输入'!$H2*$B176+SQRT(1-'组合输入'!$H2^2)*C176)</f>
        <v/>
      </c>
      <c r="E176" s="7">
        <f>IF(D176="","",NORM.S.DIST(D176,TRUE))</f>
        <v/>
      </c>
      <c r="F176" s="13">
        <f>IF(E176="","",IF(E176&lt;='组合输入'!$K2,"AAA",IF(E176&lt;='组合输入'!$L2,"AA",IF(E176&lt;='组合输入'!$M2,"A",IF(E176&lt;='组合输入'!$N2,"BBB",IF(E176&lt;='组合输入'!$O2,"BB",IF(E176&lt;='组合输入'!$P2,"B",IF(E176&lt;='组合输入'!$Q2,"CCC","D")))))))</f>
        <v/>
      </c>
      <c r="G176" s="12">
        <f>IF(F176="","",INDEX('状态价值'!$D2:$K2,MATCH(F176,'状态价值'!$D$1:$K$1,0)))</f>
        <v/>
      </c>
      <c r="H176" s="15">
        <f>NORM.S.INV(RAND())</f>
        <v/>
      </c>
      <c r="I176" s="15">
        <f>IF('组合输入'!$C3="","",'组合输入'!$H3*$B176+SQRT(1-'组合输入'!$H3^2)*H176)</f>
        <v/>
      </c>
      <c r="J176" s="7">
        <f>IF(I176="","",NORM.S.DIST(I176,TRUE))</f>
        <v/>
      </c>
      <c r="K176" s="13">
        <f>IF(J176="","",IF(J176&lt;='组合输入'!$K3,"AAA",IF(J176&lt;='组合输入'!$L3,"AA",IF(J176&lt;='组合输入'!$M3,"A",IF(J176&lt;='组合输入'!$N3,"BBB",IF(J176&lt;='组合输入'!$O3,"BB",IF(J176&lt;='组合输入'!$P3,"B",IF(J176&lt;='组合输入'!$Q3,"CCC","D")))))))</f>
        <v/>
      </c>
      <c r="L176" s="12">
        <f>IF(K176="","",INDEX('状态价值'!$D3:$K3,MATCH(K176,'状态价值'!$D$1:$K$1,0)))</f>
        <v/>
      </c>
      <c r="M176" s="15">
        <f>NORM.S.INV(RAND())</f>
        <v/>
      </c>
      <c r="N176" s="15">
        <f>IF('组合输入'!$C4="","",'组合输入'!$H4*$B176+SQRT(1-'组合输入'!$H4^2)*M176)</f>
        <v/>
      </c>
      <c r="O176" s="7">
        <f>IF(N176="","",NORM.S.DIST(N176,TRUE))</f>
        <v/>
      </c>
      <c r="P176" s="13">
        <f>IF(O176="","",IF(O176&lt;='组合输入'!$K4,"AAA",IF(O176&lt;='组合输入'!$L4,"AA",IF(O176&lt;='组合输入'!$M4,"A",IF(O176&lt;='组合输入'!$N4,"BBB",IF(O176&lt;='组合输入'!$O4,"BB",IF(O176&lt;='组合输入'!$P4,"B",IF(O176&lt;='组合输入'!$Q4,"CCC","D")))))))</f>
        <v/>
      </c>
      <c r="Q176" s="12">
        <f>IF(P176="","",INDEX('状态价值'!$D4:$K4,MATCH(P176,'状态价值'!$D$1:$K$1,0)))</f>
        <v/>
      </c>
      <c r="R176" s="15">
        <f>NORM.S.INV(RAND())</f>
        <v/>
      </c>
      <c r="S176" s="15">
        <f>IF('组合输入'!$C5="","",'组合输入'!$H5*$B176+SQRT(1-'组合输入'!$H5^2)*R176)</f>
        <v/>
      </c>
      <c r="T176" s="7">
        <f>IF(S176="","",NORM.S.DIST(S176,TRUE))</f>
        <v/>
      </c>
      <c r="U176" s="13">
        <f>IF(T176="","",IF(T176&lt;='组合输入'!$K5,"AAA",IF(T176&lt;='组合输入'!$L5,"AA",IF(T176&lt;='组合输入'!$M5,"A",IF(T176&lt;='组合输入'!$N5,"BBB",IF(T176&lt;='组合输入'!$O5,"BB",IF(T176&lt;='组合输入'!$P5,"B",IF(T176&lt;='组合输入'!$Q5,"CCC","D")))))))</f>
        <v/>
      </c>
      <c r="V176" s="12">
        <f>IF(U176="","",INDEX('状态价值'!$D5:$K5,MATCH(U176,'状态价值'!$D$1:$K$1,0)))</f>
        <v/>
      </c>
      <c r="W176" s="15">
        <f>NORM.S.INV(RAND())</f>
        <v/>
      </c>
      <c r="X176" s="15">
        <f>IF('组合输入'!$C6="","",'组合输入'!$H6*$B176+SQRT(1-'组合输入'!$H6^2)*W176)</f>
        <v/>
      </c>
      <c r="Y176" s="7">
        <f>IF(X176="","",NORM.S.DIST(X176,TRUE))</f>
        <v/>
      </c>
      <c r="Z176" s="13">
        <f>IF(Y176="","",IF(Y176&lt;='组合输入'!$K6,"AAA",IF(Y176&lt;='组合输入'!$L6,"AA",IF(Y176&lt;='组合输入'!$M6,"A",IF(Y176&lt;='组合输入'!$N6,"BBB",IF(Y176&lt;='组合输入'!$O6,"BB",IF(Y176&lt;='组合输入'!$P6,"B",IF(Y176&lt;='组合输入'!$Q6,"CCC","D")))))))</f>
        <v/>
      </c>
      <c r="AA176" s="12">
        <f>IF(Z176="","",INDEX('状态价值'!$D6:$K6,MATCH(Z176,'状态价值'!$D$1:$K$1,0)))</f>
        <v/>
      </c>
      <c r="AB176" s="15">
        <f>NORM.S.INV(RAND())</f>
        <v/>
      </c>
      <c r="AC176" s="15">
        <f>IF('组合输入'!$C7="","",'组合输入'!$H7*$B176+SQRT(1-'组合输入'!$H7^2)*AB176)</f>
        <v/>
      </c>
      <c r="AD176" s="7">
        <f>IF(AC176="","",NORM.S.DIST(AC176,TRUE))</f>
        <v/>
      </c>
      <c r="AE176" s="13">
        <f>IF(AD176="","",IF(AD176&lt;='组合输入'!$K7,"AAA",IF(AD176&lt;='组合输入'!$L7,"AA",IF(AD176&lt;='组合输入'!$M7,"A",IF(AD176&lt;='组合输入'!$N7,"BBB",IF(AD176&lt;='组合输入'!$O7,"BB",IF(AD176&lt;='组合输入'!$P7,"B",IF(AD176&lt;='组合输入'!$Q7,"CCC","D")))))))</f>
        <v/>
      </c>
      <c r="AF176" s="12">
        <f>IF(AE176="","",INDEX('状态价值'!$D7:$K7,MATCH(AE176,'状态价值'!$D$1:$K$1,0)))</f>
        <v/>
      </c>
      <c r="AG176" s="15">
        <f>NORM.S.INV(RAND())</f>
        <v/>
      </c>
      <c r="AH176" s="15">
        <f>IF('组合输入'!$C8="","",'组合输入'!$H8*$B176+SQRT(1-'组合输入'!$H8^2)*AG176)</f>
        <v/>
      </c>
      <c r="AI176" s="7">
        <f>IF(AH176="","",NORM.S.DIST(AH176,TRUE))</f>
        <v/>
      </c>
      <c r="AJ176" s="13">
        <f>IF(AI176="","",IF(AI176&lt;='组合输入'!$K8,"AAA",IF(AI176&lt;='组合输入'!$L8,"AA",IF(AI176&lt;='组合输入'!$M8,"A",IF(AI176&lt;='组合输入'!$N8,"BBB",IF(AI176&lt;='组合输入'!$O8,"BB",IF(AI176&lt;='组合输入'!$P8,"B",IF(AI176&lt;='组合输入'!$Q8,"CCC","D")))))))</f>
        <v/>
      </c>
      <c r="AK176" s="12">
        <f>IF(AJ176="","",INDEX('状态价值'!$D8:$K8,MATCH(AJ176,'状态价值'!$D$1:$K$1,0)))</f>
        <v/>
      </c>
      <c r="AL176" s="15">
        <f>NORM.S.INV(RAND())</f>
        <v/>
      </c>
      <c r="AM176" s="15">
        <f>IF('组合输入'!$C9="","",'组合输入'!$H9*$B176+SQRT(1-'组合输入'!$H9^2)*AL176)</f>
        <v/>
      </c>
      <c r="AN176" s="7">
        <f>IF(AM176="","",NORM.S.DIST(AM176,TRUE))</f>
        <v/>
      </c>
      <c r="AO176" s="13">
        <f>IF(AN176="","",IF(AN176&lt;='组合输入'!$K9,"AAA",IF(AN176&lt;='组合输入'!$L9,"AA",IF(AN176&lt;='组合输入'!$M9,"A",IF(AN176&lt;='组合输入'!$N9,"BBB",IF(AN176&lt;='组合输入'!$O9,"BB",IF(AN176&lt;='组合输入'!$P9,"B",IF(AN176&lt;='组合输入'!$Q9,"CCC","D")))))))</f>
        <v/>
      </c>
      <c r="AP176" s="12">
        <f>IF(AO176="","",INDEX('状态价值'!$D9:$K9,MATCH(AO176,'状态价值'!$D$1:$K$1,0)))</f>
        <v/>
      </c>
      <c r="AQ176" s="15">
        <f>NORM.S.INV(RAND())</f>
        <v/>
      </c>
      <c r="AR176" s="15">
        <f>IF('组合输入'!$C10="","",'组合输入'!$H10*$B176+SQRT(1-'组合输入'!$H10^2)*AQ176)</f>
        <v/>
      </c>
      <c r="AS176" s="7">
        <f>IF(AR176="","",NORM.S.DIST(AR176,TRUE))</f>
        <v/>
      </c>
      <c r="AT176" s="13">
        <f>IF(AS176="","",IF(AS176&lt;='组合输入'!$K10,"AAA",IF(AS176&lt;='组合输入'!$L10,"AA",IF(AS176&lt;='组合输入'!$M10,"A",IF(AS176&lt;='组合输入'!$N10,"BBB",IF(AS176&lt;='组合输入'!$O10,"BB",IF(AS176&lt;='组合输入'!$P10,"B",IF(AS176&lt;='组合输入'!$Q10,"CCC","D")))))))</f>
        <v/>
      </c>
      <c r="AU176" s="12">
        <f>IF(AT176="","",INDEX('状态价值'!$D10:$K10,MATCH(AT176,'状态价值'!$D$1:$K$1,0)))</f>
        <v/>
      </c>
      <c r="AV176" s="15">
        <f>NORM.S.INV(RAND())</f>
        <v/>
      </c>
      <c r="AW176" s="15">
        <f>IF('组合输入'!$C11="","",'组合输入'!$H11*$B176+SQRT(1-'组合输入'!$H11^2)*AV176)</f>
        <v/>
      </c>
      <c r="AX176" s="7">
        <f>IF(AW176="","",NORM.S.DIST(AW176,TRUE))</f>
        <v/>
      </c>
      <c r="AY176" s="13">
        <f>IF(AX176="","",IF(AX176&lt;='组合输入'!$K11,"AAA",IF(AX176&lt;='组合输入'!$L11,"AA",IF(AX176&lt;='组合输入'!$M11,"A",IF(AX176&lt;='组合输入'!$N11,"BBB",IF(AX176&lt;='组合输入'!$O11,"BB",IF(AX176&lt;='组合输入'!$P11,"B",IF(AX176&lt;='组合输入'!$Q11,"CCC","D")))))))</f>
        <v/>
      </c>
      <c r="AZ176" s="12">
        <f>IF(AY176="","",INDEX('状态价值'!$D11:$K11,MATCH(AY176,'状态价值'!$D$1:$K$1,0)))</f>
        <v/>
      </c>
      <c r="BA176" s="12">
        <f>G176+L176+Q176+V176+AA176+AF176+AK176+AP176+AU176+AZ176</f>
        <v/>
      </c>
      <c r="BB176" s="12">
        <f>SUM('组合输入'!$J$2:$J$11)-BA176</f>
        <v/>
      </c>
    </row>
    <row r="177">
      <c r="A177" s="11" t="n">
        <v>176</v>
      </c>
      <c r="B177" s="14">
        <f>NORM.S.INV(RAND())</f>
        <v/>
      </c>
      <c r="C177" s="14">
        <f>NORM.S.INV(RAND())</f>
        <v/>
      </c>
      <c r="D177" s="15">
        <f>IF('组合输入'!$C2="","",'组合输入'!$H2*$B177+SQRT(1-'组合输入'!$H2^2)*C177)</f>
        <v/>
      </c>
      <c r="E177" s="7">
        <f>IF(D177="","",NORM.S.DIST(D177,TRUE))</f>
        <v/>
      </c>
      <c r="F177" s="13">
        <f>IF(E177="","",IF(E177&lt;='组合输入'!$K2,"AAA",IF(E177&lt;='组合输入'!$L2,"AA",IF(E177&lt;='组合输入'!$M2,"A",IF(E177&lt;='组合输入'!$N2,"BBB",IF(E177&lt;='组合输入'!$O2,"BB",IF(E177&lt;='组合输入'!$P2,"B",IF(E177&lt;='组合输入'!$Q2,"CCC","D")))))))</f>
        <v/>
      </c>
      <c r="G177" s="12">
        <f>IF(F177="","",INDEX('状态价值'!$D2:$K2,MATCH(F177,'状态价值'!$D$1:$K$1,0)))</f>
        <v/>
      </c>
      <c r="H177" s="15">
        <f>NORM.S.INV(RAND())</f>
        <v/>
      </c>
      <c r="I177" s="15">
        <f>IF('组合输入'!$C3="","",'组合输入'!$H3*$B177+SQRT(1-'组合输入'!$H3^2)*H177)</f>
        <v/>
      </c>
      <c r="J177" s="7">
        <f>IF(I177="","",NORM.S.DIST(I177,TRUE))</f>
        <v/>
      </c>
      <c r="K177" s="13">
        <f>IF(J177="","",IF(J177&lt;='组合输入'!$K3,"AAA",IF(J177&lt;='组合输入'!$L3,"AA",IF(J177&lt;='组合输入'!$M3,"A",IF(J177&lt;='组合输入'!$N3,"BBB",IF(J177&lt;='组合输入'!$O3,"BB",IF(J177&lt;='组合输入'!$P3,"B",IF(J177&lt;='组合输入'!$Q3,"CCC","D")))))))</f>
        <v/>
      </c>
      <c r="L177" s="12">
        <f>IF(K177="","",INDEX('状态价值'!$D3:$K3,MATCH(K177,'状态价值'!$D$1:$K$1,0)))</f>
        <v/>
      </c>
      <c r="M177" s="15">
        <f>NORM.S.INV(RAND())</f>
        <v/>
      </c>
      <c r="N177" s="15">
        <f>IF('组合输入'!$C4="","",'组合输入'!$H4*$B177+SQRT(1-'组合输入'!$H4^2)*M177)</f>
        <v/>
      </c>
      <c r="O177" s="7">
        <f>IF(N177="","",NORM.S.DIST(N177,TRUE))</f>
        <v/>
      </c>
      <c r="P177" s="13">
        <f>IF(O177="","",IF(O177&lt;='组合输入'!$K4,"AAA",IF(O177&lt;='组合输入'!$L4,"AA",IF(O177&lt;='组合输入'!$M4,"A",IF(O177&lt;='组合输入'!$N4,"BBB",IF(O177&lt;='组合输入'!$O4,"BB",IF(O177&lt;='组合输入'!$P4,"B",IF(O177&lt;='组合输入'!$Q4,"CCC","D")))))))</f>
        <v/>
      </c>
      <c r="Q177" s="12">
        <f>IF(P177="","",INDEX('状态价值'!$D4:$K4,MATCH(P177,'状态价值'!$D$1:$K$1,0)))</f>
        <v/>
      </c>
      <c r="R177" s="15">
        <f>NORM.S.INV(RAND())</f>
        <v/>
      </c>
      <c r="S177" s="15">
        <f>IF('组合输入'!$C5="","",'组合输入'!$H5*$B177+SQRT(1-'组合输入'!$H5^2)*R177)</f>
        <v/>
      </c>
      <c r="T177" s="7">
        <f>IF(S177="","",NORM.S.DIST(S177,TRUE))</f>
        <v/>
      </c>
      <c r="U177" s="13">
        <f>IF(T177="","",IF(T177&lt;='组合输入'!$K5,"AAA",IF(T177&lt;='组合输入'!$L5,"AA",IF(T177&lt;='组合输入'!$M5,"A",IF(T177&lt;='组合输入'!$N5,"BBB",IF(T177&lt;='组合输入'!$O5,"BB",IF(T177&lt;='组合输入'!$P5,"B",IF(T177&lt;='组合输入'!$Q5,"CCC","D")))))))</f>
        <v/>
      </c>
      <c r="V177" s="12">
        <f>IF(U177="","",INDEX('状态价值'!$D5:$K5,MATCH(U177,'状态价值'!$D$1:$K$1,0)))</f>
        <v/>
      </c>
      <c r="W177" s="15">
        <f>NORM.S.INV(RAND())</f>
        <v/>
      </c>
      <c r="X177" s="15">
        <f>IF('组合输入'!$C6="","",'组合输入'!$H6*$B177+SQRT(1-'组合输入'!$H6^2)*W177)</f>
        <v/>
      </c>
      <c r="Y177" s="7">
        <f>IF(X177="","",NORM.S.DIST(X177,TRUE))</f>
        <v/>
      </c>
      <c r="Z177" s="13">
        <f>IF(Y177="","",IF(Y177&lt;='组合输入'!$K6,"AAA",IF(Y177&lt;='组合输入'!$L6,"AA",IF(Y177&lt;='组合输入'!$M6,"A",IF(Y177&lt;='组合输入'!$N6,"BBB",IF(Y177&lt;='组合输入'!$O6,"BB",IF(Y177&lt;='组合输入'!$P6,"B",IF(Y177&lt;='组合输入'!$Q6,"CCC","D")))))))</f>
        <v/>
      </c>
      <c r="AA177" s="12">
        <f>IF(Z177="","",INDEX('状态价值'!$D6:$K6,MATCH(Z177,'状态价值'!$D$1:$K$1,0)))</f>
        <v/>
      </c>
      <c r="AB177" s="15">
        <f>NORM.S.INV(RAND())</f>
        <v/>
      </c>
      <c r="AC177" s="15">
        <f>IF('组合输入'!$C7="","",'组合输入'!$H7*$B177+SQRT(1-'组合输入'!$H7^2)*AB177)</f>
        <v/>
      </c>
      <c r="AD177" s="7">
        <f>IF(AC177="","",NORM.S.DIST(AC177,TRUE))</f>
        <v/>
      </c>
      <c r="AE177" s="13">
        <f>IF(AD177="","",IF(AD177&lt;='组合输入'!$K7,"AAA",IF(AD177&lt;='组合输入'!$L7,"AA",IF(AD177&lt;='组合输入'!$M7,"A",IF(AD177&lt;='组合输入'!$N7,"BBB",IF(AD177&lt;='组合输入'!$O7,"BB",IF(AD177&lt;='组合输入'!$P7,"B",IF(AD177&lt;='组合输入'!$Q7,"CCC","D")))))))</f>
        <v/>
      </c>
      <c r="AF177" s="12">
        <f>IF(AE177="","",INDEX('状态价值'!$D7:$K7,MATCH(AE177,'状态价值'!$D$1:$K$1,0)))</f>
        <v/>
      </c>
      <c r="AG177" s="15">
        <f>NORM.S.INV(RAND())</f>
        <v/>
      </c>
      <c r="AH177" s="15">
        <f>IF('组合输入'!$C8="","",'组合输入'!$H8*$B177+SQRT(1-'组合输入'!$H8^2)*AG177)</f>
        <v/>
      </c>
      <c r="AI177" s="7">
        <f>IF(AH177="","",NORM.S.DIST(AH177,TRUE))</f>
        <v/>
      </c>
      <c r="AJ177" s="13">
        <f>IF(AI177="","",IF(AI177&lt;='组合输入'!$K8,"AAA",IF(AI177&lt;='组合输入'!$L8,"AA",IF(AI177&lt;='组合输入'!$M8,"A",IF(AI177&lt;='组合输入'!$N8,"BBB",IF(AI177&lt;='组合输入'!$O8,"BB",IF(AI177&lt;='组合输入'!$P8,"B",IF(AI177&lt;='组合输入'!$Q8,"CCC","D")))))))</f>
        <v/>
      </c>
      <c r="AK177" s="12">
        <f>IF(AJ177="","",INDEX('状态价值'!$D8:$K8,MATCH(AJ177,'状态价值'!$D$1:$K$1,0)))</f>
        <v/>
      </c>
      <c r="AL177" s="15">
        <f>NORM.S.INV(RAND())</f>
        <v/>
      </c>
      <c r="AM177" s="15">
        <f>IF('组合输入'!$C9="","",'组合输入'!$H9*$B177+SQRT(1-'组合输入'!$H9^2)*AL177)</f>
        <v/>
      </c>
      <c r="AN177" s="7">
        <f>IF(AM177="","",NORM.S.DIST(AM177,TRUE))</f>
        <v/>
      </c>
      <c r="AO177" s="13">
        <f>IF(AN177="","",IF(AN177&lt;='组合输入'!$K9,"AAA",IF(AN177&lt;='组合输入'!$L9,"AA",IF(AN177&lt;='组合输入'!$M9,"A",IF(AN177&lt;='组合输入'!$N9,"BBB",IF(AN177&lt;='组合输入'!$O9,"BB",IF(AN177&lt;='组合输入'!$P9,"B",IF(AN177&lt;='组合输入'!$Q9,"CCC","D")))))))</f>
        <v/>
      </c>
      <c r="AP177" s="12">
        <f>IF(AO177="","",INDEX('状态价值'!$D9:$K9,MATCH(AO177,'状态价值'!$D$1:$K$1,0)))</f>
        <v/>
      </c>
      <c r="AQ177" s="15">
        <f>NORM.S.INV(RAND())</f>
        <v/>
      </c>
      <c r="AR177" s="15">
        <f>IF('组合输入'!$C10="","",'组合输入'!$H10*$B177+SQRT(1-'组合输入'!$H10^2)*AQ177)</f>
        <v/>
      </c>
      <c r="AS177" s="7">
        <f>IF(AR177="","",NORM.S.DIST(AR177,TRUE))</f>
        <v/>
      </c>
      <c r="AT177" s="13">
        <f>IF(AS177="","",IF(AS177&lt;='组合输入'!$K10,"AAA",IF(AS177&lt;='组合输入'!$L10,"AA",IF(AS177&lt;='组合输入'!$M10,"A",IF(AS177&lt;='组合输入'!$N10,"BBB",IF(AS177&lt;='组合输入'!$O10,"BB",IF(AS177&lt;='组合输入'!$P10,"B",IF(AS177&lt;='组合输入'!$Q10,"CCC","D")))))))</f>
        <v/>
      </c>
      <c r="AU177" s="12">
        <f>IF(AT177="","",INDEX('状态价值'!$D10:$K10,MATCH(AT177,'状态价值'!$D$1:$K$1,0)))</f>
        <v/>
      </c>
      <c r="AV177" s="15">
        <f>NORM.S.INV(RAND())</f>
        <v/>
      </c>
      <c r="AW177" s="15">
        <f>IF('组合输入'!$C11="","",'组合输入'!$H11*$B177+SQRT(1-'组合输入'!$H11^2)*AV177)</f>
        <v/>
      </c>
      <c r="AX177" s="7">
        <f>IF(AW177="","",NORM.S.DIST(AW177,TRUE))</f>
        <v/>
      </c>
      <c r="AY177" s="13">
        <f>IF(AX177="","",IF(AX177&lt;='组合输入'!$K11,"AAA",IF(AX177&lt;='组合输入'!$L11,"AA",IF(AX177&lt;='组合输入'!$M11,"A",IF(AX177&lt;='组合输入'!$N11,"BBB",IF(AX177&lt;='组合输入'!$O11,"BB",IF(AX177&lt;='组合输入'!$P11,"B",IF(AX177&lt;='组合输入'!$Q11,"CCC","D")))))))</f>
        <v/>
      </c>
      <c r="AZ177" s="12">
        <f>IF(AY177="","",INDEX('状态价值'!$D11:$K11,MATCH(AY177,'状态价值'!$D$1:$K$1,0)))</f>
        <v/>
      </c>
      <c r="BA177" s="12">
        <f>G177+L177+Q177+V177+AA177+AF177+AK177+AP177+AU177+AZ177</f>
        <v/>
      </c>
      <c r="BB177" s="12">
        <f>SUM('组合输入'!$J$2:$J$11)-BA177</f>
        <v/>
      </c>
    </row>
    <row r="178">
      <c r="A178" s="11" t="n">
        <v>177</v>
      </c>
      <c r="B178" s="14">
        <f>NORM.S.INV(RAND())</f>
        <v/>
      </c>
      <c r="C178" s="14">
        <f>NORM.S.INV(RAND())</f>
        <v/>
      </c>
      <c r="D178" s="15">
        <f>IF('组合输入'!$C2="","",'组合输入'!$H2*$B178+SQRT(1-'组合输入'!$H2^2)*C178)</f>
        <v/>
      </c>
      <c r="E178" s="7">
        <f>IF(D178="","",NORM.S.DIST(D178,TRUE))</f>
        <v/>
      </c>
      <c r="F178" s="13">
        <f>IF(E178="","",IF(E178&lt;='组合输入'!$K2,"AAA",IF(E178&lt;='组合输入'!$L2,"AA",IF(E178&lt;='组合输入'!$M2,"A",IF(E178&lt;='组合输入'!$N2,"BBB",IF(E178&lt;='组合输入'!$O2,"BB",IF(E178&lt;='组合输入'!$P2,"B",IF(E178&lt;='组合输入'!$Q2,"CCC","D")))))))</f>
        <v/>
      </c>
      <c r="G178" s="12">
        <f>IF(F178="","",INDEX('状态价值'!$D2:$K2,MATCH(F178,'状态价值'!$D$1:$K$1,0)))</f>
        <v/>
      </c>
      <c r="H178" s="15">
        <f>NORM.S.INV(RAND())</f>
        <v/>
      </c>
      <c r="I178" s="15">
        <f>IF('组合输入'!$C3="","",'组合输入'!$H3*$B178+SQRT(1-'组合输入'!$H3^2)*H178)</f>
        <v/>
      </c>
      <c r="J178" s="7">
        <f>IF(I178="","",NORM.S.DIST(I178,TRUE))</f>
        <v/>
      </c>
      <c r="K178" s="13">
        <f>IF(J178="","",IF(J178&lt;='组合输入'!$K3,"AAA",IF(J178&lt;='组合输入'!$L3,"AA",IF(J178&lt;='组合输入'!$M3,"A",IF(J178&lt;='组合输入'!$N3,"BBB",IF(J178&lt;='组合输入'!$O3,"BB",IF(J178&lt;='组合输入'!$P3,"B",IF(J178&lt;='组合输入'!$Q3,"CCC","D")))))))</f>
        <v/>
      </c>
      <c r="L178" s="12">
        <f>IF(K178="","",INDEX('状态价值'!$D3:$K3,MATCH(K178,'状态价值'!$D$1:$K$1,0)))</f>
        <v/>
      </c>
      <c r="M178" s="15">
        <f>NORM.S.INV(RAND())</f>
        <v/>
      </c>
      <c r="N178" s="15">
        <f>IF('组合输入'!$C4="","",'组合输入'!$H4*$B178+SQRT(1-'组合输入'!$H4^2)*M178)</f>
        <v/>
      </c>
      <c r="O178" s="7">
        <f>IF(N178="","",NORM.S.DIST(N178,TRUE))</f>
        <v/>
      </c>
      <c r="P178" s="13">
        <f>IF(O178="","",IF(O178&lt;='组合输入'!$K4,"AAA",IF(O178&lt;='组合输入'!$L4,"AA",IF(O178&lt;='组合输入'!$M4,"A",IF(O178&lt;='组合输入'!$N4,"BBB",IF(O178&lt;='组合输入'!$O4,"BB",IF(O178&lt;='组合输入'!$P4,"B",IF(O178&lt;='组合输入'!$Q4,"CCC","D")))))))</f>
        <v/>
      </c>
      <c r="Q178" s="12">
        <f>IF(P178="","",INDEX('状态价值'!$D4:$K4,MATCH(P178,'状态价值'!$D$1:$K$1,0)))</f>
        <v/>
      </c>
      <c r="R178" s="15">
        <f>NORM.S.INV(RAND())</f>
        <v/>
      </c>
      <c r="S178" s="15">
        <f>IF('组合输入'!$C5="","",'组合输入'!$H5*$B178+SQRT(1-'组合输入'!$H5^2)*R178)</f>
        <v/>
      </c>
      <c r="T178" s="7">
        <f>IF(S178="","",NORM.S.DIST(S178,TRUE))</f>
        <v/>
      </c>
      <c r="U178" s="13">
        <f>IF(T178="","",IF(T178&lt;='组合输入'!$K5,"AAA",IF(T178&lt;='组合输入'!$L5,"AA",IF(T178&lt;='组合输入'!$M5,"A",IF(T178&lt;='组合输入'!$N5,"BBB",IF(T178&lt;='组合输入'!$O5,"BB",IF(T178&lt;='组合输入'!$P5,"B",IF(T178&lt;='组合输入'!$Q5,"CCC","D")))))))</f>
        <v/>
      </c>
      <c r="V178" s="12">
        <f>IF(U178="","",INDEX('状态价值'!$D5:$K5,MATCH(U178,'状态价值'!$D$1:$K$1,0)))</f>
        <v/>
      </c>
      <c r="W178" s="15">
        <f>NORM.S.INV(RAND())</f>
        <v/>
      </c>
      <c r="X178" s="15">
        <f>IF('组合输入'!$C6="","",'组合输入'!$H6*$B178+SQRT(1-'组合输入'!$H6^2)*W178)</f>
        <v/>
      </c>
      <c r="Y178" s="7">
        <f>IF(X178="","",NORM.S.DIST(X178,TRUE))</f>
        <v/>
      </c>
      <c r="Z178" s="13">
        <f>IF(Y178="","",IF(Y178&lt;='组合输入'!$K6,"AAA",IF(Y178&lt;='组合输入'!$L6,"AA",IF(Y178&lt;='组合输入'!$M6,"A",IF(Y178&lt;='组合输入'!$N6,"BBB",IF(Y178&lt;='组合输入'!$O6,"BB",IF(Y178&lt;='组合输入'!$P6,"B",IF(Y178&lt;='组合输入'!$Q6,"CCC","D")))))))</f>
        <v/>
      </c>
      <c r="AA178" s="12">
        <f>IF(Z178="","",INDEX('状态价值'!$D6:$K6,MATCH(Z178,'状态价值'!$D$1:$K$1,0)))</f>
        <v/>
      </c>
      <c r="AB178" s="15">
        <f>NORM.S.INV(RAND())</f>
        <v/>
      </c>
      <c r="AC178" s="15">
        <f>IF('组合输入'!$C7="","",'组合输入'!$H7*$B178+SQRT(1-'组合输入'!$H7^2)*AB178)</f>
        <v/>
      </c>
      <c r="AD178" s="7">
        <f>IF(AC178="","",NORM.S.DIST(AC178,TRUE))</f>
        <v/>
      </c>
      <c r="AE178" s="13">
        <f>IF(AD178="","",IF(AD178&lt;='组合输入'!$K7,"AAA",IF(AD178&lt;='组合输入'!$L7,"AA",IF(AD178&lt;='组合输入'!$M7,"A",IF(AD178&lt;='组合输入'!$N7,"BBB",IF(AD178&lt;='组合输入'!$O7,"BB",IF(AD178&lt;='组合输入'!$P7,"B",IF(AD178&lt;='组合输入'!$Q7,"CCC","D")))))))</f>
        <v/>
      </c>
      <c r="AF178" s="12">
        <f>IF(AE178="","",INDEX('状态价值'!$D7:$K7,MATCH(AE178,'状态价值'!$D$1:$K$1,0)))</f>
        <v/>
      </c>
      <c r="AG178" s="15">
        <f>NORM.S.INV(RAND())</f>
        <v/>
      </c>
      <c r="AH178" s="15">
        <f>IF('组合输入'!$C8="","",'组合输入'!$H8*$B178+SQRT(1-'组合输入'!$H8^2)*AG178)</f>
        <v/>
      </c>
      <c r="AI178" s="7">
        <f>IF(AH178="","",NORM.S.DIST(AH178,TRUE))</f>
        <v/>
      </c>
      <c r="AJ178" s="13">
        <f>IF(AI178="","",IF(AI178&lt;='组合输入'!$K8,"AAA",IF(AI178&lt;='组合输入'!$L8,"AA",IF(AI178&lt;='组合输入'!$M8,"A",IF(AI178&lt;='组合输入'!$N8,"BBB",IF(AI178&lt;='组合输入'!$O8,"BB",IF(AI178&lt;='组合输入'!$P8,"B",IF(AI178&lt;='组合输入'!$Q8,"CCC","D")))))))</f>
        <v/>
      </c>
      <c r="AK178" s="12">
        <f>IF(AJ178="","",INDEX('状态价值'!$D8:$K8,MATCH(AJ178,'状态价值'!$D$1:$K$1,0)))</f>
        <v/>
      </c>
      <c r="AL178" s="15">
        <f>NORM.S.INV(RAND())</f>
        <v/>
      </c>
      <c r="AM178" s="15">
        <f>IF('组合输入'!$C9="","",'组合输入'!$H9*$B178+SQRT(1-'组合输入'!$H9^2)*AL178)</f>
        <v/>
      </c>
      <c r="AN178" s="7">
        <f>IF(AM178="","",NORM.S.DIST(AM178,TRUE))</f>
        <v/>
      </c>
      <c r="AO178" s="13">
        <f>IF(AN178="","",IF(AN178&lt;='组合输入'!$K9,"AAA",IF(AN178&lt;='组合输入'!$L9,"AA",IF(AN178&lt;='组合输入'!$M9,"A",IF(AN178&lt;='组合输入'!$N9,"BBB",IF(AN178&lt;='组合输入'!$O9,"BB",IF(AN178&lt;='组合输入'!$P9,"B",IF(AN178&lt;='组合输入'!$Q9,"CCC","D")))))))</f>
        <v/>
      </c>
      <c r="AP178" s="12">
        <f>IF(AO178="","",INDEX('状态价值'!$D9:$K9,MATCH(AO178,'状态价值'!$D$1:$K$1,0)))</f>
        <v/>
      </c>
      <c r="AQ178" s="15">
        <f>NORM.S.INV(RAND())</f>
        <v/>
      </c>
      <c r="AR178" s="15">
        <f>IF('组合输入'!$C10="","",'组合输入'!$H10*$B178+SQRT(1-'组合输入'!$H10^2)*AQ178)</f>
        <v/>
      </c>
      <c r="AS178" s="7">
        <f>IF(AR178="","",NORM.S.DIST(AR178,TRUE))</f>
        <v/>
      </c>
      <c r="AT178" s="13">
        <f>IF(AS178="","",IF(AS178&lt;='组合输入'!$K10,"AAA",IF(AS178&lt;='组合输入'!$L10,"AA",IF(AS178&lt;='组合输入'!$M10,"A",IF(AS178&lt;='组合输入'!$N10,"BBB",IF(AS178&lt;='组合输入'!$O10,"BB",IF(AS178&lt;='组合输入'!$P10,"B",IF(AS178&lt;='组合输入'!$Q10,"CCC","D")))))))</f>
        <v/>
      </c>
      <c r="AU178" s="12">
        <f>IF(AT178="","",INDEX('状态价值'!$D10:$K10,MATCH(AT178,'状态价值'!$D$1:$K$1,0)))</f>
        <v/>
      </c>
      <c r="AV178" s="15">
        <f>NORM.S.INV(RAND())</f>
        <v/>
      </c>
      <c r="AW178" s="15">
        <f>IF('组合输入'!$C11="","",'组合输入'!$H11*$B178+SQRT(1-'组合输入'!$H11^2)*AV178)</f>
        <v/>
      </c>
      <c r="AX178" s="7">
        <f>IF(AW178="","",NORM.S.DIST(AW178,TRUE))</f>
        <v/>
      </c>
      <c r="AY178" s="13">
        <f>IF(AX178="","",IF(AX178&lt;='组合输入'!$K11,"AAA",IF(AX178&lt;='组合输入'!$L11,"AA",IF(AX178&lt;='组合输入'!$M11,"A",IF(AX178&lt;='组合输入'!$N11,"BBB",IF(AX178&lt;='组合输入'!$O11,"BB",IF(AX178&lt;='组合输入'!$P11,"B",IF(AX178&lt;='组合输入'!$Q11,"CCC","D")))))))</f>
        <v/>
      </c>
      <c r="AZ178" s="12">
        <f>IF(AY178="","",INDEX('状态价值'!$D11:$K11,MATCH(AY178,'状态价值'!$D$1:$K$1,0)))</f>
        <v/>
      </c>
      <c r="BA178" s="12">
        <f>G178+L178+Q178+V178+AA178+AF178+AK178+AP178+AU178+AZ178</f>
        <v/>
      </c>
      <c r="BB178" s="12">
        <f>SUM('组合输入'!$J$2:$J$11)-BA178</f>
        <v/>
      </c>
    </row>
    <row r="179">
      <c r="A179" s="11" t="n">
        <v>178</v>
      </c>
      <c r="B179" s="14">
        <f>NORM.S.INV(RAND())</f>
        <v/>
      </c>
      <c r="C179" s="14">
        <f>NORM.S.INV(RAND())</f>
        <v/>
      </c>
      <c r="D179" s="15">
        <f>IF('组合输入'!$C2="","",'组合输入'!$H2*$B179+SQRT(1-'组合输入'!$H2^2)*C179)</f>
        <v/>
      </c>
      <c r="E179" s="7">
        <f>IF(D179="","",NORM.S.DIST(D179,TRUE))</f>
        <v/>
      </c>
      <c r="F179" s="13">
        <f>IF(E179="","",IF(E179&lt;='组合输入'!$K2,"AAA",IF(E179&lt;='组合输入'!$L2,"AA",IF(E179&lt;='组合输入'!$M2,"A",IF(E179&lt;='组合输入'!$N2,"BBB",IF(E179&lt;='组合输入'!$O2,"BB",IF(E179&lt;='组合输入'!$P2,"B",IF(E179&lt;='组合输入'!$Q2,"CCC","D")))))))</f>
        <v/>
      </c>
      <c r="G179" s="12">
        <f>IF(F179="","",INDEX('状态价值'!$D2:$K2,MATCH(F179,'状态价值'!$D$1:$K$1,0)))</f>
        <v/>
      </c>
      <c r="H179" s="15">
        <f>NORM.S.INV(RAND())</f>
        <v/>
      </c>
      <c r="I179" s="15">
        <f>IF('组合输入'!$C3="","",'组合输入'!$H3*$B179+SQRT(1-'组合输入'!$H3^2)*H179)</f>
        <v/>
      </c>
      <c r="J179" s="7">
        <f>IF(I179="","",NORM.S.DIST(I179,TRUE))</f>
        <v/>
      </c>
      <c r="K179" s="13">
        <f>IF(J179="","",IF(J179&lt;='组合输入'!$K3,"AAA",IF(J179&lt;='组合输入'!$L3,"AA",IF(J179&lt;='组合输入'!$M3,"A",IF(J179&lt;='组合输入'!$N3,"BBB",IF(J179&lt;='组合输入'!$O3,"BB",IF(J179&lt;='组合输入'!$P3,"B",IF(J179&lt;='组合输入'!$Q3,"CCC","D")))))))</f>
        <v/>
      </c>
      <c r="L179" s="12">
        <f>IF(K179="","",INDEX('状态价值'!$D3:$K3,MATCH(K179,'状态价值'!$D$1:$K$1,0)))</f>
        <v/>
      </c>
      <c r="M179" s="15">
        <f>NORM.S.INV(RAND())</f>
        <v/>
      </c>
      <c r="N179" s="15">
        <f>IF('组合输入'!$C4="","",'组合输入'!$H4*$B179+SQRT(1-'组合输入'!$H4^2)*M179)</f>
        <v/>
      </c>
      <c r="O179" s="7">
        <f>IF(N179="","",NORM.S.DIST(N179,TRUE))</f>
        <v/>
      </c>
      <c r="P179" s="13">
        <f>IF(O179="","",IF(O179&lt;='组合输入'!$K4,"AAA",IF(O179&lt;='组合输入'!$L4,"AA",IF(O179&lt;='组合输入'!$M4,"A",IF(O179&lt;='组合输入'!$N4,"BBB",IF(O179&lt;='组合输入'!$O4,"BB",IF(O179&lt;='组合输入'!$P4,"B",IF(O179&lt;='组合输入'!$Q4,"CCC","D")))))))</f>
        <v/>
      </c>
      <c r="Q179" s="12">
        <f>IF(P179="","",INDEX('状态价值'!$D4:$K4,MATCH(P179,'状态价值'!$D$1:$K$1,0)))</f>
        <v/>
      </c>
      <c r="R179" s="15">
        <f>NORM.S.INV(RAND())</f>
        <v/>
      </c>
      <c r="S179" s="15">
        <f>IF('组合输入'!$C5="","",'组合输入'!$H5*$B179+SQRT(1-'组合输入'!$H5^2)*R179)</f>
        <v/>
      </c>
      <c r="T179" s="7">
        <f>IF(S179="","",NORM.S.DIST(S179,TRUE))</f>
        <v/>
      </c>
      <c r="U179" s="13">
        <f>IF(T179="","",IF(T179&lt;='组合输入'!$K5,"AAA",IF(T179&lt;='组合输入'!$L5,"AA",IF(T179&lt;='组合输入'!$M5,"A",IF(T179&lt;='组合输入'!$N5,"BBB",IF(T179&lt;='组合输入'!$O5,"BB",IF(T179&lt;='组合输入'!$P5,"B",IF(T179&lt;='组合输入'!$Q5,"CCC","D")))))))</f>
        <v/>
      </c>
      <c r="V179" s="12">
        <f>IF(U179="","",INDEX('状态价值'!$D5:$K5,MATCH(U179,'状态价值'!$D$1:$K$1,0)))</f>
        <v/>
      </c>
      <c r="W179" s="15">
        <f>NORM.S.INV(RAND())</f>
        <v/>
      </c>
      <c r="X179" s="15">
        <f>IF('组合输入'!$C6="","",'组合输入'!$H6*$B179+SQRT(1-'组合输入'!$H6^2)*W179)</f>
        <v/>
      </c>
      <c r="Y179" s="7">
        <f>IF(X179="","",NORM.S.DIST(X179,TRUE))</f>
        <v/>
      </c>
      <c r="Z179" s="13">
        <f>IF(Y179="","",IF(Y179&lt;='组合输入'!$K6,"AAA",IF(Y179&lt;='组合输入'!$L6,"AA",IF(Y179&lt;='组合输入'!$M6,"A",IF(Y179&lt;='组合输入'!$N6,"BBB",IF(Y179&lt;='组合输入'!$O6,"BB",IF(Y179&lt;='组合输入'!$P6,"B",IF(Y179&lt;='组合输入'!$Q6,"CCC","D")))))))</f>
        <v/>
      </c>
      <c r="AA179" s="12">
        <f>IF(Z179="","",INDEX('状态价值'!$D6:$K6,MATCH(Z179,'状态价值'!$D$1:$K$1,0)))</f>
        <v/>
      </c>
      <c r="AB179" s="15">
        <f>NORM.S.INV(RAND())</f>
        <v/>
      </c>
      <c r="AC179" s="15">
        <f>IF('组合输入'!$C7="","",'组合输入'!$H7*$B179+SQRT(1-'组合输入'!$H7^2)*AB179)</f>
        <v/>
      </c>
      <c r="AD179" s="7">
        <f>IF(AC179="","",NORM.S.DIST(AC179,TRUE))</f>
        <v/>
      </c>
      <c r="AE179" s="13">
        <f>IF(AD179="","",IF(AD179&lt;='组合输入'!$K7,"AAA",IF(AD179&lt;='组合输入'!$L7,"AA",IF(AD179&lt;='组合输入'!$M7,"A",IF(AD179&lt;='组合输入'!$N7,"BBB",IF(AD179&lt;='组合输入'!$O7,"BB",IF(AD179&lt;='组合输入'!$P7,"B",IF(AD179&lt;='组合输入'!$Q7,"CCC","D")))))))</f>
        <v/>
      </c>
      <c r="AF179" s="12">
        <f>IF(AE179="","",INDEX('状态价值'!$D7:$K7,MATCH(AE179,'状态价值'!$D$1:$K$1,0)))</f>
        <v/>
      </c>
      <c r="AG179" s="15">
        <f>NORM.S.INV(RAND())</f>
        <v/>
      </c>
      <c r="AH179" s="15">
        <f>IF('组合输入'!$C8="","",'组合输入'!$H8*$B179+SQRT(1-'组合输入'!$H8^2)*AG179)</f>
        <v/>
      </c>
      <c r="AI179" s="7">
        <f>IF(AH179="","",NORM.S.DIST(AH179,TRUE))</f>
        <v/>
      </c>
      <c r="AJ179" s="13">
        <f>IF(AI179="","",IF(AI179&lt;='组合输入'!$K8,"AAA",IF(AI179&lt;='组合输入'!$L8,"AA",IF(AI179&lt;='组合输入'!$M8,"A",IF(AI179&lt;='组合输入'!$N8,"BBB",IF(AI179&lt;='组合输入'!$O8,"BB",IF(AI179&lt;='组合输入'!$P8,"B",IF(AI179&lt;='组合输入'!$Q8,"CCC","D")))))))</f>
        <v/>
      </c>
      <c r="AK179" s="12">
        <f>IF(AJ179="","",INDEX('状态价值'!$D8:$K8,MATCH(AJ179,'状态价值'!$D$1:$K$1,0)))</f>
        <v/>
      </c>
      <c r="AL179" s="15">
        <f>NORM.S.INV(RAND())</f>
        <v/>
      </c>
      <c r="AM179" s="15">
        <f>IF('组合输入'!$C9="","",'组合输入'!$H9*$B179+SQRT(1-'组合输入'!$H9^2)*AL179)</f>
        <v/>
      </c>
      <c r="AN179" s="7">
        <f>IF(AM179="","",NORM.S.DIST(AM179,TRUE))</f>
        <v/>
      </c>
      <c r="AO179" s="13">
        <f>IF(AN179="","",IF(AN179&lt;='组合输入'!$K9,"AAA",IF(AN179&lt;='组合输入'!$L9,"AA",IF(AN179&lt;='组合输入'!$M9,"A",IF(AN179&lt;='组合输入'!$N9,"BBB",IF(AN179&lt;='组合输入'!$O9,"BB",IF(AN179&lt;='组合输入'!$P9,"B",IF(AN179&lt;='组合输入'!$Q9,"CCC","D")))))))</f>
        <v/>
      </c>
      <c r="AP179" s="12">
        <f>IF(AO179="","",INDEX('状态价值'!$D9:$K9,MATCH(AO179,'状态价值'!$D$1:$K$1,0)))</f>
        <v/>
      </c>
      <c r="AQ179" s="15">
        <f>NORM.S.INV(RAND())</f>
        <v/>
      </c>
      <c r="AR179" s="15">
        <f>IF('组合输入'!$C10="","",'组合输入'!$H10*$B179+SQRT(1-'组合输入'!$H10^2)*AQ179)</f>
        <v/>
      </c>
      <c r="AS179" s="7">
        <f>IF(AR179="","",NORM.S.DIST(AR179,TRUE))</f>
        <v/>
      </c>
      <c r="AT179" s="13">
        <f>IF(AS179="","",IF(AS179&lt;='组合输入'!$K10,"AAA",IF(AS179&lt;='组合输入'!$L10,"AA",IF(AS179&lt;='组合输入'!$M10,"A",IF(AS179&lt;='组合输入'!$N10,"BBB",IF(AS179&lt;='组合输入'!$O10,"BB",IF(AS179&lt;='组合输入'!$P10,"B",IF(AS179&lt;='组合输入'!$Q10,"CCC","D")))))))</f>
        <v/>
      </c>
      <c r="AU179" s="12">
        <f>IF(AT179="","",INDEX('状态价值'!$D10:$K10,MATCH(AT179,'状态价值'!$D$1:$K$1,0)))</f>
        <v/>
      </c>
      <c r="AV179" s="15">
        <f>NORM.S.INV(RAND())</f>
        <v/>
      </c>
      <c r="AW179" s="15">
        <f>IF('组合输入'!$C11="","",'组合输入'!$H11*$B179+SQRT(1-'组合输入'!$H11^2)*AV179)</f>
        <v/>
      </c>
      <c r="AX179" s="7">
        <f>IF(AW179="","",NORM.S.DIST(AW179,TRUE))</f>
        <v/>
      </c>
      <c r="AY179" s="13">
        <f>IF(AX179="","",IF(AX179&lt;='组合输入'!$K11,"AAA",IF(AX179&lt;='组合输入'!$L11,"AA",IF(AX179&lt;='组合输入'!$M11,"A",IF(AX179&lt;='组合输入'!$N11,"BBB",IF(AX179&lt;='组合输入'!$O11,"BB",IF(AX179&lt;='组合输入'!$P11,"B",IF(AX179&lt;='组合输入'!$Q11,"CCC","D")))))))</f>
        <v/>
      </c>
      <c r="AZ179" s="12">
        <f>IF(AY179="","",INDEX('状态价值'!$D11:$K11,MATCH(AY179,'状态价值'!$D$1:$K$1,0)))</f>
        <v/>
      </c>
      <c r="BA179" s="12">
        <f>G179+L179+Q179+V179+AA179+AF179+AK179+AP179+AU179+AZ179</f>
        <v/>
      </c>
      <c r="BB179" s="12">
        <f>SUM('组合输入'!$J$2:$J$11)-BA179</f>
        <v/>
      </c>
    </row>
    <row r="180">
      <c r="A180" s="11" t="n">
        <v>179</v>
      </c>
      <c r="B180" s="14">
        <f>NORM.S.INV(RAND())</f>
        <v/>
      </c>
      <c r="C180" s="14">
        <f>NORM.S.INV(RAND())</f>
        <v/>
      </c>
      <c r="D180" s="15">
        <f>IF('组合输入'!$C2="","",'组合输入'!$H2*$B180+SQRT(1-'组合输入'!$H2^2)*C180)</f>
        <v/>
      </c>
      <c r="E180" s="7">
        <f>IF(D180="","",NORM.S.DIST(D180,TRUE))</f>
        <v/>
      </c>
      <c r="F180" s="13">
        <f>IF(E180="","",IF(E180&lt;='组合输入'!$K2,"AAA",IF(E180&lt;='组合输入'!$L2,"AA",IF(E180&lt;='组合输入'!$M2,"A",IF(E180&lt;='组合输入'!$N2,"BBB",IF(E180&lt;='组合输入'!$O2,"BB",IF(E180&lt;='组合输入'!$P2,"B",IF(E180&lt;='组合输入'!$Q2,"CCC","D")))))))</f>
        <v/>
      </c>
      <c r="G180" s="12">
        <f>IF(F180="","",INDEX('状态价值'!$D2:$K2,MATCH(F180,'状态价值'!$D$1:$K$1,0)))</f>
        <v/>
      </c>
      <c r="H180" s="15">
        <f>NORM.S.INV(RAND())</f>
        <v/>
      </c>
      <c r="I180" s="15">
        <f>IF('组合输入'!$C3="","",'组合输入'!$H3*$B180+SQRT(1-'组合输入'!$H3^2)*H180)</f>
        <v/>
      </c>
      <c r="J180" s="7">
        <f>IF(I180="","",NORM.S.DIST(I180,TRUE))</f>
        <v/>
      </c>
      <c r="K180" s="13">
        <f>IF(J180="","",IF(J180&lt;='组合输入'!$K3,"AAA",IF(J180&lt;='组合输入'!$L3,"AA",IF(J180&lt;='组合输入'!$M3,"A",IF(J180&lt;='组合输入'!$N3,"BBB",IF(J180&lt;='组合输入'!$O3,"BB",IF(J180&lt;='组合输入'!$P3,"B",IF(J180&lt;='组合输入'!$Q3,"CCC","D")))))))</f>
        <v/>
      </c>
      <c r="L180" s="12">
        <f>IF(K180="","",INDEX('状态价值'!$D3:$K3,MATCH(K180,'状态价值'!$D$1:$K$1,0)))</f>
        <v/>
      </c>
      <c r="M180" s="15">
        <f>NORM.S.INV(RAND())</f>
        <v/>
      </c>
      <c r="N180" s="15">
        <f>IF('组合输入'!$C4="","",'组合输入'!$H4*$B180+SQRT(1-'组合输入'!$H4^2)*M180)</f>
        <v/>
      </c>
      <c r="O180" s="7">
        <f>IF(N180="","",NORM.S.DIST(N180,TRUE))</f>
        <v/>
      </c>
      <c r="P180" s="13">
        <f>IF(O180="","",IF(O180&lt;='组合输入'!$K4,"AAA",IF(O180&lt;='组合输入'!$L4,"AA",IF(O180&lt;='组合输入'!$M4,"A",IF(O180&lt;='组合输入'!$N4,"BBB",IF(O180&lt;='组合输入'!$O4,"BB",IF(O180&lt;='组合输入'!$P4,"B",IF(O180&lt;='组合输入'!$Q4,"CCC","D")))))))</f>
        <v/>
      </c>
      <c r="Q180" s="12">
        <f>IF(P180="","",INDEX('状态价值'!$D4:$K4,MATCH(P180,'状态价值'!$D$1:$K$1,0)))</f>
        <v/>
      </c>
      <c r="R180" s="15">
        <f>NORM.S.INV(RAND())</f>
        <v/>
      </c>
      <c r="S180" s="15">
        <f>IF('组合输入'!$C5="","",'组合输入'!$H5*$B180+SQRT(1-'组合输入'!$H5^2)*R180)</f>
        <v/>
      </c>
      <c r="T180" s="7">
        <f>IF(S180="","",NORM.S.DIST(S180,TRUE))</f>
        <v/>
      </c>
      <c r="U180" s="13">
        <f>IF(T180="","",IF(T180&lt;='组合输入'!$K5,"AAA",IF(T180&lt;='组合输入'!$L5,"AA",IF(T180&lt;='组合输入'!$M5,"A",IF(T180&lt;='组合输入'!$N5,"BBB",IF(T180&lt;='组合输入'!$O5,"BB",IF(T180&lt;='组合输入'!$P5,"B",IF(T180&lt;='组合输入'!$Q5,"CCC","D")))))))</f>
        <v/>
      </c>
      <c r="V180" s="12">
        <f>IF(U180="","",INDEX('状态价值'!$D5:$K5,MATCH(U180,'状态价值'!$D$1:$K$1,0)))</f>
        <v/>
      </c>
      <c r="W180" s="15">
        <f>NORM.S.INV(RAND())</f>
        <v/>
      </c>
      <c r="X180" s="15">
        <f>IF('组合输入'!$C6="","",'组合输入'!$H6*$B180+SQRT(1-'组合输入'!$H6^2)*W180)</f>
        <v/>
      </c>
      <c r="Y180" s="7">
        <f>IF(X180="","",NORM.S.DIST(X180,TRUE))</f>
        <v/>
      </c>
      <c r="Z180" s="13">
        <f>IF(Y180="","",IF(Y180&lt;='组合输入'!$K6,"AAA",IF(Y180&lt;='组合输入'!$L6,"AA",IF(Y180&lt;='组合输入'!$M6,"A",IF(Y180&lt;='组合输入'!$N6,"BBB",IF(Y180&lt;='组合输入'!$O6,"BB",IF(Y180&lt;='组合输入'!$P6,"B",IF(Y180&lt;='组合输入'!$Q6,"CCC","D")))))))</f>
        <v/>
      </c>
      <c r="AA180" s="12">
        <f>IF(Z180="","",INDEX('状态价值'!$D6:$K6,MATCH(Z180,'状态价值'!$D$1:$K$1,0)))</f>
        <v/>
      </c>
      <c r="AB180" s="15">
        <f>NORM.S.INV(RAND())</f>
        <v/>
      </c>
      <c r="AC180" s="15">
        <f>IF('组合输入'!$C7="","",'组合输入'!$H7*$B180+SQRT(1-'组合输入'!$H7^2)*AB180)</f>
        <v/>
      </c>
      <c r="AD180" s="7">
        <f>IF(AC180="","",NORM.S.DIST(AC180,TRUE))</f>
        <v/>
      </c>
      <c r="AE180" s="13">
        <f>IF(AD180="","",IF(AD180&lt;='组合输入'!$K7,"AAA",IF(AD180&lt;='组合输入'!$L7,"AA",IF(AD180&lt;='组合输入'!$M7,"A",IF(AD180&lt;='组合输入'!$N7,"BBB",IF(AD180&lt;='组合输入'!$O7,"BB",IF(AD180&lt;='组合输入'!$P7,"B",IF(AD180&lt;='组合输入'!$Q7,"CCC","D")))))))</f>
        <v/>
      </c>
      <c r="AF180" s="12">
        <f>IF(AE180="","",INDEX('状态价值'!$D7:$K7,MATCH(AE180,'状态价值'!$D$1:$K$1,0)))</f>
        <v/>
      </c>
      <c r="AG180" s="15">
        <f>NORM.S.INV(RAND())</f>
        <v/>
      </c>
      <c r="AH180" s="15">
        <f>IF('组合输入'!$C8="","",'组合输入'!$H8*$B180+SQRT(1-'组合输入'!$H8^2)*AG180)</f>
        <v/>
      </c>
      <c r="AI180" s="7">
        <f>IF(AH180="","",NORM.S.DIST(AH180,TRUE))</f>
        <v/>
      </c>
      <c r="AJ180" s="13">
        <f>IF(AI180="","",IF(AI180&lt;='组合输入'!$K8,"AAA",IF(AI180&lt;='组合输入'!$L8,"AA",IF(AI180&lt;='组合输入'!$M8,"A",IF(AI180&lt;='组合输入'!$N8,"BBB",IF(AI180&lt;='组合输入'!$O8,"BB",IF(AI180&lt;='组合输入'!$P8,"B",IF(AI180&lt;='组合输入'!$Q8,"CCC","D")))))))</f>
        <v/>
      </c>
      <c r="AK180" s="12">
        <f>IF(AJ180="","",INDEX('状态价值'!$D8:$K8,MATCH(AJ180,'状态价值'!$D$1:$K$1,0)))</f>
        <v/>
      </c>
      <c r="AL180" s="15">
        <f>NORM.S.INV(RAND())</f>
        <v/>
      </c>
      <c r="AM180" s="15">
        <f>IF('组合输入'!$C9="","",'组合输入'!$H9*$B180+SQRT(1-'组合输入'!$H9^2)*AL180)</f>
        <v/>
      </c>
      <c r="AN180" s="7">
        <f>IF(AM180="","",NORM.S.DIST(AM180,TRUE))</f>
        <v/>
      </c>
      <c r="AO180" s="13">
        <f>IF(AN180="","",IF(AN180&lt;='组合输入'!$K9,"AAA",IF(AN180&lt;='组合输入'!$L9,"AA",IF(AN180&lt;='组合输入'!$M9,"A",IF(AN180&lt;='组合输入'!$N9,"BBB",IF(AN180&lt;='组合输入'!$O9,"BB",IF(AN180&lt;='组合输入'!$P9,"B",IF(AN180&lt;='组合输入'!$Q9,"CCC","D")))))))</f>
        <v/>
      </c>
      <c r="AP180" s="12">
        <f>IF(AO180="","",INDEX('状态价值'!$D9:$K9,MATCH(AO180,'状态价值'!$D$1:$K$1,0)))</f>
        <v/>
      </c>
      <c r="AQ180" s="15">
        <f>NORM.S.INV(RAND())</f>
        <v/>
      </c>
      <c r="AR180" s="15">
        <f>IF('组合输入'!$C10="","",'组合输入'!$H10*$B180+SQRT(1-'组合输入'!$H10^2)*AQ180)</f>
        <v/>
      </c>
      <c r="AS180" s="7">
        <f>IF(AR180="","",NORM.S.DIST(AR180,TRUE))</f>
        <v/>
      </c>
      <c r="AT180" s="13">
        <f>IF(AS180="","",IF(AS180&lt;='组合输入'!$K10,"AAA",IF(AS180&lt;='组合输入'!$L10,"AA",IF(AS180&lt;='组合输入'!$M10,"A",IF(AS180&lt;='组合输入'!$N10,"BBB",IF(AS180&lt;='组合输入'!$O10,"BB",IF(AS180&lt;='组合输入'!$P10,"B",IF(AS180&lt;='组合输入'!$Q10,"CCC","D")))))))</f>
        <v/>
      </c>
      <c r="AU180" s="12">
        <f>IF(AT180="","",INDEX('状态价值'!$D10:$K10,MATCH(AT180,'状态价值'!$D$1:$K$1,0)))</f>
        <v/>
      </c>
      <c r="AV180" s="15">
        <f>NORM.S.INV(RAND())</f>
        <v/>
      </c>
      <c r="AW180" s="15">
        <f>IF('组合输入'!$C11="","",'组合输入'!$H11*$B180+SQRT(1-'组合输入'!$H11^2)*AV180)</f>
        <v/>
      </c>
      <c r="AX180" s="7">
        <f>IF(AW180="","",NORM.S.DIST(AW180,TRUE))</f>
        <v/>
      </c>
      <c r="AY180" s="13">
        <f>IF(AX180="","",IF(AX180&lt;='组合输入'!$K11,"AAA",IF(AX180&lt;='组合输入'!$L11,"AA",IF(AX180&lt;='组合输入'!$M11,"A",IF(AX180&lt;='组合输入'!$N11,"BBB",IF(AX180&lt;='组合输入'!$O11,"BB",IF(AX180&lt;='组合输入'!$P11,"B",IF(AX180&lt;='组合输入'!$Q11,"CCC","D")))))))</f>
        <v/>
      </c>
      <c r="AZ180" s="12">
        <f>IF(AY180="","",INDEX('状态价值'!$D11:$K11,MATCH(AY180,'状态价值'!$D$1:$K$1,0)))</f>
        <v/>
      </c>
      <c r="BA180" s="12">
        <f>G180+L180+Q180+V180+AA180+AF180+AK180+AP180+AU180+AZ180</f>
        <v/>
      </c>
      <c r="BB180" s="12">
        <f>SUM('组合输入'!$J$2:$J$11)-BA180</f>
        <v/>
      </c>
    </row>
    <row r="181">
      <c r="A181" s="11" t="n">
        <v>180</v>
      </c>
      <c r="B181" s="14">
        <f>NORM.S.INV(RAND())</f>
        <v/>
      </c>
      <c r="C181" s="14">
        <f>NORM.S.INV(RAND())</f>
        <v/>
      </c>
      <c r="D181" s="15">
        <f>IF('组合输入'!$C2="","",'组合输入'!$H2*$B181+SQRT(1-'组合输入'!$H2^2)*C181)</f>
        <v/>
      </c>
      <c r="E181" s="7">
        <f>IF(D181="","",NORM.S.DIST(D181,TRUE))</f>
        <v/>
      </c>
      <c r="F181" s="13">
        <f>IF(E181="","",IF(E181&lt;='组合输入'!$K2,"AAA",IF(E181&lt;='组合输入'!$L2,"AA",IF(E181&lt;='组合输入'!$M2,"A",IF(E181&lt;='组合输入'!$N2,"BBB",IF(E181&lt;='组合输入'!$O2,"BB",IF(E181&lt;='组合输入'!$P2,"B",IF(E181&lt;='组合输入'!$Q2,"CCC","D")))))))</f>
        <v/>
      </c>
      <c r="G181" s="12">
        <f>IF(F181="","",INDEX('状态价值'!$D2:$K2,MATCH(F181,'状态价值'!$D$1:$K$1,0)))</f>
        <v/>
      </c>
      <c r="H181" s="15">
        <f>NORM.S.INV(RAND())</f>
        <v/>
      </c>
      <c r="I181" s="15">
        <f>IF('组合输入'!$C3="","",'组合输入'!$H3*$B181+SQRT(1-'组合输入'!$H3^2)*H181)</f>
        <v/>
      </c>
      <c r="J181" s="7">
        <f>IF(I181="","",NORM.S.DIST(I181,TRUE))</f>
        <v/>
      </c>
      <c r="K181" s="13">
        <f>IF(J181="","",IF(J181&lt;='组合输入'!$K3,"AAA",IF(J181&lt;='组合输入'!$L3,"AA",IF(J181&lt;='组合输入'!$M3,"A",IF(J181&lt;='组合输入'!$N3,"BBB",IF(J181&lt;='组合输入'!$O3,"BB",IF(J181&lt;='组合输入'!$P3,"B",IF(J181&lt;='组合输入'!$Q3,"CCC","D")))))))</f>
        <v/>
      </c>
      <c r="L181" s="12">
        <f>IF(K181="","",INDEX('状态价值'!$D3:$K3,MATCH(K181,'状态价值'!$D$1:$K$1,0)))</f>
        <v/>
      </c>
      <c r="M181" s="15">
        <f>NORM.S.INV(RAND())</f>
        <v/>
      </c>
      <c r="N181" s="15">
        <f>IF('组合输入'!$C4="","",'组合输入'!$H4*$B181+SQRT(1-'组合输入'!$H4^2)*M181)</f>
        <v/>
      </c>
      <c r="O181" s="7">
        <f>IF(N181="","",NORM.S.DIST(N181,TRUE))</f>
        <v/>
      </c>
      <c r="P181" s="13">
        <f>IF(O181="","",IF(O181&lt;='组合输入'!$K4,"AAA",IF(O181&lt;='组合输入'!$L4,"AA",IF(O181&lt;='组合输入'!$M4,"A",IF(O181&lt;='组合输入'!$N4,"BBB",IF(O181&lt;='组合输入'!$O4,"BB",IF(O181&lt;='组合输入'!$P4,"B",IF(O181&lt;='组合输入'!$Q4,"CCC","D")))))))</f>
        <v/>
      </c>
      <c r="Q181" s="12">
        <f>IF(P181="","",INDEX('状态价值'!$D4:$K4,MATCH(P181,'状态价值'!$D$1:$K$1,0)))</f>
        <v/>
      </c>
      <c r="R181" s="15">
        <f>NORM.S.INV(RAND())</f>
        <v/>
      </c>
      <c r="S181" s="15">
        <f>IF('组合输入'!$C5="","",'组合输入'!$H5*$B181+SQRT(1-'组合输入'!$H5^2)*R181)</f>
        <v/>
      </c>
      <c r="T181" s="7">
        <f>IF(S181="","",NORM.S.DIST(S181,TRUE))</f>
        <v/>
      </c>
      <c r="U181" s="13">
        <f>IF(T181="","",IF(T181&lt;='组合输入'!$K5,"AAA",IF(T181&lt;='组合输入'!$L5,"AA",IF(T181&lt;='组合输入'!$M5,"A",IF(T181&lt;='组合输入'!$N5,"BBB",IF(T181&lt;='组合输入'!$O5,"BB",IF(T181&lt;='组合输入'!$P5,"B",IF(T181&lt;='组合输入'!$Q5,"CCC","D")))))))</f>
        <v/>
      </c>
      <c r="V181" s="12">
        <f>IF(U181="","",INDEX('状态价值'!$D5:$K5,MATCH(U181,'状态价值'!$D$1:$K$1,0)))</f>
        <v/>
      </c>
      <c r="W181" s="15">
        <f>NORM.S.INV(RAND())</f>
        <v/>
      </c>
      <c r="X181" s="15">
        <f>IF('组合输入'!$C6="","",'组合输入'!$H6*$B181+SQRT(1-'组合输入'!$H6^2)*W181)</f>
        <v/>
      </c>
      <c r="Y181" s="7">
        <f>IF(X181="","",NORM.S.DIST(X181,TRUE))</f>
        <v/>
      </c>
      <c r="Z181" s="13">
        <f>IF(Y181="","",IF(Y181&lt;='组合输入'!$K6,"AAA",IF(Y181&lt;='组合输入'!$L6,"AA",IF(Y181&lt;='组合输入'!$M6,"A",IF(Y181&lt;='组合输入'!$N6,"BBB",IF(Y181&lt;='组合输入'!$O6,"BB",IF(Y181&lt;='组合输入'!$P6,"B",IF(Y181&lt;='组合输入'!$Q6,"CCC","D")))))))</f>
        <v/>
      </c>
      <c r="AA181" s="12">
        <f>IF(Z181="","",INDEX('状态价值'!$D6:$K6,MATCH(Z181,'状态价值'!$D$1:$K$1,0)))</f>
        <v/>
      </c>
      <c r="AB181" s="15">
        <f>NORM.S.INV(RAND())</f>
        <v/>
      </c>
      <c r="AC181" s="15">
        <f>IF('组合输入'!$C7="","",'组合输入'!$H7*$B181+SQRT(1-'组合输入'!$H7^2)*AB181)</f>
        <v/>
      </c>
      <c r="AD181" s="7">
        <f>IF(AC181="","",NORM.S.DIST(AC181,TRUE))</f>
        <v/>
      </c>
      <c r="AE181" s="13">
        <f>IF(AD181="","",IF(AD181&lt;='组合输入'!$K7,"AAA",IF(AD181&lt;='组合输入'!$L7,"AA",IF(AD181&lt;='组合输入'!$M7,"A",IF(AD181&lt;='组合输入'!$N7,"BBB",IF(AD181&lt;='组合输入'!$O7,"BB",IF(AD181&lt;='组合输入'!$P7,"B",IF(AD181&lt;='组合输入'!$Q7,"CCC","D")))))))</f>
        <v/>
      </c>
      <c r="AF181" s="12">
        <f>IF(AE181="","",INDEX('状态价值'!$D7:$K7,MATCH(AE181,'状态价值'!$D$1:$K$1,0)))</f>
        <v/>
      </c>
      <c r="AG181" s="15">
        <f>NORM.S.INV(RAND())</f>
        <v/>
      </c>
      <c r="AH181" s="15">
        <f>IF('组合输入'!$C8="","",'组合输入'!$H8*$B181+SQRT(1-'组合输入'!$H8^2)*AG181)</f>
        <v/>
      </c>
      <c r="AI181" s="7">
        <f>IF(AH181="","",NORM.S.DIST(AH181,TRUE))</f>
        <v/>
      </c>
      <c r="AJ181" s="13">
        <f>IF(AI181="","",IF(AI181&lt;='组合输入'!$K8,"AAA",IF(AI181&lt;='组合输入'!$L8,"AA",IF(AI181&lt;='组合输入'!$M8,"A",IF(AI181&lt;='组合输入'!$N8,"BBB",IF(AI181&lt;='组合输入'!$O8,"BB",IF(AI181&lt;='组合输入'!$P8,"B",IF(AI181&lt;='组合输入'!$Q8,"CCC","D")))))))</f>
        <v/>
      </c>
      <c r="AK181" s="12">
        <f>IF(AJ181="","",INDEX('状态价值'!$D8:$K8,MATCH(AJ181,'状态价值'!$D$1:$K$1,0)))</f>
        <v/>
      </c>
      <c r="AL181" s="15">
        <f>NORM.S.INV(RAND())</f>
        <v/>
      </c>
      <c r="AM181" s="15">
        <f>IF('组合输入'!$C9="","",'组合输入'!$H9*$B181+SQRT(1-'组合输入'!$H9^2)*AL181)</f>
        <v/>
      </c>
      <c r="AN181" s="7">
        <f>IF(AM181="","",NORM.S.DIST(AM181,TRUE))</f>
        <v/>
      </c>
      <c r="AO181" s="13">
        <f>IF(AN181="","",IF(AN181&lt;='组合输入'!$K9,"AAA",IF(AN181&lt;='组合输入'!$L9,"AA",IF(AN181&lt;='组合输入'!$M9,"A",IF(AN181&lt;='组合输入'!$N9,"BBB",IF(AN181&lt;='组合输入'!$O9,"BB",IF(AN181&lt;='组合输入'!$P9,"B",IF(AN181&lt;='组合输入'!$Q9,"CCC","D")))))))</f>
        <v/>
      </c>
      <c r="AP181" s="12">
        <f>IF(AO181="","",INDEX('状态价值'!$D9:$K9,MATCH(AO181,'状态价值'!$D$1:$K$1,0)))</f>
        <v/>
      </c>
      <c r="AQ181" s="15">
        <f>NORM.S.INV(RAND())</f>
        <v/>
      </c>
      <c r="AR181" s="15">
        <f>IF('组合输入'!$C10="","",'组合输入'!$H10*$B181+SQRT(1-'组合输入'!$H10^2)*AQ181)</f>
        <v/>
      </c>
      <c r="AS181" s="7">
        <f>IF(AR181="","",NORM.S.DIST(AR181,TRUE))</f>
        <v/>
      </c>
      <c r="AT181" s="13">
        <f>IF(AS181="","",IF(AS181&lt;='组合输入'!$K10,"AAA",IF(AS181&lt;='组合输入'!$L10,"AA",IF(AS181&lt;='组合输入'!$M10,"A",IF(AS181&lt;='组合输入'!$N10,"BBB",IF(AS181&lt;='组合输入'!$O10,"BB",IF(AS181&lt;='组合输入'!$P10,"B",IF(AS181&lt;='组合输入'!$Q10,"CCC","D")))))))</f>
        <v/>
      </c>
      <c r="AU181" s="12">
        <f>IF(AT181="","",INDEX('状态价值'!$D10:$K10,MATCH(AT181,'状态价值'!$D$1:$K$1,0)))</f>
        <v/>
      </c>
      <c r="AV181" s="15">
        <f>NORM.S.INV(RAND())</f>
        <v/>
      </c>
      <c r="AW181" s="15">
        <f>IF('组合输入'!$C11="","",'组合输入'!$H11*$B181+SQRT(1-'组合输入'!$H11^2)*AV181)</f>
        <v/>
      </c>
      <c r="AX181" s="7">
        <f>IF(AW181="","",NORM.S.DIST(AW181,TRUE))</f>
        <v/>
      </c>
      <c r="AY181" s="13">
        <f>IF(AX181="","",IF(AX181&lt;='组合输入'!$K11,"AAA",IF(AX181&lt;='组合输入'!$L11,"AA",IF(AX181&lt;='组合输入'!$M11,"A",IF(AX181&lt;='组合输入'!$N11,"BBB",IF(AX181&lt;='组合输入'!$O11,"BB",IF(AX181&lt;='组合输入'!$P11,"B",IF(AX181&lt;='组合输入'!$Q11,"CCC","D")))))))</f>
        <v/>
      </c>
      <c r="AZ181" s="12">
        <f>IF(AY181="","",INDEX('状态价值'!$D11:$K11,MATCH(AY181,'状态价值'!$D$1:$K$1,0)))</f>
        <v/>
      </c>
      <c r="BA181" s="12">
        <f>G181+L181+Q181+V181+AA181+AF181+AK181+AP181+AU181+AZ181</f>
        <v/>
      </c>
      <c r="BB181" s="12">
        <f>SUM('组合输入'!$J$2:$J$11)-BA181</f>
        <v/>
      </c>
    </row>
    <row r="182">
      <c r="A182" s="11" t="n">
        <v>181</v>
      </c>
      <c r="B182" s="14">
        <f>NORM.S.INV(RAND())</f>
        <v/>
      </c>
      <c r="C182" s="14">
        <f>NORM.S.INV(RAND())</f>
        <v/>
      </c>
      <c r="D182" s="15">
        <f>IF('组合输入'!$C2="","",'组合输入'!$H2*$B182+SQRT(1-'组合输入'!$H2^2)*C182)</f>
        <v/>
      </c>
      <c r="E182" s="7">
        <f>IF(D182="","",NORM.S.DIST(D182,TRUE))</f>
        <v/>
      </c>
      <c r="F182" s="13">
        <f>IF(E182="","",IF(E182&lt;='组合输入'!$K2,"AAA",IF(E182&lt;='组合输入'!$L2,"AA",IF(E182&lt;='组合输入'!$M2,"A",IF(E182&lt;='组合输入'!$N2,"BBB",IF(E182&lt;='组合输入'!$O2,"BB",IF(E182&lt;='组合输入'!$P2,"B",IF(E182&lt;='组合输入'!$Q2,"CCC","D")))))))</f>
        <v/>
      </c>
      <c r="G182" s="12">
        <f>IF(F182="","",INDEX('状态价值'!$D2:$K2,MATCH(F182,'状态价值'!$D$1:$K$1,0)))</f>
        <v/>
      </c>
      <c r="H182" s="15">
        <f>NORM.S.INV(RAND())</f>
        <v/>
      </c>
      <c r="I182" s="15">
        <f>IF('组合输入'!$C3="","",'组合输入'!$H3*$B182+SQRT(1-'组合输入'!$H3^2)*H182)</f>
        <v/>
      </c>
      <c r="J182" s="7">
        <f>IF(I182="","",NORM.S.DIST(I182,TRUE))</f>
        <v/>
      </c>
      <c r="K182" s="13">
        <f>IF(J182="","",IF(J182&lt;='组合输入'!$K3,"AAA",IF(J182&lt;='组合输入'!$L3,"AA",IF(J182&lt;='组合输入'!$M3,"A",IF(J182&lt;='组合输入'!$N3,"BBB",IF(J182&lt;='组合输入'!$O3,"BB",IF(J182&lt;='组合输入'!$P3,"B",IF(J182&lt;='组合输入'!$Q3,"CCC","D")))))))</f>
        <v/>
      </c>
      <c r="L182" s="12">
        <f>IF(K182="","",INDEX('状态价值'!$D3:$K3,MATCH(K182,'状态价值'!$D$1:$K$1,0)))</f>
        <v/>
      </c>
      <c r="M182" s="15">
        <f>NORM.S.INV(RAND())</f>
        <v/>
      </c>
      <c r="N182" s="15">
        <f>IF('组合输入'!$C4="","",'组合输入'!$H4*$B182+SQRT(1-'组合输入'!$H4^2)*M182)</f>
        <v/>
      </c>
      <c r="O182" s="7">
        <f>IF(N182="","",NORM.S.DIST(N182,TRUE))</f>
        <v/>
      </c>
      <c r="P182" s="13">
        <f>IF(O182="","",IF(O182&lt;='组合输入'!$K4,"AAA",IF(O182&lt;='组合输入'!$L4,"AA",IF(O182&lt;='组合输入'!$M4,"A",IF(O182&lt;='组合输入'!$N4,"BBB",IF(O182&lt;='组合输入'!$O4,"BB",IF(O182&lt;='组合输入'!$P4,"B",IF(O182&lt;='组合输入'!$Q4,"CCC","D")))))))</f>
        <v/>
      </c>
      <c r="Q182" s="12">
        <f>IF(P182="","",INDEX('状态价值'!$D4:$K4,MATCH(P182,'状态价值'!$D$1:$K$1,0)))</f>
        <v/>
      </c>
      <c r="R182" s="15">
        <f>NORM.S.INV(RAND())</f>
        <v/>
      </c>
      <c r="S182" s="15">
        <f>IF('组合输入'!$C5="","",'组合输入'!$H5*$B182+SQRT(1-'组合输入'!$H5^2)*R182)</f>
        <v/>
      </c>
      <c r="T182" s="7">
        <f>IF(S182="","",NORM.S.DIST(S182,TRUE))</f>
        <v/>
      </c>
      <c r="U182" s="13">
        <f>IF(T182="","",IF(T182&lt;='组合输入'!$K5,"AAA",IF(T182&lt;='组合输入'!$L5,"AA",IF(T182&lt;='组合输入'!$M5,"A",IF(T182&lt;='组合输入'!$N5,"BBB",IF(T182&lt;='组合输入'!$O5,"BB",IF(T182&lt;='组合输入'!$P5,"B",IF(T182&lt;='组合输入'!$Q5,"CCC","D")))))))</f>
        <v/>
      </c>
      <c r="V182" s="12">
        <f>IF(U182="","",INDEX('状态价值'!$D5:$K5,MATCH(U182,'状态价值'!$D$1:$K$1,0)))</f>
        <v/>
      </c>
      <c r="W182" s="15">
        <f>NORM.S.INV(RAND())</f>
        <v/>
      </c>
      <c r="X182" s="15">
        <f>IF('组合输入'!$C6="","",'组合输入'!$H6*$B182+SQRT(1-'组合输入'!$H6^2)*W182)</f>
        <v/>
      </c>
      <c r="Y182" s="7">
        <f>IF(X182="","",NORM.S.DIST(X182,TRUE))</f>
        <v/>
      </c>
      <c r="Z182" s="13">
        <f>IF(Y182="","",IF(Y182&lt;='组合输入'!$K6,"AAA",IF(Y182&lt;='组合输入'!$L6,"AA",IF(Y182&lt;='组合输入'!$M6,"A",IF(Y182&lt;='组合输入'!$N6,"BBB",IF(Y182&lt;='组合输入'!$O6,"BB",IF(Y182&lt;='组合输入'!$P6,"B",IF(Y182&lt;='组合输入'!$Q6,"CCC","D")))))))</f>
        <v/>
      </c>
      <c r="AA182" s="12">
        <f>IF(Z182="","",INDEX('状态价值'!$D6:$K6,MATCH(Z182,'状态价值'!$D$1:$K$1,0)))</f>
        <v/>
      </c>
      <c r="AB182" s="15">
        <f>NORM.S.INV(RAND())</f>
        <v/>
      </c>
      <c r="AC182" s="15">
        <f>IF('组合输入'!$C7="","",'组合输入'!$H7*$B182+SQRT(1-'组合输入'!$H7^2)*AB182)</f>
        <v/>
      </c>
      <c r="AD182" s="7">
        <f>IF(AC182="","",NORM.S.DIST(AC182,TRUE))</f>
        <v/>
      </c>
      <c r="AE182" s="13">
        <f>IF(AD182="","",IF(AD182&lt;='组合输入'!$K7,"AAA",IF(AD182&lt;='组合输入'!$L7,"AA",IF(AD182&lt;='组合输入'!$M7,"A",IF(AD182&lt;='组合输入'!$N7,"BBB",IF(AD182&lt;='组合输入'!$O7,"BB",IF(AD182&lt;='组合输入'!$P7,"B",IF(AD182&lt;='组合输入'!$Q7,"CCC","D")))))))</f>
        <v/>
      </c>
      <c r="AF182" s="12">
        <f>IF(AE182="","",INDEX('状态价值'!$D7:$K7,MATCH(AE182,'状态价值'!$D$1:$K$1,0)))</f>
        <v/>
      </c>
      <c r="AG182" s="15">
        <f>NORM.S.INV(RAND())</f>
        <v/>
      </c>
      <c r="AH182" s="15">
        <f>IF('组合输入'!$C8="","",'组合输入'!$H8*$B182+SQRT(1-'组合输入'!$H8^2)*AG182)</f>
        <v/>
      </c>
      <c r="AI182" s="7">
        <f>IF(AH182="","",NORM.S.DIST(AH182,TRUE))</f>
        <v/>
      </c>
      <c r="AJ182" s="13">
        <f>IF(AI182="","",IF(AI182&lt;='组合输入'!$K8,"AAA",IF(AI182&lt;='组合输入'!$L8,"AA",IF(AI182&lt;='组合输入'!$M8,"A",IF(AI182&lt;='组合输入'!$N8,"BBB",IF(AI182&lt;='组合输入'!$O8,"BB",IF(AI182&lt;='组合输入'!$P8,"B",IF(AI182&lt;='组合输入'!$Q8,"CCC","D")))))))</f>
        <v/>
      </c>
      <c r="AK182" s="12">
        <f>IF(AJ182="","",INDEX('状态价值'!$D8:$K8,MATCH(AJ182,'状态价值'!$D$1:$K$1,0)))</f>
        <v/>
      </c>
      <c r="AL182" s="15">
        <f>NORM.S.INV(RAND())</f>
        <v/>
      </c>
      <c r="AM182" s="15">
        <f>IF('组合输入'!$C9="","",'组合输入'!$H9*$B182+SQRT(1-'组合输入'!$H9^2)*AL182)</f>
        <v/>
      </c>
      <c r="AN182" s="7">
        <f>IF(AM182="","",NORM.S.DIST(AM182,TRUE))</f>
        <v/>
      </c>
      <c r="AO182" s="13">
        <f>IF(AN182="","",IF(AN182&lt;='组合输入'!$K9,"AAA",IF(AN182&lt;='组合输入'!$L9,"AA",IF(AN182&lt;='组合输入'!$M9,"A",IF(AN182&lt;='组合输入'!$N9,"BBB",IF(AN182&lt;='组合输入'!$O9,"BB",IF(AN182&lt;='组合输入'!$P9,"B",IF(AN182&lt;='组合输入'!$Q9,"CCC","D")))))))</f>
        <v/>
      </c>
      <c r="AP182" s="12">
        <f>IF(AO182="","",INDEX('状态价值'!$D9:$K9,MATCH(AO182,'状态价值'!$D$1:$K$1,0)))</f>
        <v/>
      </c>
      <c r="AQ182" s="15">
        <f>NORM.S.INV(RAND())</f>
        <v/>
      </c>
      <c r="AR182" s="15">
        <f>IF('组合输入'!$C10="","",'组合输入'!$H10*$B182+SQRT(1-'组合输入'!$H10^2)*AQ182)</f>
        <v/>
      </c>
      <c r="AS182" s="7">
        <f>IF(AR182="","",NORM.S.DIST(AR182,TRUE))</f>
        <v/>
      </c>
      <c r="AT182" s="13">
        <f>IF(AS182="","",IF(AS182&lt;='组合输入'!$K10,"AAA",IF(AS182&lt;='组合输入'!$L10,"AA",IF(AS182&lt;='组合输入'!$M10,"A",IF(AS182&lt;='组合输入'!$N10,"BBB",IF(AS182&lt;='组合输入'!$O10,"BB",IF(AS182&lt;='组合输入'!$P10,"B",IF(AS182&lt;='组合输入'!$Q10,"CCC","D")))))))</f>
        <v/>
      </c>
      <c r="AU182" s="12">
        <f>IF(AT182="","",INDEX('状态价值'!$D10:$K10,MATCH(AT182,'状态价值'!$D$1:$K$1,0)))</f>
        <v/>
      </c>
      <c r="AV182" s="15">
        <f>NORM.S.INV(RAND())</f>
        <v/>
      </c>
      <c r="AW182" s="15">
        <f>IF('组合输入'!$C11="","",'组合输入'!$H11*$B182+SQRT(1-'组合输入'!$H11^2)*AV182)</f>
        <v/>
      </c>
      <c r="AX182" s="7">
        <f>IF(AW182="","",NORM.S.DIST(AW182,TRUE))</f>
        <v/>
      </c>
      <c r="AY182" s="13">
        <f>IF(AX182="","",IF(AX182&lt;='组合输入'!$K11,"AAA",IF(AX182&lt;='组合输入'!$L11,"AA",IF(AX182&lt;='组合输入'!$M11,"A",IF(AX182&lt;='组合输入'!$N11,"BBB",IF(AX182&lt;='组合输入'!$O11,"BB",IF(AX182&lt;='组合输入'!$P11,"B",IF(AX182&lt;='组合输入'!$Q11,"CCC","D")))))))</f>
        <v/>
      </c>
      <c r="AZ182" s="12">
        <f>IF(AY182="","",INDEX('状态价值'!$D11:$K11,MATCH(AY182,'状态价值'!$D$1:$K$1,0)))</f>
        <v/>
      </c>
      <c r="BA182" s="12">
        <f>G182+L182+Q182+V182+AA182+AF182+AK182+AP182+AU182+AZ182</f>
        <v/>
      </c>
      <c r="BB182" s="12">
        <f>SUM('组合输入'!$J$2:$J$11)-BA182</f>
        <v/>
      </c>
    </row>
    <row r="183">
      <c r="A183" s="11" t="n">
        <v>182</v>
      </c>
      <c r="B183" s="14">
        <f>NORM.S.INV(RAND())</f>
        <v/>
      </c>
      <c r="C183" s="14">
        <f>NORM.S.INV(RAND())</f>
        <v/>
      </c>
      <c r="D183" s="15">
        <f>IF('组合输入'!$C2="","",'组合输入'!$H2*$B183+SQRT(1-'组合输入'!$H2^2)*C183)</f>
        <v/>
      </c>
      <c r="E183" s="7">
        <f>IF(D183="","",NORM.S.DIST(D183,TRUE))</f>
        <v/>
      </c>
      <c r="F183" s="13">
        <f>IF(E183="","",IF(E183&lt;='组合输入'!$K2,"AAA",IF(E183&lt;='组合输入'!$L2,"AA",IF(E183&lt;='组合输入'!$M2,"A",IF(E183&lt;='组合输入'!$N2,"BBB",IF(E183&lt;='组合输入'!$O2,"BB",IF(E183&lt;='组合输入'!$P2,"B",IF(E183&lt;='组合输入'!$Q2,"CCC","D")))))))</f>
        <v/>
      </c>
      <c r="G183" s="12">
        <f>IF(F183="","",INDEX('状态价值'!$D2:$K2,MATCH(F183,'状态价值'!$D$1:$K$1,0)))</f>
        <v/>
      </c>
      <c r="H183" s="15">
        <f>NORM.S.INV(RAND())</f>
        <v/>
      </c>
      <c r="I183" s="15">
        <f>IF('组合输入'!$C3="","",'组合输入'!$H3*$B183+SQRT(1-'组合输入'!$H3^2)*H183)</f>
        <v/>
      </c>
      <c r="J183" s="7">
        <f>IF(I183="","",NORM.S.DIST(I183,TRUE))</f>
        <v/>
      </c>
      <c r="K183" s="13">
        <f>IF(J183="","",IF(J183&lt;='组合输入'!$K3,"AAA",IF(J183&lt;='组合输入'!$L3,"AA",IF(J183&lt;='组合输入'!$M3,"A",IF(J183&lt;='组合输入'!$N3,"BBB",IF(J183&lt;='组合输入'!$O3,"BB",IF(J183&lt;='组合输入'!$P3,"B",IF(J183&lt;='组合输入'!$Q3,"CCC","D")))))))</f>
        <v/>
      </c>
      <c r="L183" s="12">
        <f>IF(K183="","",INDEX('状态价值'!$D3:$K3,MATCH(K183,'状态价值'!$D$1:$K$1,0)))</f>
        <v/>
      </c>
      <c r="M183" s="15">
        <f>NORM.S.INV(RAND())</f>
        <v/>
      </c>
      <c r="N183" s="15">
        <f>IF('组合输入'!$C4="","",'组合输入'!$H4*$B183+SQRT(1-'组合输入'!$H4^2)*M183)</f>
        <v/>
      </c>
      <c r="O183" s="7">
        <f>IF(N183="","",NORM.S.DIST(N183,TRUE))</f>
        <v/>
      </c>
      <c r="P183" s="13">
        <f>IF(O183="","",IF(O183&lt;='组合输入'!$K4,"AAA",IF(O183&lt;='组合输入'!$L4,"AA",IF(O183&lt;='组合输入'!$M4,"A",IF(O183&lt;='组合输入'!$N4,"BBB",IF(O183&lt;='组合输入'!$O4,"BB",IF(O183&lt;='组合输入'!$P4,"B",IF(O183&lt;='组合输入'!$Q4,"CCC","D")))))))</f>
        <v/>
      </c>
      <c r="Q183" s="12">
        <f>IF(P183="","",INDEX('状态价值'!$D4:$K4,MATCH(P183,'状态价值'!$D$1:$K$1,0)))</f>
        <v/>
      </c>
      <c r="R183" s="15">
        <f>NORM.S.INV(RAND())</f>
        <v/>
      </c>
      <c r="S183" s="15">
        <f>IF('组合输入'!$C5="","",'组合输入'!$H5*$B183+SQRT(1-'组合输入'!$H5^2)*R183)</f>
        <v/>
      </c>
      <c r="T183" s="7">
        <f>IF(S183="","",NORM.S.DIST(S183,TRUE))</f>
        <v/>
      </c>
      <c r="U183" s="13">
        <f>IF(T183="","",IF(T183&lt;='组合输入'!$K5,"AAA",IF(T183&lt;='组合输入'!$L5,"AA",IF(T183&lt;='组合输入'!$M5,"A",IF(T183&lt;='组合输入'!$N5,"BBB",IF(T183&lt;='组合输入'!$O5,"BB",IF(T183&lt;='组合输入'!$P5,"B",IF(T183&lt;='组合输入'!$Q5,"CCC","D")))))))</f>
        <v/>
      </c>
      <c r="V183" s="12">
        <f>IF(U183="","",INDEX('状态价值'!$D5:$K5,MATCH(U183,'状态价值'!$D$1:$K$1,0)))</f>
        <v/>
      </c>
      <c r="W183" s="15">
        <f>NORM.S.INV(RAND())</f>
        <v/>
      </c>
      <c r="X183" s="15">
        <f>IF('组合输入'!$C6="","",'组合输入'!$H6*$B183+SQRT(1-'组合输入'!$H6^2)*W183)</f>
        <v/>
      </c>
      <c r="Y183" s="7">
        <f>IF(X183="","",NORM.S.DIST(X183,TRUE))</f>
        <v/>
      </c>
      <c r="Z183" s="13">
        <f>IF(Y183="","",IF(Y183&lt;='组合输入'!$K6,"AAA",IF(Y183&lt;='组合输入'!$L6,"AA",IF(Y183&lt;='组合输入'!$M6,"A",IF(Y183&lt;='组合输入'!$N6,"BBB",IF(Y183&lt;='组合输入'!$O6,"BB",IF(Y183&lt;='组合输入'!$P6,"B",IF(Y183&lt;='组合输入'!$Q6,"CCC","D")))))))</f>
        <v/>
      </c>
      <c r="AA183" s="12">
        <f>IF(Z183="","",INDEX('状态价值'!$D6:$K6,MATCH(Z183,'状态价值'!$D$1:$K$1,0)))</f>
        <v/>
      </c>
      <c r="AB183" s="15">
        <f>NORM.S.INV(RAND())</f>
        <v/>
      </c>
      <c r="AC183" s="15">
        <f>IF('组合输入'!$C7="","",'组合输入'!$H7*$B183+SQRT(1-'组合输入'!$H7^2)*AB183)</f>
        <v/>
      </c>
      <c r="AD183" s="7">
        <f>IF(AC183="","",NORM.S.DIST(AC183,TRUE))</f>
        <v/>
      </c>
      <c r="AE183" s="13">
        <f>IF(AD183="","",IF(AD183&lt;='组合输入'!$K7,"AAA",IF(AD183&lt;='组合输入'!$L7,"AA",IF(AD183&lt;='组合输入'!$M7,"A",IF(AD183&lt;='组合输入'!$N7,"BBB",IF(AD183&lt;='组合输入'!$O7,"BB",IF(AD183&lt;='组合输入'!$P7,"B",IF(AD183&lt;='组合输入'!$Q7,"CCC","D")))))))</f>
        <v/>
      </c>
      <c r="AF183" s="12">
        <f>IF(AE183="","",INDEX('状态价值'!$D7:$K7,MATCH(AE183,'状态价值'!$D$1:$K$1,0)))</f>
        <v/>
      </c>
      <c r="AG183" s="15">
        <f>NORM.S.INV(RAND())</f>
        <v/>
      </c>
      <c r="AH183" s="15">
        <f>IF('组合输入'!$C8="","",'组合输入'!$H8*$B183+SQRT(1-'组合输入'!$H8^2)*AG183)</f>
        <v/>
      </c>
      <c r="AI183" s="7">
        <f>IF(AH183="","",NORM.S.DIST(AH183,TRUE))</f>
        <v/>
      </c>
      <c r="AJ183" s="13">
        <f>IF(AI183="","",IF(AI183&lt;='组合输入'!$K8,"AAA",IF(AI183&lt;='组合输入'!$L8,"AA",IF(AI183&lt;='组合输入'!$M8,"A",IF(AI183&lt;='组合输入'!$N8,"BBB",IF(AI183&lt;='组合输入'!$O8,"BB",IF(AI183&lt;='组合输入'!$P8,"B",IF(AI183&lt;='组合输入'!$Q8,"CCC","D")))))))</f>
        <v/>
      </c>
      <c r="AK183" s="12">
        <f>IF(AJ183="","",INDEX('状态价值'!$D8:$K8,MATCH(AJ183,'状态价值'!$D$1:$K$1,0)))</f>
        <v/>
      </c>
      <c r="AL183" s="15">
        <f>NORM.S.INV(RAND())</f>
        <v/>
      </c>
      <c r="AM183" s="15">
        <f>IF('组合输入'!$C9="","",'组合输入'!$H9*$B183+SQRT(1-'组合输入'!$H9^2)*AL183)</f>
        <v/>
      </c>
      <c r="AN183" s="7">
        <f>IF(AM183="","",NORM.S.DIST(AM183,TRUE))</f>
        <v/>
      </c>
      <c r="AO183" s="13">
        <f>IF(AN183="","",IF(AN183&lt;='组合输入'!$K9,"AAA",IF(AN183&lt;='组合输入'!$L9,"AA",IF(AN183&lt;='组合输入'!$M9,"A",IF(AN183&lt;='组合输入'!$N9,"BBB",IF(AN183&lt;='组合输入'!$O9,"BB",IF(AN183&lt;='组合输入'!$P9,"B",IF(AN183&lt;='组合输入'!$Q9,"CCC","D")))))))</f>
        <v/>
      </c>
      <c r="AP183" s="12">
        <f>IF(AO183="","",INDEX('状态价值'!$D9:$K9,MATCH(AO183,'状态价值'!$D$1:$K$1,0)))</f>
        <v/>
      </c>
      <c r="AQ183" s="15">
        <f>NORM.S.INV(RAND())</f>
        <v/>
      </c>
      <c r="AR183" s="15">
        <f>IF('组合输入'!$C10="","",'组合输入'!$H10*$B183+SQRT(1-'组合输入'!$H10^2)*AQ183)</f>
        <v/>
      </c>
      <c r="AS183" s="7">
        <f>IF(AR183="","",NORM.S.DIST(AR183,TRUE))</f>
        <v/>
      </c>
      <c r="AT183" s="13">
        <f>IF(AS183="","",IF(AS183&lt;='组合输入'!$K10,"AAA",IF(AS183&lt;='组合输入'!$L10,"AA",IF(AS183&lt;='组合输入'!$M10,"A",IF(AS183&lt;='组合输入'!$N10,"BBB",IF(AS183&lt;='组合输入'!$O10,"BB",IF(AS183&lt;='组合输入'!$P10,"B",IF(AS183&lt;='组合输入'!$Q10,"CCC","D")))))))</f>
        <v/>
      </c>
      <c r="AU183" s="12">
        <f>IF(AT183="","",INDEX('状态价值'!$D10:$K10,MATCH(AT183,'状态价值'!$D$1:$K$1,0)))</f>
        <v/>
      </c>
      <c r="AV183" s="15">
        <f>NORM.S.INV(RAND())</f>
        <v/>
      </c>
      <c r="AW183" s="15">
        <f>IF('组合输入'!$C11="","",'组合输入'!$H11*$B183+SQRT(1-'组合输入'!$H11^2)*AV183)</f>
        <v/>
      </c>
      <c r="AX183" s="7">
        <f>IF(AW183="","",NORM.S.DIST(AW183,TRUE))</f>
        <v/>
      </c>
      <c r="AY183" s="13">
        <f>IF(AX183="","",IF(AX183&lt;='组合输入'!$K11,"AAA",IF(AX183&lt;='组合输入'!$L11,"AA",IF(AX183&lt;='组合输入'!$M11,"A",IF(AX183&lt;='组合输入'!$N11,"BBB",IF(AX183&lt;='组合输入'!$O11,"BB",IF(AX183&lt;='组合输入'!$P11,"B",IF(AX183&lt;='组合输入'!$Q11,"CCC","D")))))))</f>
        <v/>
      </c>
      <c r="AZ183" s="12">
        <f>IF(AY183="","",INDEX('状态价值'!$D11:$K11,MATCH(AY183,'状态价值'!$D$1:$K$1,0)))</f>
        <v/>
      </c>
      <c r="BA183" s="12">
        <f>G183+L183+Q183+V183+AA183+AF183+AK183+AP183+AU183+AZ183</f>
        <v/>
      </c>
      <c r="BB183" s="12">
        <f>SUM('组合输入'!$J$2:$J$11)-BA183</f>
        <v/>
      </c>
    </row>
    <row r="184">
      <c r="A184" s="11" t="n">
        <v>183</v>
      </c>
      <c r="B184" s="14">
        <f>NORM.S.INV(RAND())</f>
        <v/>
      </c>
      <c r="C184" s="14">
        <f>NORM.S.INV(RAND())</f>
        <v/>
      </c>
      <c r="D184" s="15">
        <f>IF('组合输入'!$C2="","",'组合输入'!$H2*$B184+SQRT(1-'组合输入'!$H2^2)*C184)</f>
        <v/>
      </c>
      <c r="E184" s="7">
        <f>IF(D184="","",NORM.S.DIST(D184,TRUE))</f>
        <v/>
      </c>
      <c r="F184" s="13">
        <f>IF(E184="","",IF(E184&lt;='组合输入'!$K2,"AAA",IF(E184&lt;='组合输入'!$L2,"AA",IF(E184&lt;='组合输入'!$M2,"A",IF(E184&lt;='组合输入'!$N2,"BBB",IF(E184&lt;='组合输入'!$O2,"BB",IF(E184&lt;='组合输入'!$P2,"B",IF(E184&lt;='组合输入'!$Q2,"CCC","D")))))))</f>
        <v/>
      </c>
      <c r="G184" s="12">
        <f>IF(F184="","",INDEX('状态价值'!$D2:$K2,MATCH(F184,'状态价值'!$D$1:$K$1,0)))</f>
        <v/>
      </c>
      <c r="H184" s="15">
        <f>NORM.S.INV(RAND())</f>
        <v/>
      </c>
      <c r="I184" s="15">
        <f>IF('组合输入'!$C3="","",'组合输入'!$H3*$B184+SQRT(1-'组合输入'!$H3^2)*H184)</f>
        <v/>
      </c>
      <c r="J184" s="7">
        <f>IF(I184="","",NORM.S.DIST(I184,TRUE))</f>
        <v/>
      </c>
      <c r="K184" s="13">
        <f>IF(J184="","",IF(J184&lt;='组合输入'!$K3,"AAA",IF(J184&lt;='组合输入'!$L3,"AA",IF(J184&lt;='组合输入'!$M3,"A",IF(J184&lt;='组合输入'!$N3,"BBB",IF(J184&lt;='组合输入'!$O3,"BB",IF(J184&lt;='组合输入'!$P3,"B",IF(J184&lt;='组合输入'!$Q3,"CCC","D")))))))</f>
        <v/>
      </c>
      <c r="L184" s="12">
        <f>IF(K184="","",INDEX('状态价值'!$D3:$K3,MATCH(K184,'状态价值'!$D$1:$K$1,0)))</f>
        <v/>
      </c>
      <c r="M184" s="15">
        <f>NORM.S.INV(RAND())</f>
        <v/>
      </c>
      <c r="N184" s="15">
        <f>IF('组合输入'!$C4="","",'组合输入'!$H4*$B184+SQRT(1-'组合输入'!$H4^2)*M184)</f>
        <v/>
      </c>
      <c r="O184" s="7">
        <f>IF(N184="","",NORM.S.DIST(N184,TRUE))</f>
        <v/>
      </c>
      <c r="P184" s="13">
        <f>IF(O184="","",IF(O184&lt;='组合输入'!$K4,"AAA",IF(O184&lt;='组合输入'!$L4,"AA",IF(O184&lt;='组合输入'!$M4,"A",IF(O184&lt;='组合输入'!$N4,"BBB",IF(O184&lt;='组合输入'!$O4,"BB",IF(O184&lt;='组合输入'!$P4,"B",IF(O184&lt;='组合输入'!$Q4,"CCC","D")))))))</f>
        <v/>
      </c>
      <c r="Q184" s="12">
        <f>IF(P184="","",INDEX('状态价值'!$D4:$K4,MATCH(P184,'状态价值'!$D$1:$K$1,0)))</f>
        <v/>
      </c>
      <c r="R184" s="15">
        <f>NORM.S.INV(RAND())</f>
        <v/>
      </c>
      <c r="S184" s="15">
        <f>IF('组合输入'!$C5="","",'组合输入'!$H5*$B184+SQRT(1-'组合输入'!$H5^2)*R184)</f>
        <v/>
      </c>
      <c r="T184" s="7">
        <f>IF(S184="","",NORM.S.DIST(S184,TRUE))</f>
        <v/>
      </c>
      <c r="U184" s="13">
        <f>IF(T184="","",IF(T184&lt;='组合输入'!$K5,"AAA",IF(T184&lt;='组合输入'!$L5,"AA",IF(T184&lt;='组合输入'!$M5,"A",IF(T184&lt;='组合输入'!$N5,"BBB",IF(T184&lt;='组合输入'!$O5,"BB",IF(T184&lt;='组合输入'!$P5,"B",IF(T184&lt;='组合输入'!$Q5,"CCC","D")))))))</f>
        <v/>
      </c>
      <c r="V184" s="12">
        <f>IF(U184="","",INDEX('状态价值'!$D5:$K5,MATCH(U184,'状态价值'!$D$1:$K$1,0)))</f>
        <v/>
      </c>
      <c r="W184" s="15">
        <f>NORM.S.INV(RAND())</f>
        <v/>
      </c>
      <c r="X184" s="15">
        <f>IF('组合输入'!$C6="","",'组合输入'!$H6*$B184+SQRT(1-'组合输入'!$H6^2)*W184)</f>
        <v/>
      </c>
      <c r="Y184" s="7">
        <f>IF(X184="","",NORM.S.DIST(X184,TRUE))</f>
        <v/>
      </c>
      <c r="Z184" s="13">
        <f>IF(Y184="","",IF(Y184&lt;='组合输入'!$K6,"AAA",IF(Y184&lt;='组合输入'!$L6,"AA",IF(Y184&lt;='组合输入'!$M6,"A",IF(Y184&lt;='组合输入'!$N6,"BBB",IF(Y184&lt;='组合输入'!$O6,"BB",IF(Y184&lt;='组合输入'!$P6,"B",IF(Y184&lt;='组合输入'!$Q6,"CCC","D")))))))</f>
        <v/>
      </c>
      <c r="AA184" s="12">
        <f>IF(Z184="","",INDEX('状态价值'!$D6:$K6,MATCH(Z184,'状态价值'!$D$1:$K$1,0)))</f>
        <v/>
      </c>
      <c r="AB184" s="15">
        <f>NORM.S.INV(RAND())</f>
        <v/>
      </c>
      <c r="AC184" s="15">
        <f>IF('组合输入'!$C7="","",'组合输入'!$H7*$B184+SQRT(1-'组合输入'!$H7^2)*AB184)</f>
        <v/>
      </c>
      <c r="AD184" s="7">
        <f>IF(AC184="","",NORM.S.DIST(AC184,TRUE))</f>
        <v/>
      </c>
      <c r="AE184" s="13">
        <f>IF(AD184="","",IF(AD184&lt;='组合输入'!$K7,"AAA",IF(AD184&lt;='组合输入'!$L7,"AA",IF(AD184&lt;='组合输入'!$M7,"A",IF(AD184&lt;='组合输入'!$N7,"BBB",IF(AD184&lt;='组合输入'!$O7,"BB",IF(AD184&lt;='组合输入'!$P7,"B",IF(AD184&lt;='组合输入'!$Q7,"CCC","D")))))))</f>
        <v/>
      </c>
      <c r="AF184" s="12">
        <f>IF(AE184="","",INDEX('状态价值'!$D7:$K7,MATCH(AE184,'状态价值'!$D$1:$K$1,0)))</f>
        <v/>
      </c>
      <c r="AG184" s="15">
        <f>NORM.S.INV(RAND())</f>
        <v/>
      </c>
      <c r="AH184" s="15">
        <f>IF('组合输入'!$C8="","",'组合输入'!$H8*$B184+SQRT(1-'组合输入'!$H8^2)*AG184)</f>
        <v/>
      </c>
      <c r="AI184" s="7">
        <f>IF(AH184="","",NORM.S.DIST(AH184,TRUE))</f>
        <v/>
      </c>
      <c r="AJ184" s="13">
        <f>IF(AI184="","",IF(AI184&lt;='组合输入'!$K8,"AAA",IF(AI184&lt;='组合输入'!$L8,"AA",IF(AI184&lt;='组合输入'!$M8,"A",IF(AI184&lt;='组合输入'!$N8,"BBB",IF(AI184&lt;='组合输入'!$O8,"BB",IF(AI184&lt;='组合输入'!$P8,"B",IF(AI184&lt;='组合输入'!$Q8,"CCC","D")))))))</f>
        <v/>
      </c>
      <c r="AK184" s="12">
        <f>IF(AJ184="","",INDEX('状态价值'!$D8:$K8,MATCH(AJ184,'状态价值'!$D$1:$K$1,0)))</f>
        <v/>
      </c>
      <c r="AL184" s="15">
        <f>NORM.S.INV(RAND())</f>
        <v/>
      </c>
      <c r="AM184" s="15">
        <f>IF('组合输入'!$C9="","",'组合输入'!$H9*$B184+SQRT(1-'组合输入'!$H9^2)*AL184)</f>
        <v/>
      </c>
      <c r="AN184" s="7">
        <f>IF(AM184="","",NORM.S.DIST(AM184,TRUE))</f>
        <v/>
      </c>
      <c r="AO184" s="13">
        <f>IF(AN184="","",IF(AN184&lt;='组合输入'!$K9,"AAA",IF(AN184&lt;='组合输入'!$L9,"AA",IF(AN184&lt;='组合输入'!$M9,"A",IF(AN184&lt;='组合输入'!$N9,"BBB",IF(AN184&lt;='组合输入'!$O9,"BB",IF(AN184&lt;='组合输入'!$P9,"B",IF(AN184&lt;='组合输入'!$Q9,"CCC","D")))))))</f>
        <v/>
      </c>
      <c r="AP184" s="12">
        <f>IF(AO184="","",INDEX('状态价值'!$D9:$K9,MATCH(AO184,'状态价值'!$D$1:$K$1,0)))</f>
        <v/>
      </c>
      <c r="AQ184" s="15">
        <f>NORM.S.INV(RAND())</f>
        <v/>
      </c>
      <c r="AR184" s="15">
        <f>IF('组合输入'!$C10="","",'组合输入'!$H10*$B184+SQRT(1-'组合输入'!$H10^2)*AQ184)</f>
        <v/>
      </c>
      <c r="AS184" s="7">
        <f>IF(AR184="","",NORM.S.DIST(AR184,TRUE))</f>
        <v/>
      </c>
      <c r="AT184" s="13">
        <f>IF(AS184="","",IF(AS184&lt;='组合输入'!$K10,"AAA",IF(AS184&lt;='组合输入'!$L10,"AA",IF(AS184&lt;='组合输入'!$M10,"A",IF(AS184&lt;='组合输入'!$N10,"BBB",IF(AS184&lt;='组合输入'!$O10,"BB",IF(AS184&lt;='组合输入'!$P10,"B",IF(AS184&lt;='组合输入'!$Q10,"CCC","D")))))))</f>
        <v/>
      </c>
      <c r="AU184" s="12">
        <f>IF(AT184="","",INDEX('状态价值'!$D10:$K10,MATCH(AT184,'状态价值'!$D$1:$K$1,0)))</f>
        <v/>
      </c>
      <c r="AV184" s="15">
        <f>NORM.S.INV(RAND())</f>
        <v/>
      </c>
      <c r="AW184" s="15">
        <f>IF('组合输入'!$C11="","",'组合输入'!$H11*$B184+SQRT(1-'组合输入'!$H11^2)*AV184)</f>
        <v/>
      </c>
      <c r="AX184" s="7">
        <f>IF(AW184="","",NORM.S.DIST(AW184,TRUE))</f>
        <v/>
      </c>
      <c r="AY184" s="13">
        <f>IF(AX184="","",IF(AX184&lt;='组合输入'!$K11,"AAA",IF(AX184&lt;='组合输入'!$L11,"AA",IF(AX184&lt;='组合输入'!$M11,"A",IF(AX184&lt;='组合输入'!$N11,"BBB",IF(AX184&lt;='组合输入'!$O11,"BB",IF(AX184&lt;='组合输入'!$P11,"B",IF(AX184&lt;='组合输入'!$Q11,"CCC","D")))))))</f>
        <v/>
      </c>
      <c r="AZ184" s="12">
        <f>IF(AY184="","",INDEX('状态价值'!$D11:$K11,MATCH(AY184,'状态价值'!$D$1:$K$1,0)))</f>
        <v/>
      </c>
      <c r="BA184" s="12">
        <f>G184+L184+Q184+V184+AA184+AF184+AK184+AP184+AU184+AZ184</f>
        <v/>
      </c>
      <c r="BB184" s="12">
        <f>SUM('组合输入'!$J$2:$J$11)-BA184</f>
        <v/>
      </c>
    </row>
    <row r="185">
      <c r="A185" s="11" t="n">
        <v>184</v>
      </c>
      <c r="B185" s="14">
        <f>NORM.S.INV(RAND())</f>
        <v/>
      </c>
      <c r="C185" s="14">
        <f>NORM.S.INV(RAND())</f>
        <v/>
      </c>
      <c r="D185" s="15">
        <f>IF('组合输入'!$C2="","",'组合输入'!$H2*$B185+SQRT(1-'组合输入'!$H2^2)*C185)</f>
        <v/>
      </c>
      <c r="E185" s="7">
        <f>IF(D185="","",NORM.S.DIST(D185,TRUE))</f>
        <v/>
      </c>
      <c r="F185" s="13">
        <f>IF(E185="","",IF(E185&lt;='组合输入'!$K2,"AAA",IF(E185&lt;='组合输入'!$L2,"AA",IF(E185&lt;='组合输入'!$M2,"A",IF(E185&lt;='组合输入'!$N2,"BBB",IF(E185&lt;='组合输入'!$O2,"BB",IF(E185&lt;='组合输入'!$P2,"B",IF(E185&lt;='组合输入'!$Q2,"CCC","D")))))))</f>
        <v/>
      </c>
      <c r="G185" s="12">
        <f>IF(F185="","",INDEX('状态价值'!$D2:$K2,MATCH(F185,'状态价值'!$D$1:$K$1,0)))</f>
        <v/>
      </c>
      <c r="H185" s="15">
        <f>NORM.S.INV(RAND())</f>
        <v/>
      </c>
      <c r="I185" s="15">
        <f>IF('组合输入'!$C3="","",'组合输入'!$H3*$B185+SQRT(1-'组合输入'!$H3^2)*H185)</f>
        <v/>
      </c>
      <c r="J185" s="7">
        <f>IF(I185="","",NORM.S.DIST(I185,TRUE))</f>
        <v/>
      </c>
      <c r="K185" s="13">
        <f>IF(J185="","",IF(J185&lt;='组合输入'!$K3,"AAA",IF(J185&lt;='组合输入'!$L3,"AA",IF(J185&lt;='组合输入'!$M3,"A",IF(J185&lt;='组合输入'!$N3,"BBB",IF(J185&lt;='组合输入'!$O3,"BB",IF(J185&lt;='组合输入'!$P3,"B",IF(J185&lt;='组合输入'!$Q3,"CCC","D")))))))</f>
        <v/>
      </c>
      <c r="L185" s="12">
        <f>IF(K185="","",INDEX('状态价值'!$D3:$K3,MATCH(K185,'状态价值'!$D$1:$K$1,0)))</f>
        <v/>
      </c>
      <c r="M185" s="15">
        <f>NORM.S.INV(RAND())</f>
        <v/>
      </c>
      <c r="N185" s="15">
        <f>IF('组合输入'!$C4="","",'组合输入'!$H4*$B185+SQRT(1-'组合输入'!$H4^2)*M185)</f>
        <v/>
      </c>
      <c r="O185" s="7">
        <f>IF(N185="","",NORM.S.DIST(N185,TRUE))</f>
        <v/>
      </c>
      <c r="P185" s="13">
        <f>IF(O185="","",IF(O185&lt;='组合输入'!$K4,"AAA",IF(O185&lt;='组合输入'!$L4,"AA",IF(O185&lt;='组合输入'!$M4,"A",IF(O185&lt;='组合输入'!$N4,"BBB",IF(O185&lt;='组合输入'!$O4,"BB",IF(O185&lt;='组合输入'!$P4,"B",IF(O185&lt;='组合输入'!$Q4,"CCC","D")))))))</f>
        <v/>
      </c>
      <c r="Q185" s="12">
        <f>IF(P185="","",INDEX('状态价值'!$D4:$K4,MATCH(P185,'状态价值'!$D$1:$K$1,0)))</f>
        <v/>
      </c>
      <c r="R185" s="15">
        <f>NORM.S.INV(RAND())</f>
        <v/>
      </c>
      <c r="S185" s="15">
        <f>IF('组合输入'!$C5="","",'组合输入'!$H5*$B185+SQRT(1-'组合输入'!$H5^2)*R185)</f>
        <v/>
      </c>
      <c r="T185" s="7">
        <f>IF(S185="","",NORM.S.DIST(S185,TRUE))</f>
        <v/>
      </c>
      <c r="U185" s="13">
        <f>IF(T185="","",IF(T185&lt;='组合输入'!$K5,"AAA",IF(T185&lt;='组合输入'!$L5,"AA",IF(T185&lt;='组合输入'!$M5,"A",IF(T185&lt;='组合输入'!$N5,"BBB",IF(T185&lt;='组合输入'!$O5,"BB",IF(T185&lt;='组合输入'!$P5,"B",IF(T185&lt;='组合输入'!$Q5,"CCC","D")))))))</f>
        <v/>
      </c>
      <c r="V185" s="12">
        <f>IF(U185="","",INDEX('状态价值'!$D5:$K5,MATCH(U185,'状态价值'!$D$1:$K$1,0)))</f>
        <v/>
      </c>
      <c r="W185" s="15">
        <f>NORM.S.INV(RAND())</f>
        <v/>
      </c>
      <c r="X185" s="15">
        <f>IF('组合输入'!$C6="","",'组合输入'!$H6*$B185+SQRT(1-'组合输入'!$H6^2)*W185)</f>
        <v/>
      </c>
      <c r="Y185" s="7">
        <f>IF(X185="","",NORM.S.DIST(X185,TRUE))</f>
        <v/>
      </c>
      <c r="Z185" s="13">
        <f>IF(Y185="","",IF(Y185&lt;='组合输入'!$K6,"AAA",IF(Y185&lt;='组合输入'!$L6,"AA",IF(Y185&lt;='组合输入'!$M6,"A",IF(Y185&lt;='组合输入'!$N6,"BBB",IF(Y185&lt;='组合输入'!$O6,"BB",IF(Y185&lt;='组合输入'!$P6,"B",IF(Y185&lt;='组合输入'!$Q6,"CCC","D")))))))</f>
        <v/>
      </c>
      <c r="AA185" s="12">
        <f>IF(Z185="","",INDEX('状态价值'!$D6:$K6,MATCH(Z185,'状态价值'!$D$1:$K$1,0)))</f>
        <v/>
      </c>
      <c r="AB185" s="15">
        <f>NORM.S.INV(RAND())</f>
        <v/>
      </c>
      <c r="AC185" s="15">
        <f>IF('组合输入'!$C7="","",'组合输入'!$H7*$B185+SQRT(1-'组合输入'!$H7^2)*AB185)</f>
        <v/>
      </c>
      <c r="AD185" s="7">
        <f>IF(AC185="","",NORM.S.DIST(AC185,TRUE))</f>
        <v/>
      </c>
      <c r="AE185" s="13">
        <f>IF(AD185="","",IF(AD185&lt;='组合输入'!$K7,"AAA",IF(AD185&lt;='组合输入'!$L7,"AA",IF(AD185&lt;='组合输入'!$M7,"A",IF(AD185&lt;='组合输入'!$N7,"BBB",IF(AD185&lt;='组合输入'!$O7,"BB",IF(AD185&lt;='组合输入'!$P7,"B",IF(AD185&lt;='组合输入'!$Q7,"CCC","D")))))))</f>
        <v/>
      </c>
      <c r="AF185" s="12">
        <f>IF(AE185="","",INDEX('状态价值'!$D7:$K7,MATCH(AE185,'状态价值'!$D$1:$K$1,0)))</f>
        <v/>
      </c>
      <c r="AG185" s="15">
        <f>NORM.S.INV(RAND())</f>
        <v/>
      </c>
      <c r="AH185" s="15">
        <f>IF('组合输入'!$C8="","",'组合输入'!$H8*$B185+SQRT(1-'组合输入'!$H8^2)*AG185)</f>
        <v/>
      </c>
      <c r="AI185" s="7">
        <f>IF(AH185="","",NORM.S.DIST(AH185,TRUE))</f>
        <v/>
      </c>
      <c r="AJ185" s="13">
        <f>IF(AI185="","",IF(AI185&lt;='组合输入'!$K8,"AAA",IF(AI185&lt;='组合输入'!$L8,"AA",IF(AI185&lt;='组合输入'!$M8,"A",IF(AI185&lt;='组合输入'!$N8,"BBB",IF(AI185&lt;='组合输入'!$O8,"BB",IF(AI185&lt;='组合输入'!$P8,"B",IF(AI185&lt;='组合输入'!$Q8,"CCC","D")))))))</f>
        <v/>
      </c>
      <c r="AK185" s="12">
        <f>IF(AJ185="","",INDEX('状态价值'!$D8:$K8,MATCH(AJ185,'状态价值'!$D$1:$K$1,0)))</f>
        <v/>
      </c>
      <c r="AL185" s="15">
        <f>NORM.S.INV(RAND())</f>
        <v/>
      </c>
      <c r="AM185" s="15">
        <f>IF('组合输入'!$C9="","",'组合输入'!$H9*$B185+SQRT(1-'组合输入'!$H9^2)*AL185)</f>
        <v/>
      </c>
      <c r="AN185" s="7">
        <f>IF(AM185="","",NORM.S.DIST(AM185,TRUE))</f>
        <v/>
      </c>
      <c r="AO185" s="13">
        <f>IF(AN185="","",IF(AN185&lt;='组合输入'!$K9,"AAA",IF(AN185&lt;='组合输入'!$L9,"AA",IF(AN185&lt;='组合输入'!$M9,"A",IF(AN185&lt;='组合输入'!$N9,"BBB",IF(AN185&lt;='组合输入'!$O9,"BB",IF(AN185&lt;='组合输入'!$P9,"B",IF(AN185&lt;='组合输入'!$Q9,"CCC","D")))))))</f>
        <v/>
      </c>
      <c r="AP185" s="12">
        <f>IF(AO185="","",INDEX('状态价值'!$D9:$K9,MATCH(AO185,'状态价值'!$D$1:$K$1,0)))</f>
        <v/>
      </c>
      <c r="AQ185" s="15">
        <f>NORM.S.INV(RAND())</f>
        <v/>
      </c>
      <c r="AR185" s="15">
        <f>IF('组合输入'!$C10="","",'组合输入'!$H10*$B185+SQRT(1-'组合输入'!$H10^2)*AQ185)</f>
        <v/>
      </c>
      <c r="AS185" s="7">
        <f>IF(AR185="","",NORM.S.DIST(AR185,TRUE))</f>
        <v/>
      </c>
      <c r="AT185" s="13">
        <f>IF(AS185="","",IF(AS185&lt;='组合输入'!$K10,"AAA",IF(AS185&lt;='组合输入'!$L10,"AA",IF(AS185&lt;='组合输入'!$M10,"A",IF(AS185&lt;='组合输入'!$N10,"BBB",IF(AS185&lt;='组合输入'!$O10,"BB",IF(AS185&lt;='组合输入'!$P10,"B",IF(AS185&lt;='组合输入'!$Q10,"CCC","D")))))))</f>
        <v/>
      </c>
      <c r="AU185" s="12">
        <f>IF(AT185="","",INDEX('状态价值'!$D10:$K10,MATCH(AT185,'状态价值'!$D$1:$K$1,0)))</f>
        <v/>
      </c>
      <c r="AV185" s="15">
        <f>NORM.S.INV(RAND())</f>
        <v/>
      </c>
      <c r="AW185" s="15">
        <f>IF('组合输入'!$C11="","",'组合输入'!$H11*$B185+SQRT(1-'组合输入'!$H11^2)*AV185)</f>
        <v/>
      </c>
      <c r="AX185" s="7">
        <f>IF(AW185="","",NORM.S.DIST(AW185,TRUE))</f>
        <v/>
      </c>
      <c r="AY185" s="13">
        <f>IF(AX185="","",IF(AX185&lt;='组合输入'!$K11,"AAA",IF(AX185&lt;='组合输入'!$L11,"AA",IF(AX185&lt;='组合输入'!$M11,"A",IF(AX185&lt;='组合输入'!$N11,"BBB",IF(AX185&lt;='组合输入'!$O11,"BB",IF(AX185&lt;='组合输入'!$P11,"B",IF(AX185&lt;='组合输入'!$Q11,"CCC","D")))))))</f>
        <v/>
      </c>
      <c r="AZ185" s="12">
        <f>IF(AY185="","",INDEX('状态价值'!$D11:$K11,MATCH(AY185,'状态价值'!$D$1:$K$1,0)))</f>
        <v/>
      </c>
      <c r="BA185" s="12">
        <f>G185+L185+Q185+V185+AA185+AF185+AK185+AP185+AU185+AZ185</f>
        <v/>
      </c>
      <c r="BB185" s="12">
        <f>SUM('组合输入'!$J$2:$J$11)-BA185</f>
        <v/>
      </c>
    </row>
    <row r="186">
      <c r="A186" s="11" t="n">
        <v>185</v>
      </c>
      <c r="B186" s="14">
        <f>NORM.S.INV(RAND())</f>
        <v/>
      </c>
      <c r="C186" s="14">
        <f>NORM.S.INV(RAND())</f>
        <v/>
      </c>
      <c r="D186" s="15">
        <f>IF('组合输入'!$C2="","",'组合输入'!$H2*$B186+SQRT(1-'组合输入'!$H2^2)*C186)</f>
        <v/>
      </c>
      <c r="E186" s="7">
        <f>IF(D186="","",NORM.S.DIST(D186,TRUE))</f>
        <v/>
      </c>
      <c r="F186" s="13">
        <f>IF(E186="","",IF(E186&lt;='组合输入'!$K2,"AAA",IF(E186&lt;='组合输入'!$L2,"AA",IF(E186&lt;='组合输入'!$M2,"A",IF(E186&lt;='组合输入'!$N2,"BBB",IF(E186&lt;='组合输入'!$O2,"BB",IF(E186&lt;='组合输入'!$P2,"B",IF(E186&lt;='组合输入'!$Q2,"CCC","D")))))))</f>
        <v/>
      </c>
      <c r="G186" s="12">
        <f>IF(F186="","",INDEX('状态价值'!$D2:$K2,MATCH(F186,'状态价值'!$D$1:$K$1,0)))</f>
        <v/>
      </c>
      <c r="H186" s="15">
        <f>NORM.S.INV(RAND())</f>
        <v/>
      </c>
      <c r="I186" s="15">
        <f>IF('组合输入'!$C3="","",'组合输入'!$H3*$B186+SQRT(1-'组合输入'!$H3^2)*H186)</f>
        <v/>
      </c>
      <c r="J186" s="7">
        <f>IF(I186="","",NORM.S.DIST(I186,TRUE))</f>
        <v/>
      </c>
      <c r="K186" s="13">
        <f>IF(J186="","",IF(J186&lt;='组合输入'!$K3,"AAA",IF(J186&lt;='组合输入'!$L3,"AA",IF(J186&lt;='组合输入'!$M3,"A",IF(J186&lt;='组合输入'!$N3,"BBB",IF(J186&lt;='组合输入'!$O3,"BB",IF(J186&lt;='组合输入'!$P3,"B",IF(J186&lt;='组合输入'!$Q3,"CCC","D")))))))</f>
        <v/>
      </c>
      <c r="L186" s="12">
        <f>IF(K186="","",INDEX('状态价值'!$D3:$K3,MATCH(K186,'状态价值'!$D$1:$K$1,0)))</f>
        <v/>
      </c>
      <c r="M186" s="15">
        <f>NORM.S.INV(RAND())</f>
        <v/>
      </c>
      <c r="N186" s="15">
        <f>IF('组合输入'!$C4="","",'组合输入'!$H4*$B186+SQRT(1-'组合输入'!$H4^2)*M186)</f>
        <v/>
      </c>
      <c r="O186" s="7">
        <f>IF(N186="","",NORM.S.DIST(N186,TRUE))</f>
        <v/>
      </c>
      <c r="P186" s="13">
        <f>IF(O186="","",IF(O186&lt;='组合输入'!$K4,"AAA",IF(O186&lt;='组合输入'!$L4,"AA",IF(O186&lt;='组合输入'!$M4,"A",IF(O186&lt;='组合输入'!$N4,"BBB",IF(O186&lt;='组合输入'!$O4,"BB",IF(O186&lt;='组合输入'!$P4,"B",IF(O186&lt;='组合输入'!$Q4,"CCC","D")))))))</f>
        <v/>
      </c>
      <c r="Q186" s="12">
        <f>IF(P186="","",INDEX('状态价值'!$D4:$K4,MATCH(P186,'状态价值'!$D$1:$K$1,0)))</f>
        <v/>
      </c>
      <c r="R186" s="15">
        <f>NORM.S.INV(RAND())</f>
        <v/>
      </c>
      <c r="S186" s="15">
        <f>IF('组合输入'!$C5="","",'组合输入'!$H5*$B186+SQRT(1-'组合输入'!$H5^2)*R186)</f>
        <v/>
      </c>
      <c r="T186" s="7">
        <f>IF(S186="","",NORM.S.DIST(S186,TRUE))</f>
        <v/>
      </c>
      <c r="U186" s="13">
        <f>IF(T186="","",IF(T186&lt;='组合输入'!$K5,"AAA",IF(T186&lt;='组合输入'!$L5,"AA",IF(T186&lt;='组合输入'!$M5,"A",IF(T186&lt;='组合输入'!$N5,"BBB",IF(T186&lt;='组合输入'!$O5,"BB",IF(T186&lt;='组合输入'!$P5,"B",IF(T186&lt;='组合输入'!$Q5,"CCC","D")))))))</f>
        <v/>
      </c>
      <c r="V186" s="12">
        <f>IF(U186="","",INDEX('状态价值'!$D5:$K5,MATCH(U186,'状态价值'!$D$1:$K$1,0)))</f>
        <v/>
      </c>
      <c r="W186" s="15">
        <f>NORM.S.INV(RAND())</f>
        <v/>
      </c>
      <c r="X186" s="15">
        <f>IF('组合输入'!$C6="","",'组合输入'!$H6*$B186+SQRT(1-'组合输入'!$H6^2)*W186)</f>
        <v/>
      </c>
      <c r="Y186" s="7">
        <f>IF(X186="","",NORM.S.DIST(X186,TRUE))</f>
        <v/>
      </c>
      <c r="Z186" s="13">
        <f>IF(Y186="","",IF(Y186&lt;='组合输入'!$K6,"AAA",IF(Y186&lt;='组合输入'!$L6,"AA",IF(Y186&lt;='组合输入'!$M6,"A",IF(Y186&lt;='组合输入'!$N6,"BBB",IF(Y186&lt;='组合输入'!$O6,"BB",IF(Y186&lt;='组合输入'!$P6,"B",IF(Y186&lt;='组合输入'!$Q6,"CCC","D")))))))</f>
        <v/>
      </c>
      <c r="AA186" s="12">
        <f>IF(Z186="","",INDEX('状态价值'!$D6:$K6,MATCH(Z186,'状态价值'!$D$1:$K$1,0)))</f>
        <v/>
      </c>
      <c r="AB186" s="15">
        <f>NORM.S.INV(RAND())</f>
        <v/>
      </c>
      <c r="AC186" s="15">
        <f>IF('组合输入'!$C7="","",'组合输入'!$H7*$B186+SQRT(1-'组合输入'!$H7^2)*AB186)</f>
        <v/>
      </c>
      <c r="AD186" s="7">
        <f>IF(AC186="","",NORM.S.DIST(AC186,TRUE))</f>
        <v/>
      </c>
      <c r="AE186" s="13">
        <f>IF(AD186="","",IF(AD186&lt;='组合输入'!$K7,"AAA",IF(AD186&lt;='组合输入'!$L7,"AA",IF(AD186&lt;='组合输入'!$M7,"A",IF(AD186&lt;='组合输入'!$N7,"BBB",IF(AD186&lt;='组合输入'!$O7,"BB",IF(AD186&lt;='组合输入'!$P7,"B",IF(AD186&lt;='组合输入'!$Q7,"CCC","D")))))))</f>
        <v/>
      </c>
      <c r="AF186" s="12">
        <f>IF(AE186="","",INDEX('状态价值'!$D7:$K7,MATCH(AE186,'状态价值'!$D$1:$K$1,0)))</f>
        <v/>
      </c>
      <c r="AG186" s="15">
        <f>NORM.S.INV(RAND())</f>
        <v/>
      </c>
      <c r="AH186" s="15">
        <f>IF('组合输入'!$C8="","",'组合输入'!$H8*$B186+SQRT(1-'组合输入'!$H8^2)*AG186)</f>
        <v/>
      </c>
      <c r="AI186" s="7">
        <f>IF(AH186="","",NORM.S.DIST(AH186,TRUE))</f>
        <v/>
      </c>
      <c r="AJ186" s="13">
        <f>IF(AI186="","",IF(AI186&lt;='组合输入'!$K8,"AAA",IF(AI186&lt;='组合输入'!$L8,"AA",IF(AI186&lt;='组合输入'!$M8,"A",IF(AI186&lt;='组合输入'!$N8,"BBB",IF(AI186&lt;='组合输入'!$O8,"BB",IF(AI186&lt;='组合输入'!$P8,"B",IF(AI186&lt;='组合输入'!$Q8,"CCC","D")))))))</f>
        <v/>
      </c>
      <c r="AK186" s="12">
        <f>IF(AJ186="","",INDEX('状态价值'!$D8:$K8,MATCH(AJ186,'状态价值'!$D$1:$K$1,0)))</f>
        <v/>
      </c>
      <c r="AL186" s="15">
        <f>NORM.S.INV(RAND())</f>
        <v/>
      </c>
      <c r="AM186" s="15">
        <f>IF('组合输入'!$C9="","",'组合输入'!$H9*$B186+SQRT(1-'组合输入'!$H9^2)*AL186)</f>
        <v/>
      </c>
      <c r="AN186" s="7">
        <f>IF(AM186="","",NORM.S.DIST(AM186,TRUE))</f>
        <v/>
      </c>
      <c r="AO186" s="13">
        <f>IF(AN186="","",IF(AN186&lt;='组合输入'!$K9,"AAA",IF(AN186&lt;='组合输入'!$L9,"AA",IF(AN186&lt;='组合输入'!$M9,"A",IF(AN186&lt;='组合输入'!$N9,"BBB",IF(AN186&lt;='组合输入'!$O9,"BB",IF(AN186&lt;='组合输入'!$P9,"B",IF(AN186&lt;='组合输入'!$Q9,"CCC","D")))))))</f>
        <v/>
      </c>
      <c r="AP186" s="12">
        <f>IF(AO186="","",INDEX('状态价值'!$D9:$K9,MATCH(AO186,'状态价值'!$D$1:$K$1,0)))</f>
        <v/>
      </c>
      <c r="AQ186" s="15">
        <f>NORM.S.INV(RAND())</f>
        <v/>
      </c>
      <c r="AR186" s="15">
        <f>IF('组合输入'!$C10="","",'组合输入'!$H10*$B186+SQRT(1-'组合输入'!$H10^2)*AQ186)</f>
        <v/>
      </c>
      <c r="AS186" s="7">
        <f>IF(AR186="","",NORM.S.DIST(AR186,TRUE))</f>
        <v/>
      </c>
      <c r="AT186" s="13">
        <f>IF(AS186="","",IF(AS186&lt;='组合输入'!$K10,"AAA",IF(AS186&lt;='组合输入'!$L10,"AA",IF(AS186&lt;='组合输入'!$M10,"A",IF(AS186&lt;='组合输入'!$N10,"BBB",IF(AS186&lt;='组合输入'!$O10,"BB",IF(AS186&lt;='组合输入'!$P10,"B",IF(AS186&lt;='组合输入'!$Q10,"CCC","D")))))))</f>
        <v/>
      </c>
      <c r="AU186" s="12">
        <f>IF(AT186="","",INDEX('状态价值'!$D10:$K10,MATCH(AT186,'状态价值'!$D$1:$K$1,0)))</f>
        <v/>
      </c>
      <c r="AV186" s="15">
        <f>NORM.S.INV(RAND())</f>
        <v/>
      </c>
      <c r="AW186" s="15">
        <f>IF('组合输入'!$C11="","",'组合输入'!$H11*$B186+SQRT(1-'组合输入'!$H11^2)*AV186)</f>
        <v/>
      </c>
      <c r="AX186" s="7">
        <f>IF(AW186="","",NORM.S.DIST(AW186,TRUE))</f>
        <v/>
      </c>
      <c r="AY186" s="13">
        <f>IF(AX186="","",IF(AX186&lt;='组合输入'!$K11,"AAA",IF(AX186&lt;='组合输入'!$L11,"AA",IF(AX186&lt;='组合输入'!$M11,"A",IF(AX186&lt;='组合输入'!$N11,"BBB",IF(AX186&lt;='组合输入'!$O11,"BB",IF(AX186&lt;='组合输入'!$P11,"B",IF(AX186&lt;='组合输入'!$Q11,"CCC","D")))))))</f>
        <v/>
      </c>
      <c r="AZ186" s="12">
        <f>IF(AY186="","",INDEX('状态价值'!$D11:$K11,MATCH(AY186,'状态价值'!$D$1:$K$1,0)))</f>
        <v/>
      </c>
      <c r="BA186" s="12">
        <f>G186+L186+Q186+V186+AA186+AF186+AK186+AP186+AU186+AZ186</f>
        <v/>
      </c>
      <c r="BB186" s="12">
        <f>SUM('组合输入'!$J$2:$J$11)-BA186</f>
        <v/>
      </c>
    </row>
    <row r="187">
      <c r="A187" s="11" t="n">
        <v>186</v>
      </c>
      <c r="B187" s="14">
        <f>NORM.S.INV(RAND())</f>
        <v/>
      </c>
      <c r="C187" s="14">
        <f>NORM.S.INV(RAND())</f>
        <v/>
      </c>
      <c r="D187" s="15">
        <f>IF('组合输入'!$C2="","",'组合输入'!$H2*$B187+SQRT(1-'组合输入'!$H2^2)*C187)</f>
        <v/>
      </c>
      <c r="E187" s="7">
        <f>IF(D187="","",NORM.S.DIST(D187,TRUE))</f>
        <v/>
      </c>
      <c r="F187" s="13">
        <f>IF(E187="","",IF(E187&lt;='组合输入'!$K2,"AAA",IF(E187&lt;='组合输入'!$L2,"AA",IF(E187&lt;='组合输入'!$M2,"A",IF(E187&lt;='组合输入'!$N2,"BBB",IF(E187&lt;='组合输入'!$O2,"BB",IF(E187&lt;='组合输入'!$P2,"B",IF(E187&lt;='组合输入'!$Q2,"CCC","D")))))))</f>
        <v/>
      </c>
      <c r="G187" s="12">
        <f>IF(F187="","",INDEX('状态价值'!$D2:$K2,MATCH(F187,'状态价值'!$D$1:$K$1,0)))</f>
        <v/>
      </c>
      <c r="H187" s="15">
        <f>NORM.S.INV(RAND())</f>
        <v/>
      </c>
      <c r="I187" s="15">
        <f>IF('组合输入'!$C3="","",'组合输入'!$H3*$B187+SQRT(1-'组合输入'!$H3^2)*H187)</f>
        <v/>
      </c>
      <c r="J187" s="7">
        <f>IF(I187="","",NORM.S.DIST(I187,TRUE))</f>
        <v/>
      </c>
      <c r="K187" s="13">
        <f>IF(J187="","",IF(J187&lt;='组合输入'!$K3,"AAA",IF(J187&lt;='组合输入'!$L3,"AA",IF(J187&lt;='组合输入'!$M3,"A",IF(J187&lt;='组合输入'!$N3,"BBB",IF(J187&lt;='组合输入'!$O3,"BB",IF(J187&lt;='组合输入'!$P3,"B",IF(J187&lt;='组合输入'!$Q3,"CCC","D")))))))</f>
        <v/>
      </c>
      <c r="L187" s="12">
        <f>IF(K187="","",INDEX('状态价值'!$D3:$K3,MATCH(K187,'状态价值'!$D$1:$K$1,0)))</f>
        <v/>
      </c>
      <c r="M187" s="15">
        <f>NORM.S.INV(RAND())</f>
        <v/>
      </c>
      <c r="N187" s="15">
        <f>IF('组合输入'!$C4="","",'组合输入'!$H4*$B187+SQRT(1-'组合输入'!$H4^2)*M187)</f>
        <v/>
      </c>
      <c r="O187" s="7">
        <f>IF(N187="","",NORM.S.DIST(N187,TRUE))</f>
        <v/>
      </c>
      <c r="P187" s="13">
        <f>IF(O187="","",IF(O187&lt;='组合输入'!$K4,"AAA",IF(O187&lt;='组合输入'!$L4,"AA",IF(O187&lt;='组合输入'!$M4,"A",IF(O187&lt;='组合输入'!$N4,"BBB",IF(O187&lt;='组合输入'!$O4,"BB",IF(O187&lt;='组合输入'!$P4,"B",IF(O187&lt;='组合输入'!$Q4,"CCC","D")))))))</f>
        <v/>
      </c>
      <c r="Q187" s="12">
        <f>IF(P187="","",INDEX('状态价值'!$D4:$K4,MATCH(P187,'状态价值'!$D$1:$K$1,0)))</f>
        <v/>
      </c>
      <c r="R187" s="15">
        <f>NORM.S.INV(RAND())</f>
        <v/>
      </c>
      <c r="S187" s="15">
        <f>IF('组合输入'!$C5="","",'组合输入'!$H5*$B187+SQRT(1-'组合输入'!$H5^2)*R187)</f>
        <v/>
      </c>
      <c r="T187" s="7">
        <f>IF(S187="","",NORM.S.DIST(S187,TRUE))</f>
        <v/>
      </c>
      <c r="U187" s="13">
        <f>IF(T187="","",IF(T187&lt;='组合输入'!$K5,"AAA",IF(T187&lt;='组合输入'!$L5,"AA",IF(T187&lt;='组合输入'!$M5,"A",IF(T187&lt;='组合输入'!$N5,"BBB",IF(T187&lt;='组合输入'!$O5,"BB",IF(T187&lt;='组合输入'!$P5,"B",IF(T187&lt;='组合输入'!$Q5,"CCC","D")))))))</f>
        <v/>
      </c>
      <c r="V187" s="12">
        <f>IF(U187="","",INDEX('状态价值'!$D5:$K5,MATCH(U187,'状态价值'!$D$1:$K$1,0)))</f>
        <v/>
      </c>
      <c r="W187" s="15">
        <f>NORM.S.INV(RAND())</f>
        <v/>
      </c>
      <c r="X187" s="15">
        <f>IF('组合输入'!$C6="","",'组合输入'!$H6*$B187+SQRT(1-'组合输入'!$H6^2)*W187)</f>
        <v/>
      </c>
      <c r="Y187" s="7">
        <f>IF(X187="","",NORM.S.DIST(X187,TRUE))</f>
        <v/>
      </c>
      <c r="Z187" s="13">
        <f>IF(Y187="","",IF(Y187&lt;='组合输入'!$K6,"AAA",IF(Y187&lt;='组合输入'!$L6,"AA",IF(Y187&lt;='组合输入'!$M6,"A",IF(Y187&lt;='组合输入'!$N6,"BBB",IF(Y187&lt;='组合输入'!$O6,"BB",IF(Y187&lt;='组合输入'!$P6,"B",IF(Y187&lt;='组合输入'!$Q6,"CCC","D")))))))</f>
        <v/>
      </c>
      <c r="AA187" s="12">
        <f>IF(Z187="","",INDEX('状态价值'!$D6:$K6,MATCH(Z187,'状态价值'!$D$1:$K$1,0)))</f>
        <v/>
      </c>
      <c r="AB187" s="15">
        <f>NORM.S.INV(RAND())</f>
        <v/>
      </c>
      <c r="AC187" s="15">
        <f>IF('组合输入'!$C7="","",'组合输入'!$H7*$B187+SQRT(1-'组合输入'!$H7^2)*AB187)</f>
        <v/>
      </c>
      <c r="AD187" s="7">
        <f>IF(AC187="","",NORM.S.DIST(AC187,TRUE))</f>
        <v/>
      </c>
      <c r="AE187" s="13">
        <f>IF(AD187="","",IF(AD187&lt;='组合输入'!$K7,"AAA",IF(AD187&lt;='组合输入'!$L7,"AA",IF(AD187&lt;='组合输入'!$M7,"A",IF(AD187&lt;='组合输入'!$N7,"BBB",IF(AD187&lt;='组合输入'!$O7,"BB",IF(AD187&lt;='组合输入'!$P7,"B",IF(AD187&lt;='组合输入'!$Q7,"CCC","D")))))))</f>
        <v/>
      </c>
      <c r="AF187" s="12">
        <f>IF(AE187="","",INDEX('状态价值'!$D7:$K7,MATCH(AE187,'状态价值'!$D$1:$K$1,0)))</f>
        <v/>
      </c>
      <c r="AG187" s="15">
        <f>NORM.S.INV(RAND())</f>
        <v/>
      </c>
      <c r="AH187" s="15">
        <f>IF('组合输入'!$C8="","",'组合输入'!$H8*$B187+SQRT(1-'组合输入'!$H8^2)*AG187)</f>
        <v/>
      </c>
      <c r="AI187" s="7">
        <f>IF(AH187="","",NORM.S.DIST(AH187,TRUE))</f>
        <v/>
      </c>
      <c r="AJ187" s="13">
        <f>IF(AI187="","",IF(AI187&lt;='组合输入'!$K8,"AAA",IF(AI187&lt;='组合输入'!$L8,"AA",IF(AI187&lt;='组合输入'!$M8,"A",IF(AI187&lt;='组合输入'!$N8,"BBB",IF(AI187&lt;='组合输入'!$O8,"BB",IF(AI187&lt;='组合输入'!$P8,"B",IF(AI187&lt;='组合输入'!$Q8,"CCC","D")))))))</f>
        <v/>
      </c>
      <c r="AK187" s="12">
        <f>IF(AJ187="","",INDEX('状态价值'!$D8:$K8,MATCH(AJ187,'状态价值'!$D$1:$K$1,0)))</f>
        <v/>
      </c>
      <c r="AL187" s="15">
        <f>NORM.S.INV(RAND())</f>
        <v/>
      </c>
      <c r="AM187" s="15">
        <f>IF('组合输入'!$C9="","",'组合输入'!$H9*$B187+SQRT(1-'组合输入'!$H9^2)*AL187)</f>
        <v/>
      </c>
      <c r="AN187" s="7">
        <f>IF(AM187="","",NORM.S.DIST(AM187,TRUE))</f>
        <v/>
      </c>
      <c r="AO187" s="13">
        <f>IF(AN187="","",IF(AN187&lt;='组合输入'!$K9,"AAA",IF(AN187&lt;='组合输入'!$L9,"AA",IF(AN187&lt;='组合输入'!$M9,"A",IF(AN187&lt;='组合输入'!$N9,"BBB",IF(AN187&lt;='组合输入'!$O9,"BB",IF(AN187&lt;='组合输入'!$P9,"B",IF(AN187&lt;='组合输入'!$Q9,"CCC","D")))))))</f>
        <v/>
      </c>
      <c r="AP187" s="12">
        <f>IF(AO187="","",INDEX('状态价值'!$D9:$K9,MATCH(AO187,'状态价值'!$D$1:$K$1,0)))</f>
        <v/>
      </c>
      <c r="AQ187" s="15">
        <f>NORM.S.INV(RAND())</f>
        <v/>
      </c>
      <c r="AR187" s="15">
        <f>IF('组合输入'!$C10="","",'组合输入'!$H10*$B187+SQRT(1-'组合输入'!$H10^2)*AQ187)</f>
        <v/>
      </c>
      <c r="AS187" s="7">
        <f>IF(AR187="","",NORM.S.DIST(AR187,TRUE))</f>
        <v/>
      </c>
      <c r="AT187" s="13">
        <f>IF(AS187="","",IF(AS187&lt;='组合输入'!$K10,"AAA",IF(AS187&lt;='组合输入'!$L10,"AA",IF(AS187&lt;='组合输入'!$M10,"A",IF(AS187&lt;='组合输入'!$N10,"BBB",IF(AS187&lt;='组合输入'!$O10,"BB",IF(AS187&lt;='组合输入'!$P10,"B",IF(AS187&lt;='组合输入'!$Q10,"CCC","D")))))))</f>
        <v/>
      </c>
      <c r="AU187" s="12">
        <f>IF(AT187="","",INDEX('状态价值'!$D10:$K10,MATCH(AT187,'状态价值'!$D$1:$K$1,0)))</f>
        <v/>
      </c>
      <c r="AV187" s="15">
        <f>NORM.S.INV(RAND())</f>
        <v/>
      </c>
      <c r="AW187" s="15">
        <f>IF('组合输入'!$C11="","",'组合输入'!$H11*$B187+SQRT(1-'组合输入'!$H11^2)*AV187)</f>
        <v/>
      </c>
      <c r="AX187" s="7">
        <f>IF(AW187="","",NORM.S.DIST(AW187,TRUE))</f>
        <v/>
      </c>
      <c r="AY187" s="13">
        <f>IF(AX187="","",IF(AX187&lt;='组合输入'!$K11,"AAA",IF(AX187&lt;='组合输入'!$L11,"AA",IF(AX187&lt;='组合输入'!$M11,"A",IF(AX187&lt;='组合输入'!$N11,"BBB",IF(AX187&lt;='组合输入'!$O11,"BB",IF(AX187&lt;='组合输入'!$P11,"B",IF(AX187&lt;='组合输入'!$Q11,"CCC","D")))))))</f>
        <v/>
      </c>
      <c r="AZ187" s="12">
        <f>IF(AY187="","",INDEX('状态价值'!$D11:$K11,MATCH(AY187,'状态价值'!$D$1:$K$1,0)))</f>
        <v/>
      </c>
      <c r="BA187" s="12">
        <f>G187+L187+Q187+V187+AA187+AF187+AK187+AP187+AU187+AZ187</f>
        <v/>
      </c>
      <c r="BB187" s="12">
        <f>SUM('组合输入'!$J$2:$J$11)-BA187</f>
        <v/>
      </c>
    </row>
    <row r="188">
      <c r="A188" s="11" t="n">
        <v>187</v>
      </c>
      <c r="B188" s="14">
        <f>NORM.S.INV(RAND())</f>
        <v/>
      </c>
      <c r="C188" s="14">
        <f>NORM.S.INV(RAND())</f>
        <v/>
      </c>
      <c r="D188" s="15">
        <f>IF('组合输入'!$C2="","",'组合输入'!$H2*$B188+SQRT(1-'组合输入'!$H2^2)*C188)</f>
        <v/>
      </c>
      <c r="E188" s="7">
        <f>IF(D188="","",NORM.S.DIST(D188,TRUE))</f>
        <v/>
      </c>
      <c r="F188" s="13">
        <f>IF(E188="","",IF(E188&lt;='组合输入'!$K2,"AAA",IF(E188&lt;='组合输入'!$L2,"AA",IF(E188&lt;='组合输入'!$M2,"A",IF(E188&lt;='组合输入'!$N2,"BBB",IF(E188&lt;='组合输入'!$O2,"BB",IF(E188&lt;='组合输入'!$P2,"B",IF(E188&lt;='组合输入'!$Q2,"CCC","D")))))))</f>
        <v/>
      </c>
      <c r="G188" s="12">
        <f>IF(F188="","",INDEX('状态价值'!$D2:$K2,MATCH(F188,'状态价值'!$D$1:$K$1,0)))</f>
        <v/>
      </c>
      <c r="H188" s="15">
        <f>NORM.S.INV(RAND())</f>
        <v/>
      </c>
      <c r="I188" s="15">
        <f>IF('组合输入'!$C3="","",'组合输入'!$H3*$B188+SQRT(1-'组合输入'!$H3^2)*H188)</f>
        <v/>
      </c>
      <c r="J188" s="7">
        <f>IF(I188="","",NORM.S.DIST(I188,TRUE))</f>
        <v/>
      </c>
      <c r="K188" s="13">
        <f>IF(J188="","",IF(J188&lt;='组合输入'!$K3,"AAA",IF(J188&lt;='组合输入'!$L3,"AA",IF(J188&lt;='组合输入'!$M3,"A",IF(J188&lt;='组合输入'!$N3,"BBB",IF(J188&lt;='组合输入'!$O3,"BB",IF(J188&lt;='组合输入'!$P3,"B",IF(J188&lt;='组合输入'!$Q3,"CCC","D")))))))</f>
        <v/>
      </c>
      <c r="L188" s="12">
        <f>IF(K188="","",INDEX('状态价值'!$D3:$K3,MATCH(K188,'状态价值'!$D$1:$K$1,0)))</f>
        <v/>
      </c>
      <c r="M188" s="15">
        <f>NORM.S.INV(RAND())</f>
        <v/>
      </c>
      <c r="N188" s="15">
        <f>IF('组合输入'!$C4="","",'组合输入'!$H4*$B188+SQRT(1-'组合输入'!$H4^2)*M188)</f>
        <v/>
      </c>
      <c r="O188" s="7">
        <f>IF(N188="","",NORM.S.DIST(N188,TRUE))</f>
        <v/>
      </c>
      <c r="P188" s="13">
        <f>IF(O188="","",IF(O188&lt;='组合输入'!$K4,"AAA",IF(O188&lt;='组合输入'!$L4,"AA",IF(O188&lt;='组合输入'!$M4,"A",IF(O188&lt;='组合输入'!$N4,"BBB",IF(O188&lt;='组合输入'!$O4,"BB",IF(O188&lt;='组合输入'!$P4,"B",IF(O188&lt;='组合输入'!$Q4,"CCC","D")))))))</f>
        <v/>
      </c>
      <c r="Q188" s="12">
        <f>IF(P188="","",INDEX('状态价值'!$D4:$K4,MATCH(P188,'状态价值'!$D$1:$K$1,0)))</f>
        <v/>
      </c>
      <c r="R188" s="15">
        <f>NORM.S.INV(RAND())</f>
        <v/>
      </c>
      <c r="S188" s="15">
        <f>IF('组合输入'!$C5="","",'组合输入'!$H5*$B188+SQRT(1-'组合输入'!$H5^2)*R188)</f>
        <v/>
      </c>
      <c r="T188" s="7">
        <f>IF(S188="","",NORM.S.DIST(S188,TRUE))</f>
        <v/>
      </c>
      <c r="U188" s="13">
        <f>IF(T188="","",IF(T188&lt;='组合输入'!$K5,"AAA",IF(T188&lt;='组合输入'!$L5,"AA",IF(T188&lt;='组合输入'!$M5,"A",IF(T188&lt;='组合输入'!$N5,"BBB",IF(T188&lt;='组合输入'!$O5,"BB",IF(T188&lt;='组合输入'!$P5,"B",IF(T188&lt;='组合输入'!$Q5,"CCC","D")))))))</f>
        <v/>
      </c>
      <c r="V188" s="12">
        <f>IF(U188="","",INDEX('状态价值'!$D5:$K5,MATCH(U188,'状态价值'!$D$1:$K$1,0)))</f>
        <v/>
      </c>
      <c r="W188" s="15">
        <f>NORM.S.INV(RAND())</f>
        <v/>
      </c>
      <c r="X188" s="15">
        <f>IF('组合输入'!$C6="","",'组合输入'!$H6*$B188+SQRT(1-'组合输入'!$H6^2)*W188)</f>
        <v/>
      </c>
      <c r="Y188" s="7">
        <f>IF(X188="","",NORM.S.DIST(X188,TRUE))</f>
        <v/>
      </c>
      <c r="Z188" s="13">
        <f>IF(Y188="","",IF(Y188&lt;='组合输入'!$K6,"AAA",IF(Y188&lt;='组合输入'!$L6,"AA",IF(Y188&lt;='组合输入'!$M6,"A",IF(Y188&lt;='组合输入'!$N6,"BBB",IF(Y188&lt;='组合输入'!$O6,"BB",IF(Y188&lt;='组合输入'!$P6,"B",IF(Y188&lt;='组合输入'!$Q6,"CCC","D")))))))</f>
        <v/>
      </c>
      <c r="AA188" s="12">
        <f>IF(Z188="","",INDEX('状态价值'!$D6:$K6,MATCH(Z188,'状态价值'!$D$1:$K$1,0)))</f>
        <v/>
      </c>
      <c r="AB188" s="15">
        <f>NORM.S.INV(RAND())</f>
        <v/>
      </c>
      <c r="AC188" s="15">
        <f>IF('组合输入'!$C7="","",'组合输入'!$H7*$B188+SQRT(1-'组合输入'!$H7^2)*AB188)</f>
        <v/>
      </c>
      <c r="AD188" s="7">
        <f>IF(AC188="","",NORM.S.DIST(AC188,TRUE))</f>
        <v/>
      </c>
      <c r="AE188" s="13">
        <f>IF(AD188="","",IF(AD188&lt;='组合输入'!$K7,"AAA",IF(AD188&lt;='组合输入'!$L7,"AA",IF(AD188&lt;='组合输入'!$M7,"A",IF(AD188&lt;='组合输入'!$N7,"BBB",IF(AD188&lt;='组合输入'!$O7,"BB",IF(AD188&lt;='组合输入'!$P7,"B",IF(AD188&lt;='组合输入'!$Q7,"CCC","D")))))))</f>
        <v/>
      </c>
      <c r="AF188" s="12">
        <f>IF(AE188="","",INDEX('状态价值'!$D7:$K7,MATCH(AE188,'状态价值'!$D$1:$K$1,0)))</f>
        <v/>
      </c>
      <c r="AG188" s="15">
        <f>NORM.S.INV(RAND())</f>
        <v/>
      </c>
      <c r="AH188" s="15">
        <f>IF('组合输入'!$C8="","",'组合输入'!$H8*$B188+SQRT(1-'组合输入'!$H8^2)*AG188)</f>
        <v/>
      </c>
      <c r="AI188" s="7">
        <f>IF(AH188="","",NORM.S.DIST(AH188,TRUE))</f>
        <v/>
      </c>
      <c r="AJ188" s="13">
        <f>IF(AI188="","",IF(AI188&lt;='组合输入'!$K8,"AAA",IF(AI188&lt;='组合输入'!$L8,"AA",IF(AI188&lt;='组合输入'!$M8,"A",IF(AI188&lt;='组合输入'!$N8,"BBB",IF(AI188&lt;='组合输入'!$O8,"BB",IF(AI188&lt;='组合输入'!$P8,"B",IF(AI188&lt;='组合输入'!$Q8,"CCC","D")))))))</f>
        <v/>
      </c>
      <c r="AK188" s="12">
        <f>IF(AJ188="","",INDEX('状态价值'!$D8:$K8,MATCH(AJ188,'状态价值'!$D$1:$K$1,0)))</f>
        <v/>
      </c>
      <c r="AL188" s="15">
        <f>NORM.S.INV(RAND())</f>
        <v/>
      </c>
      <c r="AM188" s="15">
        <f>IF('组合输入'!$C9="","",'组合输入'!$H9*$B188+SQRT(1-'组合输入'!$H9^2)*AL188)</f>
        <v/>
      </c>
      <c r="AN188" s="7">
        <f>IF(AM188="","",NORM.S.DIST(AM188,TRUE))</f>
        <v/>
      </c>
      <c r="AO188" s="13">
        <f>IF(AN188="","",IF(AN188&lt;='组合输入'!$K9,"AAA",IF(AN188&lt;='组合输入'!$L9,"AA",IF(AN188&lt;='组合输入'!$M9,"A",IF(AN188&lt;='组合输入'!$N9,"BBB",IF(AN188&lt;='组合输入'!$O9,"BB",IF(AN188&lt;='组合输入'!$P9,"B",IF(AN188&lt;='组合输入'!$Q9,"CCC","D")))))))</f>
        <v/>
      </c>
      <c r="AP188" s="12">
        <f>IF(AO188="","",INDEX('状态价值'!$D9:$K9,MATCH(AO188,'状态价值'!$D$1:$K$1,0)))</f>
        <v/>
      </c>
      <c r="AQ188" s="15">
        <f>NORM.S.INV(RAND())</f>
        <v/>
      </c>
      <c r="AR188" s="15">
        <f>IF('组合输入'!$C10="","",'组合输入'!$H10*$B188+SQRT(1-'组合输入'!$H10^2)*AQ188)</f>
        <v/>
      </c>
      <c r="AS188" s="7">
        <f>IF(AR188="","",NORM.S.DIST(AR188,TRUE))</f>
        <v/>
      </c>
      <c r="AT188" s="13">
        <f>IF(AS188="","",IF(AS188&lt;='组合输入'!$K10,"AAA",IF(AS188&lt;='组合输入'!$L10,"AA",IF(AS188&lt;='组合输入'!$M10,"A",IF(AS188&lt;='组合输入'!$N10,"BBB",IF(AS188&lt;='组合输入'!$O10,"BB",IF(AS188&lt;='组合输入'!$P10,"B",IF(AS188&lt;='组合输入'!$Q10,"CCC","D")))))))</f>
        <v/>
      </c>
      <c r="AU188" s="12">
        <f>IF(AT188="","",INDEX('状态价值'!$D10:$K10,MATCH(AT188,'状态价值'!$D$1:$K$1,0)))</f>
        <v/>
      </c>
      <c r="AV188" s="15">
        <f>NORM.S.INV(RAND())</f>
        <v/>
      </c>
      <c r="AW188" s="15">
        <f>IF('组合输入'!$C11="","",'组合输入'!$H11*$B188+SQRT(1-'组合输入'!$H11^2)*AV188)</f>
        <v/>
      </c>
      <c r="AX188" s="7">
        <f>IF(AW188="","",NORM.S.DIST(AW188,TRUE))</f>
        <v/>
      </c>
      <c r="AY188" s="13">
        <f>IF(AX188="","",IF(AX188&lt;='组合输入'!$K11,"AAA",IF(AX188&lt;='组合输入'!$L11,"AA",IF(AX188&lt;='组合输入'!$M11,"A",IF(AX188&lt;='组合输入'!$N11,"BBB",IF(AX188&lt;='组合输入'!$O11,"BB",IF(AX188&lt;='组合输入'!$P11,"B",IF(AX188&lt;='组合输入'!$Q11,"CCC","D")))))))</f>
        <v/>
      </c>
      <c r="AZ188" s="12">
        <f>IF(AY188="","",INDEX('状态价值'!$D11:$K11,MATCH(AY188,'状态价值'!$D$1:$K$1,0)))</f>
        <v/>
      </c>
      <c r="BA188" s="12">
        <f>G188+L188+Q188+V188+AA188+AF188+AK188+AP188+AU188+AZ188</f>
        <v/>
      </c>
      <c r="BB188" s="12">
        <f>SUM('组合输入'!$J$2:$J$11)-BA188</f>
        <v/>
      </c>
    </row>
    <row r="189">
      <c r="A189" s="11" t="n">
        <v>188</v>
      </c>
      <c r="B189" s="14">
        <f>NORM.S.INV(RAND())</f>
        <v/>
      </c>
      <c r="C189" s="14">
        <f>NORM.S.INV(RAND())</f>
        <v/>
      </c>
      <c r="D189" s="15">
        <f>IF('组合输入'!$C2="","",'组合输入'!$H2*$B189+SQRT(1-'组合输入'!$H2^2)*C189)</f>
        <v/>
      </c>
      <c r="E189" s="7">
        <f>IF(D189="","",NORM.S.DIST(D189,TRUE))</f>
        <v/>
      </c>
      <c r="F189" s="13">
        <f>IF(E189="","",IF(E189&lt;='组合输入'!$K2,"AAA",IF(E189&lt;='组合输入'!$L2,"AA",IF(E189&lt;='组合输入'!$M2,"A",IF(E189&lt;='组合输入'!$N2,"BBB",IF(E189&lt;='组合输入'!$O2,"BB",IF(E189&lt;='组合输入'!$P2,"B",IF(E189&lt;='组合输入'!$Q2,"CCC","D")))))))</f>
        <v/>
      </c>
      <c r="G189" s="12">
        <f>IF(F189="","",INDEX('状态价值'!$D2:$K2,MATCH(F189,'状态价值'!$D$1:$K$1,0)))</f>
        <v/>
      </c>
      <c r="H189" s="15">
        <f>NORM.S.INV(RAND())</f>
        <v/>
      </c>
      <c r="I189" s="15">
        <f>IF('组合输入'!$C3="","",'组合输入'!$H3*$B189+SQRT(1-'组合输入'!$H3^2)*H189)</f>
        <v/>
      </c>
      <c r="J189" s="7">
        <f>IF(I189="","",NORM.S.DIST(I189,TRUE))</f>
        <v/>
      </c>
      <c r="K189" s="13">
        <f>IF(J189="","",IF(J189&lt;='组合输入'!$K3,"AAA",IF(J189&lt;='组合输入'!$L3,"AA",IF(J189&lt;='组合输入'!$M3,"A",IF(J189&lt;='组合输入'!$N3,"BBB",IF(J189&lt;='组合输入'!$O3,"BB",IF(J189&lt;='组合输入'!$P3,"B",IF(J189&lt;='组合输入'!$Q3,"CCC","D")))))))</f>
        <v/>
      </c>
      <c r="L189" s="12">
        <f>IF(K189="","",INDEX('状态价值'!$D3:$K3,MATCH(K189,'状态价值'!$D$1:$K$1,0)))</f>
        <v/>
      </c>
      <c r="M189" s="15">
        <f>NORM.S.INV(RAND())</f>
        <v/>
      </c>
      <c r="N189" s="15">
        <f>IF('组合输入'!$C4="","",'组合输入'!$H4*$B189+SQRT(1-'组合输入'!$H4^2)*M189)</f>
        <v/>
      </c>
      <c r="O189" s="7">
        <f>IF(N189="","",NORM.S.DIST(N189,TRUE))</f>
        <v/>
      </c>
      <c r="P189" s="13">
        <f>IF(O189="","",IF(O189&lt;='组合输入'!$K4,"AAA",IF(O189&lt;='组合输入'!$L4,"AA",IF(O189&lt;='组合输入'!$M4,"A",IF(O189&lt;='组合输入'!$N4,"BBB",IF(O189&lt;='组合输入'!$O4,"BB",IF(O189&lt;='组合输入'!$P4,"B",IF(O189&lt;='组合输入'!$Q4,"CCC","D")))))))</f>
        <v/>
      </c>
      <c r="Q189" s="12">
        <f>IF(P189="","",INDEX('状态价值'!$D4:$K4,MATCH(P189,'状态价值'!$D$1:$K$1,0)))</f>
        <v/>
      </c>
      <c r="R189" s="15">
        <f>NORM.S.INV(RAND())</f>
        <v/>
      </c>
      <c r="S189" s="15">
        <f>IF('组合输入'!$C5="","",'组合输入'!$H5*$B189+SQRT(1-'组合输入'!$H5^2)*R189)</f>
        <v/>
      </c>
      <c r="T189" s="7">
        <f>IF(S189="","",NORM.S.DIST(S189,TRUE))</f>
        <v/>
      </c>
      <c r="U189" s="13">
        <f>IF(T189="","",IF(T189&lt;='组合输入'!$K5,"AAA",IF(T189&lt;='组合输入'!$L5,"AA",IF(T189&lt;='组合输入'!$M5,"A",IF(T189&lt;='组合输入'!$N5,"BBB",IF(T189&lt;='组合输入'!$O5,"BB",IF(T189&lt;='组合输入'!$P5,"B",IF(T189&lt;='组合输入'!$Q5,"CCC","D")))))))</f>
        <v/>
      </c>
      <c r="V189" s="12">
        <f>IF(U189="","",INDEX('状态价值'!$D5:$K5,MATCH(U189,'状态价值'!$D$1:$K$1,0)))</f>
        <v/>
      </c>
      <c r="W189" s="15">
        <f>NORM.S.INV(RAND())</f>
        <v/>
      </c>
      <c r="X189" s="15">
        <f>IF('组合输入'!$C6="","",'组合输入'!$H6*$B189+SQRT(1-'组合输入'!$H6^2)*W189)</f>
        <v/>
      </c>
      <c r="Y189" s="7">
        <f>IF(X189="","",NORM.S.DIST(X189,TRUE))</f>
        <v/>
      </c>
      <c r="Z189" s="13">
        <f>IF(Y189="","",IF(Y189&lt;='组合输入'!$K6,"AAA",IF(Y189&lt;='组合输入'!$L6,"AA",IF(Y189&lt;='组合输入'!$M6,"A",IF(Y189&lt;='组合输入'!$N6,"BBB",IF(Y189&lt;='组合输入'!$O6,"BB",IF(Y189&lt;='组合输入'!$P6,"B",IF(Y189&lt;='组合输入'!$Q6,"CCC","D")))))))</f>
        <v/>
      </c>
      <c r="AA189" s="12">
        <f>IF(Z189="","",INDEX('状态价值'!$D6:$K6,MATCH(Z189,'状态价值'!$D$1:$K$1,0)))</f>
        <v/>
      </c>
      <c r="AB189" s="15">
        <f>NORM.S.INV(RAND())</f>
        <v/>
      </c>
      <c r="AC189" s="15">
        <f>IF('组合输入'!$C7="","",'组合输入'!$H7*$B189+SQRT(1-'组合输入'!$H7^2)*AB189)</f>
        <v/>
      </c>
      <c r="AD189" s="7">
        <f>IF(AC189="","",NORM.S.DIST(AC189,TRUE))</f>
        <v/>
      </c>
      <c r="AE189" s="13">
        <f>IF(AD189="","",IF(AD189&lt;='组合输入'!$K7,"AAA",IF(AD189&lt;='组合输入'!$L7,"AA",IF(AD189&lt;='组合输入'!$M7,"A",IF(AD189&lt;='组合输入'!$N7,"BBB",IF(AD189&lt;='组合输入'!$O7,"BB",IF(AD189&lt;='组合输入'!$P7,"B",IF(AD189&lt;='组合输入'!$Q7,"CCC","D")))))))</f>
        <v/>
      </c>
      <c r="AF189" s="12">
        <f>IF(AE189="","",INDEX('状态价值'!$D7:$K7,MATCH(AE189,'状态价值'!$D$1:$K$1,0)))</f>
        <v/>
      </c>
      <c r="AG189" s="15">
        <f>NORM.S.INV(RAND())</f>
        <v/>
      </c>
      <c r="AH189" s="15">
        <f>IF('组合输入'!$C8="","",'组合输入'!$H8*$B189+SQRT(1-'组合输入'!$H8^2)*AG189)</f>
        <v/>
      </c>
      <c r="AI189" s="7">
        <f>IF(AH189="","",NORM.S.DIST(AH189,TRUE))</f>
        <v/>
      </c>
      <c r="AJ189" s="13">
        <f>IF(AI189="","",IF(AI189&lt;='组合输入'!$K8,"AAA",IF(AI189&lt;='组合输入'!$L8,"AA",IF(AI189&lt;='组合输入'!$M8,"A",IF(AI189&lt;='组合输入'!$N8,"BBB",IF(AI189&lt;='组合输入'!$O8,"BB",IF(AI189&lt;='组合输入'!$P8,"B",IF(AI189&lt;='组合输入'!$Q8,"CCC","D")))))))</f>
        <v/>
      </c>
      <c r="AK189" s="12">
        <f>IF(AJ189="","",INDEX('状态价值'!$D8:$K8,MATCH(AJ189,'状态价值'!$D$1:$K$1,0)))</f>
        <v/>
      </c>
      <c r="AL189" s="15">
        <f>NORM.S.INV(RAND())</f>
        <v/>
      </c>
      <c r="AM189" s="15">
        <f>IF('组合输入'!$C9="","",'组合输入'!$H9*$B189+SQRT(1-'组合输入'!$H9^2)*AL189)</f>
        <v/>
      </c>
      <c r="AN189" s="7">
        <f>IF(AM189="","",NORM.S.DIST(AM189,TRUE))</f>
        <v/>
      </c>
      <c r="AO189" s="13">
        <f>IF(AN189="","",IF(AN189&lt;='组合输入'!$K9,"AAA",IF(AN189&lt;='组合输入'!$L9,"AA",IF(AN189&lt;='组合输入'!$M9,"A",IF(AN189&lt;='组合输入'!$N9,"BBB",IF(AN189&lt;='组合输入'!$O9,"BB",IF(AN189&lt;='组合输入'!$P9,"B",IF(AN189&lt;='组合输入'!$Q9,"CCC","D")))))))</f>
        <v/>
      </c>
      <c r="AP189" s="12">
        <f>IF(AO189="","",INDEX('状态价值'!$D9:$K9,MATCH(AO189,'状态价值'!$D$1:$K$1,0)))</f>
        <v/>
      </c>
      <c r="AQ189" s="15">
        <f>NORM.S.INV(RAND())</f>
        <v/>
      </c>
      <c r="AR189" s="15">
        <f>IF('组合输入'!$C10="","",'组合输入'!$H10*$B189+SQRT(1-'组合输入'!$H10^2)*AQ189)</f>
        <v/>
      </c>
      <c r="AS189" s="7">
        <f>IF(AR189="","",NORM.S.DIST(AR189,TRUE))</f>
        <v/>
      </c>
      <c r="AT189" s="13">
        <f>IF(AS189="","",IF(AS189&lt;='组合输入'!$K10,"AAA",IF(AS189&lt;='组合输入'!$L10,"AA",IF(AS189&lt;='组合输入'!$M10,"A",IF(AS189&lt;='组合输入'!$N10,"BBB",IF(AS189&lt;='组合输入'!$O10,"BB",IF(AS189&lt;='组合输入'!$P10,"B",IF(AS189&lt;='组合输入'!$Q10,"CCC","D")))))))</f>
        <v/>
      </c>
      <c r="AU189" s="12">
        <f>IF(AT189="","",INDEX('状态价值'!$D10:$K10,MATCH(AT189,'状态价值'!$D$1:$K$1,0)))</f>
        <v/>
      </c>
      <c r="AV189" s="15">
        <f>NORM.S.INV(RAND())</f>
        <v/>
      </c>
      <c r="AW189" s="15">
        <f>IF('组合输入'!$C11="","",'组合输入'!$H11*$B189+SQRT(1-'组合输入'!$H11^2)*AV189)</f>
        <v/>
      </c>
      <c r="AX189" s="7">
        <f>IF(AW189="","",NORM.S.DIST(AW189,TRUE))</f>
        <v/>
      </c>
      <c r="AY189" s="13">
        <f>IF(AX189="","",IF(AX189&lt;='组合输入'!$K11,"AAA",IF(AX189&lt;='组合输入'!$L11,"AA",IF(AX189&lt;='组合输入'!$M11,"A",IF(AX189&lt;='组合输入'!$N11,"BBB",IF(AX189&lt;='组合输入'!$O11,"BB",IF(AX189&lt;='组合输入'!$P11,"B",IF(AX189&lt;='组合输入'!$Q11,"CCC","D")))))))</f>
        <v/>
      </c>
      <c r="AZ189" s="12">
        <f>IF(AY189="","",INDEX('状态价值'!$D11:$K11,MATCH(AY189,'状态价值'!$D$1:$K$1,0)))</f>
        <v/>
      </c>
      <c r="BA189" s="12">
        <f>G189+L189+Q189+V189+AA189+AF189+AK189+AP189+AU189+AZ189</f>
        <v/>
      </c>
      <c r="BB189" s="12">
        <f>SUM('组合输入'!$J$2:$J$11)-BA189</f>
        <v/>
      </c>
    </row>
    <row r="190">
      <c r="A190" s="11" t="n">
        <v>189</v>
      </c>
      <c r="B190" s="14">
        <f>NORM.S.INV(RAND())</f>
        <v/>
      </c>
      <c r="C190" s="14">
        <f>NORM.S.INV(RAND())</f>
        <v/>
      </c>
      <c r="D190" s="15">
        <f>IF('组合输入'!$C2="","",'组合输入'!$H2*$B190+SQRT(1-'组合输入'!$H2^2)*C190)</f>
        <v/>
      </c>
      <c r="E190" s="7">
        <f>IF(D190="","",NORM.S.DIST(D190,TRUE))</f>
        <v/>
      </c>
      <c r="F190" s="13">
        <f>IF(E190="","",IF(E190&lt;='组合输入'!$K2,"AAA",IF(E190&lt;='组合输入'!$L2,"AA",IF(E190&lt;='组合输入'!$M2,"A",IF(E190&lt;='组合输入'!$N2,"BBB",IF(E190&lt;='组合输入'!$O2,"BB",IF(E190&lt;='组合输入'!$P2,"B",IF(E190&lt;='组合输入'!$Q2,"CCC","D")))))))</f>
        <v/>
      </c>
      <c r="G190" s="12">
        <f>IF(F190="","",INDEX('状态价值'!$D2:$K2,MATCH(F190,'状态价值'!$D$1:$K$1,0)))</f>
        <v/>
      </c>
      <c r="H190" s="15">
        <f>NORM.S.INV(RAND())</f>
        <v/>
      </c>
      <c r="I190" s="15">
        <f>IF('组合输入'!$C3="","",'组合输入'!$H3*$B190+SQRT(1-'组合输入'!$H3^2)*H190)</f>
        <v/>
      </c>
      <c r="J190" s="7">
        <f>IF(I190="","",NORM.S.DIST(I190,TRUE))</f>
        <v/>
      </c>
      <c r="K190" s="13">
        <f>IF(J190="","",IF(J190&lt;='组合输入'!$K3,"AAA",IF(J190&lt;='组合输入'!$L3,"AA",IF(J190&lt;='组合输入'!$M3,"A",IF(J190&lt;='组合输入'!$N3,"BBB",IF(J190&lt;='组合输入'!$O3,"BB",IF(J190&lt;='组合输入'!$P3,"B",IF(J190&lt;='组合输入'!$Q3,"CCC","D")))))))</f>
        <v/>
      </c>
      <c r="L190" s="12">
        <f>IF(K190="","",INDEX('状态价值'!$D3:$K3,MATCH(K190,'状态价值'!$D$1:$K$1,0)))</f>
        <v/>
      </c>
      <c r="M190" s="15">
        <f>NORM.S.INV(RAND())</f>
        <v/>
      </c>
      <c r="N190" s="15">
        <f>IF('组合输入'!$C4="","",'组合输入'!$H4*$B190+SQRT(1-'组合输入'!$H4^2)*M190)</f>
        <v/>
      </c>
      <c r="O190" s="7">
        <f>IF(N190="","",NORM.S.DIST(N190,TRUE))</f>
        <v/>
      </c>
      <c r="P190" s="13">
        <f>IF(O190="","",IF(O190&lt;='组合输入'!$K4,"AAA",IF(O190&lt;='组合输入'!$L4,"AA",IF(O190&lt;='组合输入'!$M4,"A",IF(O190&lt;='组合输入'!$N4,"BBB",IF(O190&lt;='组合输入'!$O4,"BB",IF(O190&lt;='组合输入'!$P4,"B",IF(O190&lt;='组合输入'!$Q4,"CCC","D")))))))</f>
        <v/>
      </c>
      <c r="Q190" s="12">
        <f>IF(P190="","",INDEX('状态价值'!$D4:$K4,MATCH(P190,'状态价值'!$D$1:$K$1,0)))</f>
        <v/>
      </c>
      <c r="R190" s="15">
        <f>NORM.S.INV(RAND())</f>
        <v/>
      </c>
      <c r="S190" s="15">
        <f>IF('组合输入'!$C5="","",'组合输入'!$H5*$B190+SQRT(1-'组合输入'!$H5^2)*R190)</f>
        <v/>
      </c>
      <c r="T190" s="7">
        <f>IF(S190="","",NORM.S.DIST(S190,TRUE))</f>
        <v/>
      </c>
      <c r="U190" s="13">
        <f>IF(T190="","",IF(T190&lt;='组合输入'!$K5,"AAA",IF(T190&lt;='组合输入'!$L5,"AA",IF(T190&lt;='组合输入'!$M5,"A",IF(T190&lt;='组合输入'!$N5,"BBB",IF(T190&lt;='组合输入'!$O5,"BB",IF(T190&lt;='组合输入'!$P5,"B",IF(T190&lt;='组合输入'!$Q5,"CCC","D")))))))</f>
        <v/>
      </c>
      <c r="V190" s="12">
        <f>IF(U190="","",INDEX('状态价值'!$D5:$K5,MATCH(U190,'状态价值'!$D$1:$K$1,0)))</f>
        <v/>
      </c>
      <c r="W190" s="15">
        <f>NORM.S.INV(RAND())</f>
        <v/>
      </c>
      <c r="X190" s="15">
        <f>IF('组合输入'!$C6="","",'组合输入'!$H6*$B190+SQRT(1-'组合输入'!$H6^2)*W190)</f>
        <v/>
      </c>
      <c r="Y190" s="7">
        <f>IF(X190="","",NORM.S.DIST(X190,TRUE))</f>
        <v/>
      </c>
      <c r="Z190" s="13">
        <f>IF(Y190="","",IF(Y190&lt;='组合输入'!$K6,"AAA",IF(Y190&lt;='组合输入'!$L6,"AA",IF(Y190&lt;='组合输入'!$M6,"A",IF(Y190&lt;='组合输入'!$N6,"BBB",IF(Y190&lt;='组合输入'!$O6,"BB",IF(Y190&lt;='组合输入'!$P6,"B",IF(Y190&lt;='组合输入'!$Q6,"CCC","D")))))))</f>
        <v/>
      </c>
      <c r="AA190" s="12">
        <f>IF(Z190="","",INDEX('状态价值'!$D6:$K6,MATCH(Z190,'状态价值'!$D$1:$K$1,0)))</f>
        <v/>
      </c>
      <c r="AB190" s="15">
        <f>NORM.S.INV(RAND())</f>
        <v/>
      </c>
      <c r="AC190" s="15">
        <f>IF('组合输入'!$C7="","",'组合输入'!$H7*$B190+SQRT(1-'组合输入'!$H7^2)*AB190)</f>
        <v/>
      </c>
      <c r="AD190" s="7">
        <f>IF(AC190="","",NORM.S.DIST(AC190,TRUE))</f>
        <v/>
      </c>
      <c r="AE190" s="13">
        <f>IF(AD190="","",IF(AD190&lt;='组合输入'!$K7,"AAA",IF(AD190&lt;='组合输入'!$L7,"AA",IF(AD190&lt;='组合输入'!$M7,"A",IF(AD190&lt;='组合输入'!$N7,"BBB",IF(AD190&lt;='组合输入'!$O7,"BB",IF(AD190&lt;='组合输入'!$P7,"B",IF(AD190&lt;='组合输入'!$Q7,"CCC","D")))))))</f>
        <v/>
      </c>
      <c r="AF190" s="12">
        <f>IF(AE190="","",INDEX('状态价值'!$D7:$K7,MATCH(AE190,'状态价值'!$D$1:$K$1,0)))</f>
        <v/>
      </c>
      <c r="AG190" s="15">
        <f>NORM.S.INV(RAND())</f>
        <v/>
      </c>
      <c r="AH190" s="15">
        <f>IF('组合输入'!$C8="","",'组合输入'!$H8*$B190+SQRT(1-'组合输入'!$H8^2)*AG190)</f>
        <v/>
      </c>
      <c r="AI190" s="7">
        <f>IF(AH190="","",NORM.S.DIST(AH190,TRUE))</f>
        <v/>
      </c>
      <c r="AJ190" s="13">
        <f>IF(AI190="","",IF(AI190&lt;='组合输入'!$K8,"AAA",IF(AI190&lt;='组合输入'!$L8,"AA",IF(AI190&lt;='组合输入'!$M8,"A",IF(AI190&lt;='组合输入'!$N8,"BBB",IF(AI190&lt;='组合输入'!$O8,"BB",IF(AI190&lt;='组合输入'!$P8,"B",IF(AI190&lt;='组合输入'!$Q8,"CCC","D")))))))</f>
        <v/>
      </c>
      <c r="AK190" s="12">
        <f>IF(AJ190="","",INDEX('状态价值'!$D8:$K8,MATCH(AJ190,'状态价值'!$D$1:$K$1,0)))</f>
        <v/>
      </c>
      <c r="AL190" s="15">
        <f>NORM.S.INV(RAND())</f>
        <v/>
      </c>
      <c r="AM190" s="15">
        <f>IF('组合输入'!$C9="","",'组合输入'!$H9*$B190+SQRT(1-'组合输入'!$H9^2)*AL190)</f>
        <v/>
      </c>
      <c r="AN190" s="7">
        <f>IF(AM190="","",NORM.S.DIST(AM190,TRUE))</f>
        <v/>
      </c>
      <c r="AO190" s="13">
        <f>IF(AN190="","",IF(AN190&lt;='组合输入'!$K9,"AAA",IF(AN190&lt;='组合输入'!$L9,"AA",IF(AN190&lt;='组合输入'!$M9,"A",IF(AN190&lt;='组合输入'!$N9,"BBB",IF(AN190&lt;='组合输入'!$O9,"BB",IF(AN190&lt;='组合输入'!$P9,"B",IF(AN190&lt;='组合输入'!$Q9,"CCC","D")))))))</f>
        <v/>
      </c>
      <c r="AP190" s="12">
        <f>IF(AO190="","",INDEX('状态价值'!$D9:$K9,MATCH(AO190,'状态价值'!$D$1:$K$1,0)))</f>
        <v/>
      </c>
      <c r="AQ190" s="15">
        <f>NORM.S.INV(RAND())</f>
        <v/>
      </c>
      <c r="AR190" s="15">
        <f>IF('组合输入'!$C10="","",'组合输入'!$H10*$B190+SQRT(1-'组合输入'!$H10^2)*AQ190)</f>
        <v/>
      </c>
      <c r="AS190" s="7">
        <f>IF(AR190="","",NORM.S.DIST(AR190,TRUE))</f>
        <v/>
      </c>
      <c r="AT190" s="13">
        <f>IF(AS190="","",IF(AS190&lt;='组合输入'!$K10,"AAA",IF(AS190&lt;='组合输入'!$L10,"AA",IF(AS190&lt;='组合输入'!$M10,"A",IF(AS190&lt;='组合输入'!$N10,"BBB",IF(AS190&lt;='组合输入'!$O10,"BB",IF(AS190&lt;='组合输入'!$P10,"B",IF(AS190&lt;='组合输入'!$Q10,"CCC","D")))))))</f>
        <v/>
      </c>
      <c r="AU190" s="12">
        <f>IF(AT190="","",INDEX('状态价值'!$D10:$K10,MATCH(AT190,'状态价值'!$D$1:$K$1,0)))</f>
        <v/>
      </c>
      <c r="AV190" s="15">
        <f>NORM.S.INV(RAND())</f>
        <v/>
      </c>
      <c r="AW190" s="15">
        <f>IF('组合输入'!$C11="","",'组合输入'!$H11*$B190+SQRT(1-'组合输入'!$H11^2)*AV190)</f>
        <v/>
      </c>
      <c r="AX190" s="7">
        <f>IF(AW190="","",NORM.S.DIST(AW190,TRUE))</f>
        <v/>
      </c>
      <c r="AY190" s="13">
        <f>IF(AX190="","",IF(AX190&lt;='组合输入'!$K11,"AAA",IF(AX190&lt;='组合输入'!$L11,"AA",IF(AX190&lt;='组合输入'!$M11,"A",IF(AX190&lt;='组合输入'!$N11,"BBB",IF(AX190&lt;='组合输入'!$O11,"BB",IF(AX190&lt;='组合输入'!$P11,"B",IF(AX190&lt;='组合输入'!$Q11,"CCC","D")))))))</f>
        <v/>
      </c>
      <c r="AZ190" s="12">
        <f>IF(AY190="","",INDEX('状态价值'!$D11:$K11,MATCH(AY190,'状态价值'!$D$1:$K$1,0)))</f>
        <v/>
      </c>
      <c r="BA190" s="12">
        <f>G190+L190+Q190+V190+AA190+AF190+AK190+AP190+AU190+AZ190</f>
        <v/>
      </c>
      <c r="BB190" s="12">
        <f>SUM('组合输入'!$J$2:$J$11)-BA190</f>
        <v/>
      </c>
    </row>
    <row r="191">
      <c r="A191" s="11" t="n">
        <v>190</v>
      </c>
      <c r="B191" s="14">
        <f>NORM.S.INV(RAND())</f>
        <v/>
      </c>
      <c r="C191" s="14">
        <f>NORM.S.INV(RAND())</f>
        <v/>
      </c>
      <c r="D191" s="15">
        <f>IF('组合输入'!$C2="","",'组合输入'!$H2*$B191+SQRT(1-'组合输入'!$H2^2)*C191)</f>
        <v/>
      </c>
      <c r="E191" s="7">
        <f>IF(D191="","",NORM.S.DIST(D191,TRUE))</f>
        <v/>
      </c>
      <c r="F191" s="13">
        <f>IF(E191="","",IF(E191&lt;='组合输入'!$K2,"AAA",IF(E191&lt;='组合输入'!$L2,"AA",IF(E191&lt;='组合输入'!$M2,"A",IF(E191&lt;='组合输入'!$N2,"BBB",IF(E191&lt;='组合输入'!$O2,"BB",IF(E191&lt;='组合输入'!$P2,"B",IF(E191&lt;='组合输入'!$Q2,"CCC","D")))))))</f>
        <v/>
      </c>
      <c r="G191" s="12">
        <f>IF(F191="","",INDEX('状态价值'!$D2:$K2,MATCH(F191,'状态价值'!$D$1:$K$1,0)))</f>
        <v/>
      </c>
      <c r="H191" s="15">
        <f>NORM.S.INV(RAND())</f>
        <v/>
      </c>
      <c r="I191" s="15">
        <f>IF('组合输入'!$C3="","",'组合输入'!$H3*$B191+SQRT(1-'组合输入'!$H3^2)*H191)</f>
        <v/>
      </c>
      <c r="J191" s="7">
        <f>IF(I191="","",NORM.S.DIST(I191,TRUE))</f>
        <v/>
      </c>
      <c r="K191" s="13">
        <f>IF(J191="","",IF(J191&lt;='组合输入'!$K3,"AAA",IF(J191&lt;='组合输入'!$L3,"AA",IF(J191&lt;='组合输入'!$M3,"A",IF(J191&lt;='组合输入'!$N3,"BBB",IF(J191&lt;='组合输入'!$O3,"BB",IF(J191&lt;='组合输入'!$P3,"B",IF(J191&lt;='组合输入'!$Q3,"CCC","D")))))))</f>
        <v/>
      </c>
      <c r="L191" s="12">
        <f>IF(K191="","",INDEX('状态价值'!$D3:$K3,MATCH(K191,'状态价值'!$D$1:$K$1,0)))</f>
        <v/>
      </c>
      <c r="M191" s="15">
        <f>NORM.S.INV(RAND())</f>
        <v/>
      </c>
      <c r="N191" s="15">
        <f>IF('组合输入'!$C4="","",'组合输入'!$H4*$B191+SQRT(1-'组合输入'!$H4^2)*M191)</f>
        <v/>
      </c>
      <c r="O191" s="7">
        <f>IF(N191="","",NORM.S.DIST(N191,TRUE))</f>
        <v/>
      </c>
      <c r="P191" s="13">
        <f>IF(O191="","",IF(O191&lt;='组合输入'!$K4,"AAA",IF(O191&lt;='组合输入'!$L4,"AA",IF(O191&lt;='组合输入'!$M4,"A",IF(O191&lt;='组合输入'!$N4,"BBB",IF(O191&lt;='组合输入'!$O4,"BB",IF(O191&lt;='组合输入'!$P4,"B",IF(O191&lt;='组合输入'!$Q4,"CCC","D")))))))</f>
        <v/>
      </c>
      <c r="Q191" s="12">
        <f>IF(P191="","",INDEX('状态价值'!$D4:$K4,MATCH(P191,'状态价值'!$D$1:$K$1,0)))</f>
        <v/>
      </c>
      <c r="R191" s="15">
        <f>NORM.S.INV(RAND())</f>
        <v/>
      </c>
      <c r="S191" s="15">
        <f>IF('组合输入'!$C5="","",'组合输入'!$H5*$B191+SQRT(1-'组合输入'!$H5^2)*R191)</f>
        <v/>
      </c>
      <c r="T191" s="7">
        <f>IF(S191="","",NORM.S.DIST(S191,TRUE))</f>
        <v/>
      </c>
      <c r="U191" s="13">
        <f>IF(T191="","",IF(T191&lt;='组合输入'!$K5,"AAA",IF(T191&lt;='组合输入'!$L5,"AA",IF(T191&lt;='组合输入'!$M5,"A",IF(T191&lt;='组合输入'!$N5,"BBB",IF(T191&lt;='组合输入'!$O5,"BB",IF(T191&lt;='组合输入'!$P5,"B",IF(T191&lt;='组合输入'!$Q5,"CCC","D")))))))</f>
        <v/>
      </c>
      <c r="V191" s="12">
        <f>IF(U191="","",INDEX('状态价值'!$D5:$K5,MATCH(U191,'状态价值'!$D$1:$K$1,0)))</f>
        <v/>
      </c>
      <c r="W191" s="15">
        <f>NORM.S.INV(RAND())</f>
        <v/>
      </c>
      <c r="X191" s="15">
        <f>IF('组合输入'!$C6="","",'组合输入'!$H6*$B191+SQRT(1-'组合输入'!$H6^2)*W191)</f>
        <v/>
      </c>
      <c r="Y191" s="7">
        <f>IF(X191="","",NORM.S.DIST(X191,TRUE))</f>
        <v/>
      </c>
      <c r="Z191" s="13">
        <f>IF(Y191="","",IF(Y191&lt;='组合输入'!$K6,"AAA",IF(Y191&lt;='组合输入'!$L6,"AA",IF(Y191&lt;='组合输入'!$M6,"A",IF(Y191&lt;='组合输入'!$N6,"BBB",IF(Y191&lt;='组合输入'!$O6,"BB",IF(Y191&lt;='组合输入'!$P6,"B",IF(Y191&lt;='组合输入'!$Q6,"CCC","D")))))))</f>
        <v/>
      </c>
      <c r="AA191" s="12">
        <f>IF(Z191="","",INDEX('状态价值'!$D6:$K6,MATCH(Z191,'状态价值'!$D$1:$K$1,0)))</f>
        <v/>
      </c>
      <c r="AB191" s="15">
        <f>NORM.S.INV(RAND())</f>
        <v/>
      </c>
      <c r="AC191" s="15">
        <f>IF('组合输入'!$C7="","",'组合输入'!$H7*$B191+SQRT(1-'组合输入'!$H7^2)*AB191)</f>
        <v/>
      </c>
      <c r="AD191" s="7">
        <f>IF(AC191="","",NORM.S.DIST(AC191,TRUE))</f>
        <v/>
      </c>
      <c r="AE191" s="13">
        <f>IF(AD191="","",IF(AD191&lt;='组合输入'!$K7,"AAA",IF(AD191&lt;='组合输入'!$L7,"AA",IF(AD191&lt;='组合输入'!$M7,"A",IF(AD191&lt;='组合输入'!$N7,"BBB",IF(AD191&lt;='组合输入'!$O7,"BB",IF(AD191&lt;='组合输入'!$P7,"B",IF(AD191&lt;='组合输入'!$Q7,"CCC","D")))))))</f>
        <v/>
      </c>
      <c r="AF191" s="12">
        <f>IF(AE191="","",INDEX('状态价值'!$D7:$K7,MATCH(AE191,'状态价值'!$D$1:$K$1,0)))</f>
        <v/>
      </c>
      <c r="AG191" s="15">
        <f>NORM.S.INV(RAND())</f>
        <v/>
      </c>
      <c r="AH191" s="15">
        <f>IF('组合输入'!$C8="","",'组合输入'!$H8*$B191+SQRT(1-'组合输入'!$H8^2)*AG191)</f>
        <v/>
      </c>
      <c r="AI191" s="7">
        <f>IF(AH191="","",NORM.S.DIST(AH191,TRUE))</f>
        <v/>
      </c>
      <c r="AJ191" s="13">
        <f>IF(AI191="","",IF(AI191&lt;='组合输入'!$K8,"AAA",IF(AI191&lt;='组合输入'!$L8,"AA",IF(AI191&lt;='组合输入'!$M8,"A",IF(AI191&lt;='组合输入'!$N8,"BBB",IF(AI191&lt;='组合输入'!$O8,"BB",IF(AI191&lt;='组合输入'!$P8,"B",IF(AI191&lt;='组合输入'!$Q8,"CCC","D")))))))</f>
        <v/>
      </c>
      <c r="AK191" s="12">
        <f>IF(AJ191="","",INDEX('状态价值'!$D8:$K8,MATCH(AJ191,'状态价值'!$D$1:$K$1,0)))</f>
        <v/>
      </c>
      <c r="AL191" s="15">
        <f>NORM.S.INV(RAND())</f>
        <v/>
      </c>
      <c r="AM191" s="15">
        <f>IF('组合输入'!$C9="","",'组合输入'!$H9*$B191+SQRT(1-'组合输入'!$H9^2)*AL191)</f>
        <v/>
      </c>
      <c r="AN191" s="7">
        <f>IF(AM191="","",NORM.S.DIST(AM191,TRUE))</f>
        <v/>
      </c>
      <c r="AO191" s="13">
        <f>IF(AN191="","",IF(AN191&lt;='组合输入'!$K9,"AAA",IF(AN191&lt;='组合输入'!$L9,"AA",IF(AN191&lt;='组合输入'!$M9,"A",IF(AN191&lt;='组合输入'!$N9,"BBB",IF(AN191&lt;='组合输入'!$O9,"BB",IF(AN191&lt;='组合输入'!$P9,"B",IF(AN191&lt;='组合输入'!$Q9,"CCC","D")))))))</f>
        <v/>
      </c>
      <c r="AP191" s="12">
        <f>IF(AO191="","",INDEX('状态价值'!$D9:$K9,MATCH(AO191,'状态价值'!$D$1:$K$1,0)))</f>
        <v/>
      </c>
      <c r="AQ191" s="15">
        <f>NORM.S.INV(RAND())</f>
        <v/>
      </c>
      <c r="AR191" s="15">
        <f>IF('组合输入'!$C10="","",'组合输入'!$H10*$B191+SQRT(1-'组合输入'!$H10^2)*AQ191)</f>
        <v/>
      </c>
      <c r="AS191" s="7">
        <f>IF(AR191="","",NORM.S.DIST(AR191,TRUE))</f>
        <v/>
      </c>
      <c r="AT191" s="13">
        <f>IF(AS191="","",IF(AS191&lt;='组合输入'!$K10,"AAA",IF(AS191&lt;='组合输入'!$L10,"AA",IF(AS191&lt;='组合输入'!$M10,"A",IF(AS191&lt;='组合输入'!$N10,"BBB",IF(AS191&lt;='组合输入'!$O10,"BB",IF(AS191&lt;='组合输入'!$P10,"B",IF(AS191&lt;='组合输入'!$Q10,"CCC","D")))))))</f>
        <v/>
      </c>
      <c r="AU191" s="12">
        <f>IF(AT191="","",INDEX('状态价值'!$D10:$K10,MATCH(AT191,'状态价值'!$D$1:$K$1,0)))</f>
        <v/>
      </c>
      <c r="AV191" s="15">
        <f>NORM.S.INV(RAND())</f>
        <v/>
      </c>
      <c r="AW191" s="15">
        <f>IF('组合输入'!$C11="","",'组合输入'!$H11*$B191+SQRT(1-'组合输入'!$H11^2)*AV191)</f>
        <v/>
      </c>
      <c r="AX191" s="7">
        <f>IF(AW191="","",NORM.S.DIST(AW191,TRUE))</f>
        <v/>
      </c>
      <c r="AY191" s="13">
        <f>IF(AX191="","",IF(AX191&lt;='组合输入'!$K11,"AAA",IF(AX191&lt;='组合输入'!$L11,"AA",IF(AX191&lt;='组合输入'!$M11,"A",IF(AX191&lt;='组合输入'!$N11,"BBB",IF(AX191&lt;='组合输入'!$O11,"BB",IF(AX191&lt;='组合输入'!$P11,"B",IF(AX191&lt;='组合输入'!$Q11,"CCC","D")))))))</f>
        <v/>
      </c>
      <c r="AZ191" s="12">
        <f>IF(AY191="","",INDEX('状态价值'!$D11:$K11,MATCH(AY191,'状态价值'!$D$1:$K$1,0)))</f>
        <v/>
      </c>
      <c r="BA191" s="12">
        <f>G191+L191+Q191+V191+AA191+AF191+AK191+AP191+AU191+AZ191</f>
        <v/>
      </c>
      <c r="BB191" s="12">
        <f>SUM('组合输入'!$J$2:$J$11)-BA191</f>
        <v/>
      </c>
    </row>
    <row r="192">
      <c r="A192" s="11" t="n">
        <v>191</v>
      </c>
      <c r="B192" s="14">
        <f>NORM.S.INV(RAND())</f>
        <v/>
      </c>
      <c r="C192" s="14">
        <f>NORM.S.INV(RAND())</f>
        <v/>
      </c>
      <c r="D192" s="15">
        <f>IF('组合输入'!$C2="","",'组合输入'!$H2*$B192+SQRT(1-'组合输入'!$H2^2)*C192)</f>
        <v/>
      </c>
      <c r="E192" s="7">
        <f>IF(D192="","",NORM.S.DIST(D192,TRUE))</f>
        <v/>
      </c>
      <c r="F192" s="13">
        <f>IF(E192="","",IF(E192&lt;='组合输入'!$K2,"AAA",IF(E192&lt;='组合输入'!$L2,"AA",IF(E192&lt;='组合输入'!$M2,"A",IF(E192&lt;='组合输入'!$N2,"BBB",IF(E192&lt;='组合输入'!$O2,"BB",IF(E192&lt;='组合输入'!$P2,"B",IF(E192&lt;='组合输入'!$Q2,"CCC","D")))))))</f>
        <v/>
      </c>
      <c r="G192" s="12">
        <f>IF(F192="","",INDEX('状态价值'!$D2:$K2,MATCH(F192,'状态价值'!$D$1:$K$1,0)))</f>
        <v/>
      </c>
      <c r="H192" s="15">
        <f>NORM.S.INV(RAND())</f>
        <v/>
      </c>
      <c r="I192" s="15">
        <f>IF('组合输入'!$C3="","",'组合输入'!$H3*$B192+SQRT(1-'组合输入'!$H3^2)*H192)</f>
        <v/>
      </c>
      <c r="J192" s="7">
        <f>IF(I192="","",NORM.S.DIST(I192,TRUE))</f>
        <v/>
      </c>
      <c r="K192" s="13">
        <f>IF(J192="","",IF(J192&lt;='组合输入'!$K3,"AAA",IF(J192&lt;='组合输入'!$L3,"AA",IF(J192&lt;='组合输入'!$M3,"A",IF(J192&lt;='组合输入'!$N3,"BBB",IF(J192&lt;='组合输入'!$O3,"BB",IF(J192&lt;='组合输入'!$P3,"B",IF(J192&lt;='组合输入'!$Q3,"CCC","D")))))))</f>
        <v/>
      </c>
      <c r="L192" s="12">
        <f>IF(K192="","",INDEX('状态价值'!$D3:$K3,MATCH(K192,'状态价值'!$D$1:$K$1,0)))</f>
        <v/>
      </c>
      <c r="M192" s="15">
        <f>NORM.S.INV(RAND())</f>
        <v/>
      </c>
      <c r="N192" s="15">
        <f>IF('组合输入'!$C4="","",'组合输入'!$H4*$B192+SQRT(1-'组合输入'!$H4^2)*M192)</f>
        <v/>
      </c>
      <c r="O192" s="7">
        <f>IF(N192="","",NORM.S.DIST(N192,TRUE))</f>
        <v/>
      </c>
      <c r="P192" s="13">
        <f>IF(O192="","",IF(O192&lt;='组合输入'!$K4,"AAA",IF(O192&lt;='组合输入'!$L4,"AA",IF(O192&lt;='组合输入'!$M4,"A",IF(O192&lt;='组合输入'!$N4,"BBB",IF(O192&lt;='组合输入'!$O4,"BB",IF(O192&lt;='组合输入'!$P4,"B",IF(O192&lt;='组合输入'!$Q4,"CCC","D")))))))</f>
        <v/>
      </c>
      <c r="Q192" s="12">
        <f>IF(P192="","",INDEX('状态价值'!$D4:$K4,MATCH(P192,'状态价值'!$D$1:$K$1,0)))</f>
        <v/>
      </c>
      <c r="R192" s="15">
        <f>NORM.S.INV(RAND())</f>
        <v/>
      </c>
      <c r="S192" s="15">
        <f>IF('组合输入'!$C5="","",'组合输入'!$H5*$B192+SQRT(1-'组合输入'!$H5^2)*R192)</f>
        <v/>
      </c>
      <c r="T192" s="7">
        <f>IF(S192="","",NORM.S.DIST(S192,TRUE))</f>
        <v/>
      </c>
      <c r="U192" s="13">
        <f>IF(T192="","",IF(T192&lt;='组合输入'!$K5,"AAA",IF(T192&lt;='组合输入'!$L5,"AA",IF(T192&lt;='组合输入'!$M5,"A",IF(T192&lt;='组合输入'!$N5,"BBB",IF(T192&lt;='组合输入'!$O5,"BB",IF(T192&lt;='组合输入'!$P5,"B",IF(T192&lt;='组合输入'!$Q5,"CCC","D")))))))</f>
        <v/>
      </c>
      <c r="V192" s="12">
        <f>IF(U192="","",INDEX('状态价值'!$D5:$K5,MATCH(U192,'状态价值'!$D$1:$K$1,0)))</f>
        <v/>
      </c>
      <c r="W192" s="15">
        <f>NORM.S.INV(RAND())</f>
        <v/>
      </c>
      <c r="X192" s="15">
        <f>IF('组合输入'!$C6="","",'组合输入'!$H6*$B192+SQRT(1-'组合输入'!$H6^2)*W192)</f>
        <v/>
      </c>
      <c r="Y192" s="7">
        <f>IF(X192="","",NORM.S.DIST(X192,TRUE))</f>
        <v/>
      </c>
      <c r="Z192" s="13">
        <f>IF(Y192="","",IF(Y192&lt;='组合输入'!$K6,"AAA",IF(Y192&lt;='组合输入'!$L6,"AA",IF(Y192&lt;='组合输入'!$M6,"A",IF(Y192&lt;='组合输入'!$N6,"BBB",IF(Y192&lt;='组合输入'!$O6,"BB",IF(Y192&lt;='组合输入'!$P6,"B",IF(Y192&lt;='组合输入'!$Q6,"CCC","D")))))))</f>
        <v/>
      </c>
      <c r="AA192" s="12">
        <f>IF(Z192="","",INDEX('状态价值'!$D6:$K6,MATCH(Z192,'状态价值'!$D$1:$K$1,0)))</f>
        <v/>
      </c>
      <c r="AB192" s="15">
        <f>NORM.S.INV(RAND())</f>
        <v/>
      </c>
      <c r="AC192" s="15">
        <f>IF('组合输入'!$C7="","",'组合输入'!$H7*$B192+SQRT(1-'组合输入'!$H7^2)*AB192)</f>
        <v/>
      </c>
      <c r="AD192" s="7">
        <f>IF(AC192="","",NORM.S.DIST(AC192,TRUE))</f>
        <v/>
      </c>
      <c r="AE192" s="13">
        <f>IF(AD192="","",IF(AD192&lt;='组合输入'!$K7,"AAA",IF(AD192&lt;='组合输入'!$L7,"AA",IF(AD192&lt;='组合输入'!$M7,"A",IF(AD192&lt;='组合输入'!$N7,"BBB",IF(AD192&lt;='组合输入'!$O7,"BB",IF(AD192&lt;='组合输入'!$P7,"B",IF(AD192&lt;='组合输入'!$Q7,"CCC","D")))))))</f>
        <v/>
      </c>
      <c r="AF192" s="12">
        <f>IF(AE192="","",INDEX('状态价值'!$D7:$K7,MATCH(AE192,'状态价值'!$D$1:$K$1,0)))</f>
        <v/>
      </c>
      <c r="AG192" s="15">
        <f>NORM.S.INV(RAND())</f>
        <v/>
      </c>
      <c r="AH192" s="15">
        <f>IF('组合输入'!$C8="","",'组合输入'!$H8*$B192+SQRT(1-'组合输入'!$H8^2)*AG192)</f>
        <v/>
      </c>
      <c r="AI192" s="7">
        <f>IF(AH192="","",NORM.S.DIST(AH192,TRUE))</f>
        <v/>
      </c>
      <c r="AJ192" s="13">
        <f>IF(AI192="","",IF(AI192&lt;='组合输入'!$K8,"AAA",IF(AI192&lt;='组合输入'!$L8,"AA",IF(AI192&lt;='组合输入'!$M8,"A",IF(AI192&lt;='组合输入'!$N8,"BBB",IF(AI192&lt;='组合输入'!$O8,"BB",IF(AI192&lt;='组合输入'!$P8,"B",IF(AI192&lt;='组合输入'!$Q8,"CCC","D")))))))</f>
        <v/>
      </c>
      <c r="AK192" s="12">
        <f>IF(AJ192="","",INDEX('状态价值'!$D8:$K8,MATCH(AJ192,'状态价值'!$D$1:$K$1,0)))</f>
        <v/>
      </c>
      <c r="AL192" s="15">
        <f>NORM.S.INV(RAND())</f>
        <v/>
      </c>
      <c r="AM192" s="15">
        <f>IF('组合输入'!$C9="","",'组合输入'!$H9*$B192+SQRT(1-'组合输入'!$H9^2)*AL192)</f>
        <v/>
      </c>
      <c r="AN192" s="7">
        <f>IF(AM192="","",NORM.S.DIST(AM192,TRUE))</f>
        <v/>
      </c>
      <c r="AO192" s="13">
        <f>IF(AN192="","",IF(AN192&lt;='组合输入'!$K9,"AAA",IF(AN192&lt;='组合输入'!$L9,"AA",IF(AN192&lt;='组合输入'!$M9,"A",IF(AN192&lt;='组合输入'!$N9,"BBB",IF(AN192&lt;='组合输入'!$O9,"BB",IF(AN192&lt;='组合输入'!$P9,"B",IF(AN192&lt;='组合输入'!$Q9,"CCC","D")))))))</f>
        <v/>
      </c>
      <c r="AP192" s="12">
        <f>IF(AO192="","",INDEX('状态价值'!$D9:$K9,MATCH(AO192,'状态价值'!$D$1:$K$1,0)))</f>
        <v/>
      </c>
      <c r="AQ192" s="15">
        <f>NORM.S.INV(RAND())</f>
        <v/>
      </c>
      <c r="AR192" s="15">
        <f>IF('组合输入'!$C10="","",'组合输入'!$H10*$B192+SQRT(1-'组合输入'!$H10^2)*AQ192)</f>
        <v/>
      </c>
      <c r="AS192" s="7">
        <f>IF(AR192="","",NORM.S.DIST(AR192,TRUE))</f>
        <v/>
      </c>
      <c r="AT192" s="13">
        <f>IF(AS192="","",IF(AS192&lt;='组合输入'!$K10,"AAA",IF(AS192&lt;='组合输入'!$L10,"AA",IF(AS192&lt;='组合输入'!$M10,"A",IF(AS192&lt;='组合输入'!$N10,"BBB",IF(AS192&lt;='组合输入'!$O10,"BB",IF(AS192&lt;='组合输入'!$P10,"B",IF(AS192&lt;='组合输入'!$Q10,"CCC","D")))))))</f>
        <v/>
      </c>
      <c r="AU192" s="12">
        <f>IF(AT192="","",INDEX('状态价值'!$D10:$K10,MATCH(AT192,'状态价值'!$D$1:$K$1,0)))</f>
        <v/>
      </c>
      <c r="AV192" s="15">
        <f>NORM.S.INV(RAND())</f>
        <v/>
      </c>
      <c r="AW192" s="15">
        <f>IF('组合输入'!$C11="","",'组合输入'!$H11*$B192+SQRT(1-'组合输入'!$H11^2)*AV192)</f>
        <v/>
      </c>
      <c r="AX192" s="7">
        <f>IF(AW192="","",NORM.S.DIST(AW192,TRUE))</f>
        <v/>
      </c>
      <c r="AY192" s="13">
        <f>IF(AX192="","",IF(AX192&lt;='组合输入'!$K11,"AAA",IF(AX192&lt;='组合输入'!$L11,"AA",IF(AX192&lt;='组合输入'!$M11,"A",IF(AX192&lt;='组合输入'!$N11,"BBB",IF(AX192&lt;='组合输入'!$O11,"BB",IF(AX192&lt;='组合输入'!$P11,"B",IF(AX192&lt;='组合输入'!$Q11,"CCC","D")))))))</f>
        <v/>
      </c>
      <c r="AZ192" s="12">
        <f>IF(AY192="","",INDEX('状态价值'!$D11:$K11,MATCH(AY192,'状态价值'!$D$1:$K$1,0)))</f>
        <v/>
      </c>
      <c r="BA192" s="12">
        <f>G192+L192+Q192+V192+AA192+AF192+AK192+AP192+AU192+AZ192</f>
        <v/>
      </c>
      <c r="BB192" s="12">
        <f>SUM('组合输入'!$J$2:$J$11)-BA192</f>
        <v/>
      </c>
    </row>
    <row r="193">
      <c r="A193" s="11" t="n">
        <v>192</v>
      </c>
      <c r="B193" s="14">
        <f>NORM.S.INV(RAND())</f>
        <v/>
      </c>
      <c r="C193" s="14">
        <f>NORM.S.INV(RAND())</f>
        <v/>
      </c>
      <c r="D193" s="15">
        <f>IF('组合输入'!$C2="","",'组合输入'!$H2*$B193+SQRT(1-'组合输入'!$H2^2)*C193)</f>
        <v/>
      </c>
      <c r="E193" s="7">
        <f>IF(D193="","",NORM.S.DIST(D193,TRUE))</f>
        <v/>
      </c>
      <c r="F193" s="13">
        <f>IF(E193="","",IF(E193&lt;='组合输入'!$K2,"AAA",IF(E193&lt;='组合输入'!$L2,"AA",IF(E193&lt;='组合输入'!$M2,"A",IF(E193&lt;='组合输入'!$N2,"BBB",IF(E193&lt;='组合输入'!$O2,"BB",IF(E193&lt;='组合输入'!$P2,"B",IF(E193&lt;='组合输入'!$Q2,"CCC","D")))))))</f>
        <v/>
      </c>
      <c r="G193" s="12">
        <f>IF(F193="","",INDEX('状态价值'!$D2:$K2,MATCH(F193,'状态价值'!$D$1:$K$1,0)))</f>
        <v/>
      </c>
      <c r="H193" s="15">
        <f>NORM.S.INV(RAND())</f>
        <v/>
      </c>
      <c r="I193" s="15">
        <f>IF('组合输入'!$C3="","",'组合输入'!$H3*$B193+SQRT(1-'组合输入'!$H3^2)*H193)</f>
        <v/>
      </c>
      <c r="J193" s="7">
        <f>IF(I193="","",NORM.S.DIST(I193,TRUE))</f>
        <v/>
      </c>
      <c r="K193" s="13">
        <f>IF(J193="","",IF(J193&lt;='组合输入'!$K3,"AAA",IF(J193&lt;='组合输入'!$L3,"AA",IF(J193&lt;='组合输入'!$M3,"A",IF(J193&lt;='组合输入'!$N3,"BBB",IF(J193&lt;='组合输入'!$O3,"BB",IF(J193&lt;='组合输入'!$P3,"B",IF(J193&lt;='组合输入'!$Q3,"CCC","D")))))))</f>
        <v/>
      </c>
      <c r="L193" s="12">
        <f>IF(K193="","",INDEX('状态价值'!$D3:$K3,MATCH(K193,'状态价值'!$D$1:$K$1,0)))</f>
        <v/>
      </c>
      <c r="M193" s="15">
        <f>NORM.S.INV(RAND())</f>
        <v/>
      </c>
      <c r="N193" s="15">
        <f>IF('组合输入'!$C4="","",'组合输入'!$H4*$B193+SQRT(1-'组合输入'!$H4^2)*M193)</f>
        <v/>
      </c>
      <c r="O193" s="7">
        <f>IF(N193="","",NORM.S.DIST(N193,TRUE))</f>
        <v/>
      </c>
      <c r="P193" s="13">
        <f>IF(O193="","",IF(O193&lt;='组合输入'!$K4,"AAA",IF(O193&lt;='组合输入'!$L4,"AA",IF(O193&lt;='组合输入'!$M4,"A",IF(O193&lt;='组合输入'!$N4,"BBB",IF(O193&lt;='组合输入'!$O4,"BB",IF(O193&lt;='组合输入'!$P4,"B",IF(O193&lt;='组合输入'!$Q4,"CCC","D")))))))</f>
        <v/>
      </c>
      <c r="Q193" s="12">
        <f>IF(P193="","",INDEX('状态价值'!$D4:$K4,MATCH(P193,'状态价值'!$D$1:$K$1,0)))</f>
        <v/>
      </c>
      <c r="R193" s="15">
        <f>NORM.S.INV(RAND())</f>
        <v/>
      </c>
      <c r="S193" s="15">
        <f>IF('组合输入'!$C5="","",'组合输入'!$H5*$B193+SQRT(1-'组合输入'!$H5^2)*R193)</f>
        <v/>
      </c>
      <c r="T193" s="7">
        <f>IF(S193="","",NORM.S.DIST(S193,TRUE))</f>
        <v/>
      </c>
      <c r="U193" s="13">
        <f>IF(T193="","",IF(T193&lt;='组合输入'!$K5,"AAA",IF(T193&lt;='组合输入'!$L5,"AA",IF(T193&lt;='组合输入'!$M5,"A",IF(T193&lt;='组合输入'!$N5,"BBB",IF(T193&lt;='组合输入'!$O5,"BB",IF(T193&lt;='组合输入'!$P5,"B",IF(T193&lt;='组合输入'!$Q5,"CCC","D")))))))</f>
        <v/>
      </c>
      <c r="V193" s="12">
        <f>IF(U193="","",INDEX('状态价值'!$D5:$K5,MATCH(U193,'状态价值'!$D$1:$K$1,0)))</f>
        <v/>
      </c>
      <c r="W193" s="15">
        <f>NORM.S.INV(RAND())</f>
        <v/>
      </c>
      <c r="X193" s="15">
        <f>IF('组合输入'!$C6="","",'组合输入'!$H6*$B193+SQRT(1-'组合输入'!$H6^2)*W193)</f>
        <v/>
      </c>
      <c r="Y193" s="7">
        <f>IF(X193="","",NORM.S.DIST(X193,TRUE))</f>
        <v/>
      </c>
      <c r="Z193" s="13">
        <f>IF(Y193="","",IF(Y193&lt;='组合输入'!$K6,"AAA",IF(Y193&lt;='组合输入'!$L6,"AA",IF(Y193&lt;='组合输入'!$M6,"A",IF(Y193&lt;='组合输入'!$N6,"BBB",IF(Y193&lt;='组合输入'!$O6,"BB",IF(Y193&lt;='组合输入'!$P6,"B",IF(Y193&lt;='组合输入'!$Q6,"CCC","D")))))))</f>
        <v/>
      </c>
      <c r="AA193" s="12">
        <f>IF(Z193="","",INDEX('状态价值'!$D6:$K6,MATCH(Z193,'状态价值'!$D$1:$K$1,0)))</f>
        <v/>
      </c>
      <c r="AB193" s="15">
        <f>NORM.S.INV(RAND())</f>
        <v/>
      </c>
      <c r="AC193" s="15">
        <f>IF('组合输入'!$C7="","",'组合输入'!$H7*$B193+SQRT(1-'组合输入'!$H7^2)*AB193)</f>
        <v/>
      </c>
      <c r="AD193" s="7">
        <f>IF(AC193="","",NORM.S.DIST(AC193,TRUE))</f>
        <v/>
      </c>
      <c r="AE193" s="13">
        <f>IF(AD193="","",IF(AD193&lt;='组合输入'!$K7,"AAA",IF(AD193&lt;='组合输入'!$L7,"AA",IF(AD193&lt;='组合输入'!$M7,"A",IF(AD193&lt;='组合输入'!$N7,"BBB",IF(AD193&lt;='组合输入'!$O7,"BB",IF(AD193&lt;='组合输入'!$P7,"B",IF(AD193&lt;='组合输入'!$Q7,"CCC","D")))))))</f>
        <v/>
      </c>
      <c r="AF193" s="12">
        <f>IF(AE193="","",INDEX('状态价值'!$D7:$K7,MATCH(AE193,'状态价值'!$D$1:$K$1,0)))</f>
        <v/>
      </c>
      <c r="AG193" s="15">
        <f>NORM.S.INV(RAND())</f>
        <v/>
      </c>
      <c r="AH193" s="15">
        <f>IF('组合输入'!$C8="","",'组合输入'!$H8*$B193+SQRT(1-'组合输入'!$H8^2)*AG193)</f>
        <v/>
      </c>
      <c r="AI193" s="7">
        <f>IF(AH193="","",NORM.S.DIST(AH193,TRUE))</f>
        <v/>
      </c>
      <c r="AJ193" s="13">
        <f>IF(AI193="","",IF(AI193&lt;='组合输入'!$K8,"AAA",IF(AI193&lt;='组合输入'!$L8,"AA",IF(AI193&lt;='组合输入'!$M8,"A",IF(AI193&lt;='组合输入'!$N8,"BBB",IF(AI193&lt;='组合输入'!$O8,"BB",IF(AI193&lt;='组合输入'!$P8,"B",IF(AI193&lt;='组合输入'!$Q8,"CCC","D")))))))</f>
        <v/>
      </c>
      <c r="AK193" s="12">
        <f>IF(AJ193="","",INDEX('状态价值'!$D8:$K8,MATCH(AJ193,'状态价值'!$D$1:$K$1,0)))</f>
        <v/>
      </c>
      <c r="AL193" s="15">
        <f>NORM.S.INV(RAND())</f>
        <v/>
      </c>
      <c r="AM193" s="15">
        <f>IF('组合输入'!$C9="","",'组合输入'!$H9*$B193+SQRT(1-'组合输入'!$H9^2)*AL193)</f>
        <v/>
      </c>
      <c r="AN193" s="7">
        <f>IF(AM193="","",NORM.S.DIST(AM193,TRUE))</f>
        <v/>
      </c>
      <c r="AO193" s="13">
        <f>IF(AN193="","",IF(AN193&lt;='组合输入'!$K9,"AAA",IF(AN193&lt;='组合输入'!$L9,"AA",IF(AN193&lt;='组合输入'!$M9,"A",IF(AN193&lt;='组合输入'!$N9,"BBB",IF(AN193&lt;='组合输入'!$O9,"BB",IF(AN193&lt;='组合输入'!$P9,"B",IF(AN193&lt;='组合输入'!$Q9,"CCC","D")))))))</f>
        <v/>
      </c>
      <c r="AP193" s="12">
        <f>IF(AO193="","",INDEX('状态价值'!$D9:$K9,MATCH(AO193,'状态价值'!$D$1:$K$1,0)))</f>
        <v/>
      </c>
      <c r="AQ193" s="15">
        <f>NORM.S.INV(RAND())</f>
        <v/>
      </c>
      <c r="AR193" s="15">
        <f>IF('组合输入'!$C10="","",'组合输入'!$H10*$B193+SQRT(1-'组合输入'!$H10^2)*AQ193)</f>
        <v/>
      </c>
      <c r="AS193" s="7">
        <f>IF(AR193="","",NORM.S.DIST(AR193,TRUE))</f>
        <v/>
      </c>
      <c r="AT193" s="13">
        <f>IF(AS193="","",IF(AS193&lt;='组合输入'!$K10,"AAA",IF(AS193&lt;='组合输入'!$L10,"AA",IF(AS193&lt;='组合输入'!$M10,"A",IF(AS193&lt;='组合输入'!$N10,"BBB",IF(AS193&lt;='组合输入'!$O10,"BB",IF(AS193&lt;='组合输入'!$P10,"B",IF(AS193&lt;='组合输入'!$Q10,"CCC","D")))))))</f>
        <v/>
      </c>
      <c r="AU193" s="12">
        <f>IF(AT193="","",INDEX('状态价值'!$D10:$K10,MATCH(AT193,'状态价值'!$D$1:$K$1,0)))</f>
        <v/>
      </c>
      <c r="AV193" s="15">
        <f>NORM.S.INV(RAND())</f>
        <v/>
      </c>
      <c r="AW193" s="15">
        <f>IF('组合输入'!$C11="","",'组合输入'!$H11*$B193+SQRT(1-'组合输入'!$H11^2)*AV193)</f>
        <v/>
      </c>
      <c r="AX193" s="7">
        <f>IF(AW193="","",NORM.S.DIST(AW193,TRUE))</f>
        <v/>
      </c>
      <c r="AY193" s="13">
        <f>IF(AX193="","",IF(AX193&lt;='组合输入'!$K11,"AAA",IF(AX193&lt;='组合输入'!$L11,"AA",IF(AX193&lt;='组合输入'!$M11,"A",IF(AX193&lt;='组合输入'!$N11,"BBB",IF(AX193&lt;='组合输入'!$O11,"BB",IF(AX193&lt;='组合输入'!$P11,"B",IF(AX193&lt;='组合输入'!$Q11,"CCC","D")))))))</f>
        <v/>
      </c>
      <c r="AZ193" s="12">
        <f>IF(AY193="","",INDEX('状态价值'!$D11:$K11,MATCH(AY193,'状态价值'!$D$1:$K$1,0)))</f>
        <v/>
      </c>
      <c r="BA193" s="12">
        <f>G193+L193+Q193+V193+AA193+AF193+AK193+AP193+AU193+AZ193</f>
        <v/>
      </c>
      <c r="BB193" s="12">
        <f>SUM('组合输入'!$J$2:$J$11)-BA193</f>
        <v/>
      </c>
    </row>
    <row r="194">
      <c r="A194" s="11" t="n">
        <v>193</v>
      </c>
      <c r="B194" s="14">
        <f>NORM.S.INV(RAND())</f>
        <v/>
      </c>
      <c r="C194" s="14">
        <f>NORM.S.INV(RAND())</f>
        <v/>
      </c>
      <c r="D194" s="15">
        <f>IF('组合输入'!$C2="","",'组合输入'!$H2*$B194+SQRT(1-'组合输入'!$H2^2)*C194)</f>
        <v/>
      </c>
      <c r="E194" s="7">
        <f>IF(D194="","",NORM.S.DIST(D194,TRUE))</f>
        <v/>
      </c>
      <c r="F194" s="13">
        <f>IF(E194="","",IF(E194&lt;='组合输入'!$K2,"AAA",IF(E194&lt;='组合输入'!$L2,"AA",IF(E194&lt;='组合输入'!$M2,"A",IF(E194&lt;='组合输入'!$N2,"BBB",IF(E194&lt;='组合输入'!$O2,"BB",IF(E194&lt;='组合输入'!$P2,"B",IF(E194&lt;='组合输入'!$Q2,"CCC","D")))))))</f>
        <v/>
      </c>
      <c r="G194" s="12">
        <f>IF(F194="","",INDEX('状态价值'!$D2:$K2,MATCH(F194,'状态价值'!$D$1:$K$1,0)))</f>
        <v/>
      </c>
      <c r="H194" s="15">
        <f>NORM.S.INV(RAND())</f>
        <v/>
      </c>
      <c r="I194" s="15">
        <f>IF('组合输入'!$C3="","",'组合输入'!$H3*$B194+SQRT(1-'组合输入'!$H3^2)*H194)</f>
        <v/>
      </c>
      <c r="J194" s="7">
        <f>IF(I194="","",NORM.S.DIST(I194,TRUE))</f>
        <v/>
      </c>
      <c r="K194" s="13">
        <f>IF(J194="","",IF(J194&lt;='组合输入'!$K3,"AAA",IF(J194&lt;='组合输入'!$L3,"AA",IF(J194&lt;='组合输入'!$M3,"A",IF(J194&lt;='组合输入'!$N3,"BBB",IF(J194&lt;='组合输入'!$O3,"BB",IF(J194&lt;='组合输入'!$P3,"B",IF(J194&lt;='组合输入'!$Q3,"CCC","D")))))))</f>
        <v/>
      </c>
      <c r="L194" s="12">
        <f>IF(K194="","",INDEX('状态价值'!$D3:$K3,MATCH(K194,'状态价值'!$D$1:$K$1,0)))</f>
        <v/>
      </c>
      <c r="M194" s="15">
        <f>NORM.S.INV(RAND())</f>
        <v/>
      </c>
      <c r="N194" s="15">
        <f>IF('组合输入'!$C4="","",'组合输入'!$H4*$B194+SQRT(1-'组合输入'!$H4^2)*M194)</f>
        <v/>
      </c>
      <c r="O194" s="7">
        <f>IF(N194="","",NORM.S.DIST(N194,TRUE))</f>
        <v/>
      </c>
      <c r="P194" s="13">
        <f>IF(O194="","",IF(O194&lt;='组合输入'!$K4,"AAA",IF(O194&lt;='组合输入'!$L4,"AA",IF(O194&lt;='组合输入'!$M4,"A",IF(O194&lt;='组合输入'!$N4,"BBB",IF(O194&lt;='组合输入'!$O4,"BB",IF(O194&lt;='组合输入'!$P4,"B",IF(O194&lt;='组合输入'!$Q4,"CCC","D")))))))</f>
        <v/>
      </c>
      <c r="Q194" s="12">
        <f>IF(P194="","",INDEX('状态价值'!$D4:$K4,MATCH(P194,'状态价值'!$D$1:$K$1,0)))</f>
        <v/>
      </c>
      <c r="R194" s="15">
        <f>NORM.S.INV(RAND())</f>
        <v/>
      </c>
      <c r="S194" s="15">
        <f>IF('组合输入'!$C5="","",'组合输入'!$H5*$B194+SQRT(1-'组合输入'!$H5^2)*R194)</f>
        <v/>
      </c>
      <c r="T194" s="7">
        <f>IF(S194="","",NORM.S.DIST(S194,TRUE))</f>
        <v/>
      </c>
      <c r="U194" s="13">
        <f>IF(T194="","",IF(T194&lt;='组合输入'!$K5,"AAA",IF(T194&lt;='组合输入'!$L5,"AA",IF(T194&lt;='组合输入'!$M5,"A",IF(T194&lt;='组合输入'!$N5,"BBB",IF(T194&lt;='组合输入'!$O5,"BB",IF(T194&lt;='组合输入'!$P5,"B",IF(T194&lt;='组合输入'!$Q5,"CCC","D")))))))</f>
        <v/>
      </c>
      <c r="V194" s="12">
        <f>IF(U194="","",INDEX('状态价值'!$D5:$K5,MATCH(U194,'状态价值'!$D$1:$K$1,0)))</f>
        <v/>
      </c>
      <c r="W194" s="15">
        <f>NORM.S.INV(RAND())</f>
        <v/>
      </c>
      <c r="X194" s="15">
        <f>IF('组合输入'!$C6="","",'组合输入'!$H6*$B194+SQRT(1-'组合输入'!$H6^2)*W194)</f>
        <v/>
      </c>
      <c r="Y194" s="7">
        <f>IF(X194="","",NORM.S.DIST(X194,TRUE))</f>
        <v/>
      </c>
      <c r="Z194" s="13">
        <f>IF(Y194="","",IF(Y194&lt;='组合输入'!$K6,"AAA",IF(Y194&lt;='组合输入'!$L6,"AA",IF(Y194&lt;='组合输入'!$M6,"A",IF(Y194&lt;='组合输入'!$N6,"BBB",IF(Y194&lt;='组合输入'!$O6,"BB",IF(Y194&lt;='组合输入'!$P6,"B",IF(Y194&lt;='组合输入'!$Q6,"CCC","D")))))))</f>
        <v/>
      </c>
      <c r="AA194" s="12">
        <f>IF(Z194="","",INDEX('状态价值'!$D6:$K6,MATCH(Z194,'状态价值'!$D$1:$K$1,0)))</f>
        <v/>
      </c>
      <c r="AB194" s="15">
        <f>NORM.S.INV(RAND())</f>
        <v/>
      </c>
      <c r="AC194" s="15">
        <f>IF('组合输入'!$C7="","",'组合输入'!$H7*$B194+SQRT(1-'组合输入'!$H7^2)*AB194)</f>
        <v/>
      </c>
      <c r="AD194" s="7">
        <f>IF(AC194="","",NORM.S.DIST(AC194,TRUE))</f>
        <v/>
      </c>
      <c r="AE194" s="13">
        <f>IF(AD194="","",IF(AD194&lt;='组合输入'!$K7,"AAA",IF(AD194&lt;='组合输入'!$L7,"AA",IF(AD194&lt;='组合输入'!$M7,"A",IF(AD194&lt;='组合输入'!$N7,"BBB",IF(AD194&lt;='组合输入'!$O7,"BB",IF(AD194&lt;='组合输入'!$P7,"B",IF(AD194&lt;='组合输入'!$Q7,"CCC","D")))))))</f>
        <v/>
      </c>
      <c r="AF194" s="12">
        <f>IF(AE194="","",INDEX('状态价值'!$D7:$K7,MATCH(AE194,'状态价值'!$D$1:$K$1,0)))</f>
        <v/>
      </c>
      <c r="AG194" s="15">
        <f>NORM.S.INV(RAND())</f>
        <v/>
      </c>
      <c r="AH194" s="15">
        <f>IF('组合输入'!$C8="","",'组合输入'!$H8*$B194+SQRT(1-'组合输入'!$H8^2)*AG194)</f>
        <v/>
      </c>
      <c r="AI194" s="7">
        <f>IF(AH194="","",NORM.S.DIST(AH194,TRUE))</f>
        <v/>
      </c>
      <c r="AJ194" s="13">
        <f>IF(AI194="","",IF(AI194&lt;='组合输入'!$K8,"AAA",IF(AI194&lt;='组合输入'!$L8,"AA",IF(AI194&lt;='组合输入'!$M8,"A",IF(AI194&lt;='组合输入'!$N8,"BBB",IF(AI194&lt;='组合输入'!$O8,"BB",IF(AI194&lt;='组合输入'!$P8,"B",IF(AI194&lt;='组合输入'!$Q8,"CCC","D")))))))</f>
        <v/>
      </c>
      <c r="AK194" s="12">
        <f>IF(AJ194="","",INDEX('状态价值'!$D8:$K8,MATCH(AJ194,'状态价值'!$D$1:$K$1,0)))</f>
        <v/>
      </c>
      <c r="AL194" s="15">
        <f>NORM.S.INV(RAND())</f>
        <v/>
      </c>
      <c r="AM194" s="15">
        <f>IF('组合输入'!$C9="","",'组合输入'!$H9*$B194+SQRT(1-'组合输入'!$H9^2)*AL194)</f>
        <v/>
      </c>
      <c r="AN194" s="7">
        <f>IF(AM194="","",NORM.S.DIST(AM194,TRUE))</f>
        <v/>
      </c>
      <c r="AO194" s="13">
        <f>IF(AN194="","",IF(AN194&lt;='组合输入'!$K9,"AAA",IF(AN194&lt;='组合输入'!$L9,"AA",IF(AN194&lt;='组合输入'!$M9,"A",IF(AN194&lt;='组合输入'!$N9,"BBB",IF(AN194&lt;='组合输入'!$O9,"BB",IF(AN194&lt;='组合输入'!$P9,"B",IF(AN194&lt;='组合输入'!$Q9,"CCC","D")))))))</f>
        <v/>
      </c>
      <c r="AP194" s="12">
        <f>IF(AO194="","",INDEX('状态价值'!$D9:$K9,MATCH(AO194,'状态价值'!$D$1:$K$1,0)))</f>
        <v/>
      </c>
      <c r="AQ194" s="15">
        <f>NORM.S.INV(RAND())</f>
        <v/>
      </c>
      <c r="AR194" s="15">
        <f>IF('组合输入'!$C10="","",'组合输入'!$H10*$B194+SQRT(1-'组合输入'!$H10^2)*AQ194)</f>
        <v/>
      </c>
      <c r="AS194" s="7">
        <f>IF(AR194="","",NORM.S.DIST(AR194,TRUE))</f>
        <v/>
      </c>
      <c r="AT194" s="13">
        <f>IF(AS194="","",IF(AS194&lt;='组合输入'!$K10,"AAA",IF(AS194&lt;='组合输入'!$L10,"AA",IF(AS194&lt;='组合输入'!$M10,"A",IF(AS194&lt;='组合输入'!$N10,"BBB",IF(AS194&lt;='组合输入'!$O10,"BB",IF(AS194&lt;='组合输入'!$P10,"B",IF(AS194&lt;='组合输入'!$Q10,"CCC","D")))))))</f>
        <v/>
      </c>
      <c r="AU194" s="12">
        <f>IF(AT194="","",INDEX('状态价值'!$D10:$K10,MATCH(AT194,'状态价值'!$D$1:$K$1,0)))</f>
        <v/>
      </c>
      <c r="AV194" s="15">
        <f>NORM.S.INV(RAND())</f>
        <v/>
      </c>
      <c r="AW194" s="15">
        <f>IF('组合输入'!$C11="","",'组合输入'!$H11*$B194+SQRT(1-'组合输入'!$H11^2)*AV194)</f>
        <v/>
      </c>
      <c r="AX194" s="7">
        <f>IF(AW194="","",NORM.S.DIST(AW194,TRUE))</f>
        <v/>
      </c>
      <c r="AY194" s="13">
        <f>IF(AX194="","",IF(AX194&lt;='组合输入'!$K11,"AAA",IF(AX194&lt;='组合输入'!$L11,"AA",IF(AX194&lt;='组合输入'!$M11,"A",IF(AX194&lt;='组合输入'!$N11,"BBB",IF(AX194&lt;='组合输入'!$O11,"BB",IF(AX194&lt;='组合输入'!$P11,"B",IF(AX194&lt;='组合输入'!$Q11,"CCC","D")))))))</f>
        <v/>
      </c>
      <c r="AZ194" s="12">
        <f>IF(AY194="","",INDEX('状态价值'!$D11:$K11,MATCH(AY194,'状态价值'!$D$1:$K$1,0)))</f>
        <v/>
      </c>
      <c r="BA194" s="12">
        <f>G194+L194+Q194+V194+AA194+AF194+AK194+AP194+AU194+AZ194</f>
        <v/>
      </c>
      <c r="BB194" s="12">
        <f>SUM('组合输入'!$J$2:$J$11)-BA194</f>
        <v/>
      </c>
    </row>
    <row r="195">
      <c r="A195" s="11" t="n">
        <v>194</v>
      </c>
      <c r="B195" s="14">
        <f>NORM.S.INV(RAND())</f>
        <v/>
      </c>
      <c r="C195" s="14">
        <f>NORM.S.INV(RAND())</f>
        <v/>
      </c>
      <c r="D195" s="15">
        <f>IF('组合输入'!$C2="","",'组合输入'!$H2*$B195+SQRT(1-'组合输入'!$H2^2)*C195)</f>
        <v/>
      </c>
      <c r="E195" s="7">
        <f>IF(D195="","",NORM.S.DIST(D195,TRUE))</f>
        <v/>
      </c>
      <c r="F195" s="13">
        <f>IF(E195="","",IF(E195&lt;='组合输入'!$K2,"AAA",IF(E195&lt;='组合输入'!$L2,"AA",IF(E195&lt;='组合输入'!$M2,"A",IF(E195&lt;='组合输入'!$N2,"BBB",IF(E195&lt;='组合输入'!$O2,"BB",IF(E195&lt;='组合输入'!$P2,"B",IF(E195&lt;='组合输入'!$Q2,"CCC","D")))))))</f>
        <v/>
      </c>
      <c r="G195" s="12">
        <f>IF(F195="","",INDEX('状态价值'!$D2:$K2,MATCH(F195,'状态价值'!$D$1:$K$1,0)))</f>
        <v/>
      </c>
      <c r="H195" s="15">
        <f>NORM.S.INV(RAND())</f>
        <v/>
      </c>
      <c r="I195" s="15">
        <f>IF('组合输入'!$C3="","",'组合输入'!$H3*$B195+SQRT(1-'组合输入'!$H3^2)*H195)</f>
        <v/>
      </c>
      <c r="J195" s="7">
        <f>IF(I195="","",NORM.S.DIST(I195,TRUE))</f>
        <v/>
      </c>
      <c r="K195" s="13">
        <f>IF(J195="","",IF(J195&lt;='组合输入'!$K3,"AAA",IF(J195&lt;='组合输入'!$L3,"AA",IF(J195&lt;='组合输入'!$M3,"A",IF(J195&lt;='组合输入'!$N3,"BBB",IF(J195&lt;='组合输入'!$O3,"BB",IF(J195&lt;='组合输入'!$P3,"B",IF(J195&lt;='组合输入'!$Q3,"CCC","D")))))))</f>
        <v/>
      </c>
      <c r="L195" s="12">
        <f>IF(K195="","",INDEX('状态价值'!$D3:$K3,MATCH(K195,'状态价值'!$D$1:$K$1,0)))</f>
        <v/>
      </c>
      <c r="M195" s="15">
        <f>NORM.S.INV(RAND())</f>
        <v/>
      </c>
      <c r="N195" s="15">
        <f>IF('组合输入'!$C4="","",'组合输入'!$H4*$B195+SQRT(1-'组合输入'!$H4^2)*M195)</f>
        <v/>
      </c>
      <c r="O195" s="7">
        <f>IF(N195="","",NORM.S.DIST(N195,TRUE))</f>
        <v/>
      </c>
      <c r="P195" s="13">
        <f>IF(O195="","",IF(O195&lt;='组合输入'!$K4,"AAA",IF(O195&lt;='组合输入'!$L4,"AA",IF(O195&lt;='组合输入'!$M4,"A",IF(O195&lt;='组合输入'!$N4,"BBB",IF(O195&lt;='组合输入'!$O4,"BB",IF(O195&lt;='组合输入'!$P4,"B",IF(O195&lt;='组合输入'!$Q4,"CCC","D")))))))</f>
        <v/>
      </c>
      <c r="Q195" s="12">
        <f>IF(P195="","",INDEX('状态价值'!$D4:$K4,MATCH(P195,'状态价值'!$D$1:$K$1,0)))</f>
        <v/>
      </c>
      <c r="R195" s="15">
        <f>NORM.S.INV(RAND())</f>
        <v/>
      </c>
      <c r="S195" s="15">
        <f>IF('组合输入'!$C5="","",'组合输入'!$H5*$B195+SQRT(1-'组合输入'!$H5^2)*R195)</f>
        <v/>
      </c>
      <c r="T195" s="7">
        <f>IF(S195="","",NORM.S.DIST(S195,TRUE))</f>
        <v/>
      </c>
      <c r="U195" s="13">
        <f>IF(T195="","",IF(T195&lt;='组合输入'!$K5,"AAA",IF(T195&lt;='组合输入'!$L5,"AA",IF(T195&lt;='组合输入'!$M5,"A",IF(T195&lt;='组合输入'!$N5,"BBB",IF(T195&lt;='组合输入'!$O5,"BB",IF(T195&lt;='组合输入'!$P5,"B",IF(T195&lt;='组合输入'!$Q5,"CCC","D")))))))</f>
        <v/>
      </c>
      <c r="V195" s="12">
        <f>IF(U195="","",INDEX('状态价值'!$D5:$K5,MATCH(U195,'状态价值'!$D$1:$K$1,0)))</f>
        <v/>
      </c>
      <c r="W195" s="15">
        <f>NORM.S.INV(RAND())</f>
        <v/>
      </c>
      <c r="X195" s="15">
        <f>IF('组合输入'!$C6="","",'组合输入'!$H6*$B195+SQRT(1-'组合输入'!$H6^2)*W195)</f>
        <v/>
      </c>
      <c r="Y195" s="7">
        <f>IF(X195="","",NORM.S.DIST(X195,TRUE))</f>
        <v/>
      </c>
      <c r="Z195" s="13">
        <f>IF(Y195="","",IF(Y195&lt;='组合输入'!$K6,"AAA",IF(Y195&lt;='组合输入'!$L6,"AA",IF(Y195&lt;='组合输入'!$M6,"A",IF(Y195&lt;='组合输入'!$N6,"BBB",IF(Y195&lt;='组合输入'!$O6,"BB",IF(Y195&lt;='组合输入'!$P6,"B",IF(Y195&lt;='组合输入'!$Q6,"CCC","D")))))))</f>
        <v/>
      </c>
      <c r="AA195" s="12">
        <f>IF(Z195="","",INDEX('状态价值'!$D6:$K6,MATCH(Z195,'状态价值'!$D$1:$K$1,0)))</f>
        <v/>
      </c>
      <c r="AB195" s="15">
        <f>NORM.S.INV(RAND())</f>
        <v/>
      </c>
      <c r="AC195" s="15">
        <f>IF('组合输入'!$C7="","",'组合输入'!$H7*$B195+SQRT(1-'组合输入'!$H7^2)*AB195)</f>
        <v/>
      </c>
      <c r="AD195" s="7">
        <f>IF(AC195="","",NORM.S.DIST(AC195,TRUE))</f>
        <v/>
      </c>
      <c r="AE195" s="13">
        <f>IF(AD195="","",IF(AD195&lt;='组合输入'!$K7,"AAA",IF(AD195&lt;='组合输入'!$L7,"AA",IF(AD195&lt;='组合输入'!$M7,"A",IF(AD195&lt;='组合输入'!$N7,"BBB",IF(AD195&lt;='组合输入'!$O7,"BB",IF(AD195&lt;='组合输入'!$P7,"B",IF(AD195&lt;='组合输入'!$Q7,"CCC","D")))))))</f>
        <v/>
      </c>
      <c r="AF195" s="12">
        <f>IF(AE195="","",INDEX('状态价值'!$D7:$K7,MATCH(AE195,'状态价值'!$D$1:$K$1,0)))</f>
        <v/>
      </c>
      <c r="AG195" s="15">
        <f>NORM.S.INV(RAND())</f>
        <v/>
      </c>
      <c r="AH195" s="15">
        <f>IF('组合输入'!$C8="","",'组合输入'!$H8*$B195+SQRT(1-'组合输入'!$H8^2)*AG195)</f>
        <v/>
      </c>
      <c r="AI195" s="7">
        <f>IF(AH195="","",NORM.S.DIST(AH195,TRUE))</f>
        <v/>
      </c>
      <c r="AJ195" s="13">
        <f>IF(AI195="","",IF(AI195&lt;='组合输入'!$K8,"AAA",IF(AI195&lt;='组合输入'!$L8,"AA",IF(AI195&lt;='组合输入'!$M8,"A",IF(AI195&lt;='组合输入'!$N8,"BBB",IF(AI195&lt;='组合输入'!$O8,"BB",IF(AI195&lt;='组合输入'!$P8,"B",IF(AI195&lt;='组合输入'!$Q8,"CCC","D")))))))</f>
        <v/>
      </c>
      <c r="AK195" s="12">
        <f>IF(AJ195="","",INDEX('状态价值'!$D8:$K8,MATCH(AJ195,'状态价值'!$D$1:$K$1,0)))</f>
        <v/>
      </c>
      <c r="AL195" s="15">
        <f>NORM.S.INV(RAND())</f>
        <v/>
      </c>
      <c r="AM195" s="15">
        <f>IF('组合输入'!$C9="","",'组合输入'!$H9*$B195+SQRT(1-'组合输入'!$H9^2)*AL195)</f>
        <v/>
      </c>
      <c r="AN195" s="7">
        <f>IF(AM195="","",NORM.S.DIST(AM195,TRUE))</f>
        <v/>
      </c>
      <c r="AO195" s="13">
        <f>IF(AN195="","",IF(AN195&lt;='组合输入'!$K9,"AAA",IF(AN195&lt;='组合输入'!$L9,"AA",IF(AN195&lt;='组合输入'!$M9,"A",IF(AN195&lt;='组合输入'!$N9,"BBB",IF(AN195&lt;='组合输入'!$O9,"BB",IF(AN195&lt;='组合输入'!$P9,"B",IF(AN195&lt;='组合输入'!$Q9,"CCC","D")))))))</f>
        <v/>
      </c>
      <c r="AP195" s="12">
        <f>IF(AO195="","",INDEX('状态价值'!$D9:$K9,MATCH(AO195,'状态价值'!$D$1:$K$1,0)))</f>
        <v/>
      </c>
      <c r="AQ195" s="15">
        <f>NORM.S.INV(RAND())</f>
        <v/>
      </c>
      <c r="AR195" s="15">
        <f>IF('组合输入'!$C10="","",'组合输入'!$H10*$B195+SQRT(1-'组合输入'!$H10^2)*AQ195)</f>
        <v/>
      </c>
      <c r="AS195" s="7">
        <f>IF(AR195="","",NORM.S.DIST(AR195,TRUE))</f>
        <v/>
      </c>
      <c r="AT195" s="13">
        <f>IF(AS195="","",IF(AS195&lt;='组合输入'!$K10,"AAA",IF(AS195&lt;='组合输入'!$L10,"AA",IF(AS195&lt;='组合输入'!$M10,"A",IF(AS195&lt;='组合输入'!$N10,"BBB",IF(AS195&lt;='组合输入'!$O10,"BB",IF(AS195&lt;='组合输入'!$P10,"B",IF(AS195&lt;='组合输入'!$Q10,"CCC","D")))))))</f>
        <v/>
      </c>
      <c r="AU195" s="12">
        <f>IF(AT195="","",INDEX('状态价值'!$D10:$K10,MATCH(AT195,'状态价值'!$D$1:$K$1,0)))</f>
        <v/>
      </c>
      <c r="AV195" s="15">
        <f>NORM.S.INV(RAND())</f>
        <v/>
      </c>
      <c r="AW195" s="15">
        <f>IF('组合输入'!$C11="","",'组合输入'!$H11*$B195+SQRT(1-'组合输入'!$H11^2)*AV195)</f>
        <v/>
      </c>
      <c r="AX195" s="7">
        <f>IF(AW195="","",NORM.S.DIST(AW195,TRUE))</f>
        <v/>
      </c>
      <c r="AY195" s="13">
        <f>IF(AX195="","",IF(AX195&lt;='组合输入'!$K11,"AAA",IF(AX195&lt;='组合输入'!$L11,"AA",IF(AX195&lt;='组合输入'!$M11,"A",IF(AX195&lt;='组合输入'!$N11,"BBB",IF(AX195&lt;='组合输入'!$O11,"BB",IF(AX195&lt;='组合输入'!$P11,"B",IF(AX195&lt;='组合输入'!$Q11,"CCC","D")))))))</f>
        <v/>
      </c>
      <c r="AZ195" s="12">
        <f>IF(AY195="","",INDEX('状态价值'!$D11:$K11,MATCH(AY195,'状态价值'!$D$1:$K$1,0)))</f>
        <v/>
      </c>
      <c r="BA195" s="12">
        <f>G195+L195+Q195+V195+AA195+AF195+AK195+AP195+AU195+AZ195</f>
        <v/>
      </c>
      <c r="BB195" s="12">
        <f>SUM('组合输入'!$J$2:$J$11)-BA195</f>
        <v/>
      </c>
    </row>
    <row r="196">
      <c r="A196" s="11" t="n">
        <v>195</v>
      </c>
      <c r="B196" s="14">
        <f>NORM.S.INV(RAND())</f>
        <v/>
      </c>
      <c r="C196" s="14">
        <f>NORM.S.INV(RAND())</f>
        <v/>
      </c>
      <c r="D196" s="15">
        <f>IF('组合输入'!$C2="","",'组合输入'!$H2*$B196+SQRT(1-'组合输入'!$H2^2)*C196)</f>
        <v/>
      </c>
      <c r="E196" s="7">
        <f>IF(D196="","",NORM.S.DIST(D196,TRUE))</f>
        <v/>
      </c>
      <c r="F196" s="13">
        <f>IF(E196="","",IF(E196&lt;='组合输入'!$K2,"AAA",IF(E196&lt;='组合输入'!$L2,"AA",IF(E196&lt;='组合输入'!$M2,"A",IF(E196&lt;='组合输入'!$N2,"BBB",IF(E196&lt;='组合输入'!$O2,"BB",IF(E196&lt;='组合输入'!$P2,"B",IF(E196&lt;='组合输入'!$Q2,"CCC","D")))))))</f>
        <v/>
      </c>
      <c r="G196" s="12">
        <f>IF(F196="","",INDEX('状态价值'!$D2:$K2,MATCH(F196,'状态价值'!$D$1:$K$1,0)))</f>
        <v/>
      </c>
      <c r="H196" s="15">
        <f>NORM.S.INV(RAND())</f>
        <v/>
      </c>
      <c r="I196" s="15">
        <f>IF('组合输入'!$C3="","",'组合输入'!$H3*$B196+SQRT(1-'组合输入'!$H3^2)*H196)</f>
        <v/>
      </c>
      <c r="J196" s="7">
        <f>IF(I196="","",NORM.S.DIST(I196,TRUE))</f>
        <v/>
      </c>
      <c r="K196" s="13">
        <f>IF(J196="","",IF(J196&lt;='组合输入'!$K3,"AAA",IF(J196&lt;='组合输入'!$L3,"AA",IF(J196&lt;='组合输入'!$M3,"A",IF(J196&lt;='组合输入'!$N3,"BBB",IF(J196&lt;='组合输入'!$O3,"BB",IF(J196&lt;='组合输入'!$P3,"B",IF(J196&lt;='组合输入'!$Q3,"CCC","D")))))))</f>
        <v/>
      </c>
      <c r="L196" s="12">
        <f>IF(K196="","",INDEX('状态价值'!$D3:$K3,MATCH(K196,'状态价值'!$D$1:$K$1,0)))</f>
        <v/>
      </c>
      <c r="M196" s="15">
        <f>NORM.S.INV(RAND())</f>
        <v/>
      </c>
      <c r="N196" s="15">
        <f>IF('组合输入'!$C4="","",'组合输入'!$H4*$B196+SQRT(1-'组合输入'!$H4^2)*M196)</f>
        <v/>
      </c>
      <c r="O196" s="7">
        <f>IF(N196="","",NORM.S.DIST(N196,TRUE))</f>
        <v/>
      </c>
      <c r="P196" s="13">
        <f>IF(O196="","",IF(O196&lt;='组合输入'!$K4,"AAA",IF(O196&lt;='组合输入'!$L4,"AA",IF(O196&lt;='组合输入'!$M4,"A",IF(O196&lt;='组合输入'!$N4,"BBB",IF(O196&lt;='组合输入'!$O4,"BB",IF(O196&lt;='组合输入'!$P4,"B",IF(O196&lt;='组合输入'!$Q4,"CCC","D")))))))</f>
        <v/>
      </c>
      <c r="Q196" s="12">
        <f>IF(P196="","",INDEX('状态价值'!$D4:$K4,MATCH(P196,'状态价值'!$D$1:$K$1,0)))</f>
        <v/>
      </c>
      <c r="R196" s="15">
        <f>NORM.S.INV(RAND())</f>
        <v/>
      </c>
      <c r="S196" s="15">
        <f>IF('组合输入'!$C5="","",'组合输入'!$H5*$B196+SQRT(1-'组合输入'!$H5^2)*R196)</f>
        <v/>
      </c>
      <c r="T196" s="7">
        <f>IF(S196="","",NORM.S.DIST(S196,TRUE))</f>
        <v/>
      </c>
      <c r="U196" s="13">
        <f>IF(T196="","",IF(T196&lt;='组合输入'!$K5,"AAA",IF(T196&lt;='组合输入'!$L5,"AA",IF(T196&lt;='组合输入'!$M5,"A",IF(T196&lt;='组合输入'!$N5,"BBB",IF(T196&lt;='组合输入'!$O5,"BB",IF(T196&lt;='组合输入'!$P5,"B",IF(T196&lt;='组合输入'!$Q5,"CCC","D")))))))</f>
        <v/>
      </c>
      <c r="V196" s="12">
        <f>IF(U196="","",INDEX('状态价值'!$D5:$K5,MATCH(U196,'状态价值'!$D$1:$K$1,0)))</f>
        <v/>
      </c>
      <c r="W196" s="15">
        <f>NORM.S.INV(RAND())</f>
        <v/>
      </c>
      <c r="X196" s="15">
        <f>IF('组合输入'!$C6="","",'组合输入'!$H6*$B196+SQRT(1-'组合输入'!$H6^2)*W196)</f>
        <v/>
      </c>
      <c r="Y196" s="7">
        <f>IF(X196="","",NORM.S.DIST(X196,TRUE))</f>
        <v/>
      </c>
      <c r="Z196" s="13">
        <f>IF(Y196="","",IF(Y196&lt;='组合输入'!$K6,"AAA",IF(Y196&lt;='组合输入'!$L6,"AA",IF(Y196&lt;='组合输入'!$M6,"A",IF(Y196&lt;='组合输入'!$N6,"BBB",IF(Y196&lt;='组合输入'!$O6,"BB",IF(Y196&lt;='组合输入'!$P6,"B",IF(Y196&lt;='组合输入'!$Q6,"CCC","D")))))))</f>
        <v/>
      </c>
      <c r="AA196" s="12">
        <f>IF(Z196="","",INDEX('状态价值'!$D6:$K6,MATCH(Z196,'状态价值'!$D$1:$K$1,0)))</f>
        <v/>
      </c>
      <c r="AB196" s="15">
        <f>NORM.S.INV(RAND())</f>
        <v/>
      </c>
      <c r="AC196" s="15">
        <f>IF('组合输入'!$C7="","",'组合输入'!$H7*$B196+SQRT(1-'组合输入'!$H7^2)*AB196)</f>
        <v/>
      </c>
      <c r="AD196" s="7">
        <f>IF(AC196="","",NORM.S.DIST(AC196,TRUE))</f>
        <v/>
      </c>
      <c r="AE196" s="13">
        <f>IF(AD196="","",IF(AD196&lt;='组合输入'!$K7,"AAA",IF(AD196&lt;='组合输入'!$L7,"AA",IF(AD196&lt;='组合输入'!$M7,"A",IF(AD196&lt;='组合输入'!$N7,"BBB",IF(AD196&lt;='组合输入'!$O7,"BB",IF(AD196&lt;='组合输入'!$P7,"B",IF(AD196&lt;='组合输入'!$Q7,"CCC","D")))))))</f>
        <v/>
      </c>
      <c r="AF196" s="12">
        <f>IF(AE196="","",INDEX('状态价值'!$D7:$K7,MATCH(AE196,'状态价值'!$D$1:$K$1,0)))</f>
        <v/>
      </c>
      <c r="AG196" s="15">
        <f>NORM.S.INV(RAND())</f>
        <v/>
      </c>
      <c r="AH196" s="15">
        <f>IF('组合输入'!$C8="","",'组合输入'!$H8*$B196+SQRT(1-'组合输入'!$H8^2)*AG196)</f>
        <v/>
      </c>
      <c r="AI196" s="7">
        <f>IF(AH196="","",NORM.S.DIST(AH196,TRUE))</f>
        <v/>
      </c>
      <c r="AJ196" s="13">
        <f>IF(AI196="","",IF(AI196&lt;='组合输入'!$K8,"AAA",IF(AI196&lt;='组合输入'!$L8,"AA",IF(AI196&lt;='组合输入'!$M8,"A",IF(AI196&lt;='组合输入'!$N8,"BBB",IF(AI196&lt;='组合输入'!$O8,"BB",IF(AI196&lt;='组合输入'!$P8,"B",IF(AI196&lt;='组合输入'!$Q8,"CCC","D")))))))</f>
        <v/>
      </c>
      <c r="AK196" s="12">
        <f>IF(AJ196="","",INDEX('状态价值'!$D8:$K8,MATCH(AJ196,'状态价值'!$D$1:$K$1,0)))</f>
        <v/>
      </c>
      <c r="AL196" s="15">
        <f>NORM.S.INV(RAND())</f>
        <v/>
      </c>
      <c r="AM196" s="15">
        <f>IF('组合输入'!$C9="","",'组合输入'!$H9*$B196+SQRT(1-'组合输入'!$H9^2)*AL196)</f>
        <v/>
      </c>
      <c r="AN196" s="7">
        <f>IF(AM196="","",NORM.S.DIST(AM196,TRUE))</f>
        <v/>
      </c>
      <c r="AO196" s="13">
        <f>IF(AN196="","",IF(AN196&lt;='组合输入'!$K9,"AAA",IF(AN196&lt;='组合输入'!$L9,"AA",IF(AN196&lt;='组合输入'!$M9,"A",IF(AN196&lt;='组合输入'!$N9,"BBB",IF(AN196&lt;='组合输入'!$O9,"BB",IF(AN196&lt;='组合输入'!$P9,"B",IF(AN196&lt;='组合输入'!$Q9,"CCC","D")))))))</f>
        <v/>
      </c>
      <c r="AP196" s="12">
        <f>IF(AO196="","",INDEX('状态价值'!$D9:$K9,MATCH(AO196,'状态价值'!$D$1:$K$1,0)))</f>
        <v/>
      </c>
      <c r="AQ196" s="15">
        <f>NORM.S.INV(RAND())</f>
        <v/>
      </c>
      <c r="AR196" s="15">
        <f>IF('组合输入'!$C10="","",'组合输入'!$H10*$B196+SQRT(1-'组合输入'!$H10^2)*AQ196)</f>
        <v/>
      </c>
      <c r="AS196" s="7">
        <f>IF(AR196="","",NORM.S.DIST(AR196,TRUE))</f>
        <v/>
      </c>
      <c r="AT196" s="13">
        <f>IF(AS196="","",IF(AS196&lt;='组合输入'!$K10,"AAA",IF(AS196&lt;='组合输入'!$L10,"AA",IF(AS196&lt;='组合输入'!$M10,"A",IF(AS196&lt;='组合输入'!$N10,"BBB",IF(AS196&lt;='组合输入'!$O10,"BB",IF(AS196&lt;='组合输入'!$P10,"B",IF(AS196&lt;='组合输入'!$Q10,"CCC","D")))))))</f>
        <v/>
      </c>
      <c r="AU196" s="12">
        <f>IF(AT196="","",INDEX('状态价值'!$D10:$K10,MATCH(AT196,'状态价值'!$D$1:$K$1,0)))</f>
        <v/>
      </c>
      <c r="AV196" s="15">
        <f>NORM.S.INV(RAND())</f>
        <v/>
      </c>
      <c r="AW196" s="15">
        <f>IF('组合输入'!$C11="","",'组合输入'!$H11*$B196+SQRT(1-'组合输入'!$H11^2)*AV196)</f>
        <v/>
      </c>
      <c r="AX196" s="7">
        <f>IF(AW196="","",NORM.S.DIST(AW196,TRUE))</f>
        <v/>
      </c>
      <c r="AY196" s="13">
        <f>IF(AX196="","",IF(AX196&lt;='组合输入'!$K11,"AAA",IF(AX196&lt;='组合输入'!$L11,"AA",IF(AX196&lt;='组合输入'!$M11,"A",IF(AX196&lt;='组合输入'!$N11,"BBB",IF(AX196&lt;='组合输入'!$O11,"BB",IF(AX196&lt;='组合输入'!$P11,"B",IF(AX196&lt;='组合输入'!$Q11,"CCC","D")))))))</f>
        <v/>
      </c>
      <c r="AZ196" s="12">
        <f>IF(AY196="","",INDEX('状态价值'!$D11:$K11,MATCH(AY196,'状态价值'!$D$1:$K$1,0)))</f>
        <v/>
      </c>
      <c r="BA196" s="12">
        <f>G196+L196+Q196+V196+AA196+AF196+AK196+AP196+AU196+AZ196</f>
        <v/>
      </c>
      <c r="BB196" s="12">
        <f>SUM('组合输入'!$J$2:$J$11)-BA196</f>
        <v/>
      </c>
    </row>
    <row r="197">
      <c r="A197" s="11" t="n">
        <v>196</v>
      </c>
      <c r="B197" s="14">
        <f>NORM.S.INV(RAND())</f>
        <v/>
      </c>
      <c r="C197" s="14">
        <f>NORM.S.INV(RAND())</f>
        <v/>
      </c>
      <c r="D197" s="15">
        <f>IF('组合输入'!$C2="","",'组合输入'!$H2*$B197+SQRT(1-'组合输入'!$H2^2)*C197)</f>
        <v/>
      </c>
      <c r="E197" s="7">
        <f>IF(D197="","",NORM.S.DIST(D197,TRUE))</f>
        <v/>
      </c>
      <c r="F197" s="13">
        <f>IF(E197="","",IF(E197&lt;='组合输入'!$K2,"AAA",IF(E197&lt;='组合输入'!$L2,"AA",IF(E197&lt;='组合输入'!$M2,"A",IF(E197&lt;='组合输入'!$N2,"BBB",IF(E197&lt;='组合输入'!$O2,"BB",IF(E197&lt;='组合输入'!$P2,"B",IF(E197&lt;='组合输入'!$Q2,"CCC","D")))))))</f>
        <v/>
      </c>
      <c r="G197" s="12">
        <f>IF(F197="","",INDEX('状态价值'!$D2:$K2,MATCH(F197,'状态价值'!$D$1:$K$1,0)))</f>
        <v/>
      </c>
      <c r="H197" s="15">
        <f>NORM.S.INV(RAND())</f>
        <v/>
      </c>
      <c r="I197" s="15">
        <f>IF('组合输入'!$C3="","",'组合输入'!$H3*$B197+SQRT(1-'组合输入'!$H3^2)*H197)</f>
        <v/>
      </c>
      <c r="J197" s="7">
        <f>IF(I197="","",NORM.S.DIST(I197,TRUE))</f>
        <v/>
      </c>
      <c r="K197" s="13">
        <f>IF(J197="","",IF(J197&lt;='组合输入'!$K3,"AAA",IF(J197&lt;='组合输入'!$L3,"AA",IF(J197&lt;='组合输入'!$M3,"A",IF(J197&lt;='组合输入'!$N3,"BBB",IF(J197&lt;='组合输入'!$O3,"BB",IF(J197&lt;='组合输入'!$P3,"B",IF(J197&lt;='组合输入'!$Q3,"CCC","D")))))))</f>
        <v/>
      </c>
      <c r="L197" s="12">
        <f>IF(K197="","",INDEX('状态价值'!$D3:$K3,MATCH(K197,'状态价值'!$D$1:$K$1,0)))</f>
        <v/>
      </c>
      <c r="M197" s="15">
        <f>NORM.S.INV(RAND())</f>
        <v/>
      </c>
      <c r="N197" s="15">
        <f>IF('组合输入'!$C4="","",'组合输入'!$H4*$B197+SQRT(1-'组合输入'!$H4^2)*M197)</f>
        <v/>
      </c>
      <c r="O197" s="7">
        <f>IF(N197="","",NORM.S.DIST(N197,TRUE))</f>
        <v/>
      </c>
      <c r="P197" s="13">
        <f>IF(O197="","",IF(O197&lt;='组合输入'!$K4,"AAA",IF(O197&lt;='组合输入'!$L4,"AA",IF(O197&lt;='组合输入'!$M4,"A",IF(O197&lt;='组合输入'!$N4,"BBB",IF(O197&lt;='组合输入'!$O4,"BB",IF(O197&lt;='组合输入'!$P4,"B",IF(O197&lt;='组合输入'!$Q4,"CCC","D")))))))</f>
        <v/>
      </c>
      <c r="Q197" s="12">
        <f>IF(P197="","",INDEX('状态价值'!$D4:$K4,MATCH(P197,'状态价值'!$D$1:$K$1,0)))</f>
        <v/>
      </c>
      <c r="R197" s="15">
        <f>NORM.S.INV(RAND())</f>
        <v/>
      </c>
      <c r="S197" s="15">
        <f>IF('组合输入'!$C5="","",'组合输入'!$H5*$B197+SQRT(1-'组合输入'!$H5^2)*R197)</f>
        <v/>
      </c>
      <c r="T197" s="7">
        <f>IF(S197="","",NORM.S.DIST(S197,TRUE))</f>
        <v/>
      </c>
      <c r="U197" s="13">
        <f>IF(T197="","",IF(T197&lt;='组合输入'!$K5,"AAA",IF(T197&lt;='组合输入'!$L5,"AA",IF(T197&lt;='组合输入'!$M5,"A",IF(T197&lt;='组合输入'!$N5,"BBB",IF(T197&lt;='组合输入'!$O5,"BB",IF(T197&lt;='组合输入'!$P5,"B",IF(T197&lt;='组合输入'!$Q5,"CCC","D")))))))</f>
        <v/>
      </c>
      <c r="V197" s="12">
        <f>IF(U197="","",INDEX('状态价值'!$D5:$K5,MATCH(U197,'状态价值'!$D$1:$K$1,0)))</f>
        <v/>
      </c>
      <c r="W197" s="15">
        <f>NORM.S.INV(RAND())</f>
        <v/>
      </c>
      <c r="X197" s="15">
        <f>IF('组合输入'!$C6="","",'组合输入'!$H6*$B197+SQRT(1-'组合输入'!$H6^2)*W197)</f>
        <v/>
      </c>
      <c r="Y197" s="7">
        <f>IF(X197="","",NORM.S.DIST(X197,TRUE))</f>
        <v/>
      </c>
      <c r="Z197" s="13">
        <f>IF(Y197="","",IF(Y197&lt;='组合输入'!$K6,"AAA",IF(Y197&lt;='组合输入'!$L6,"AA",IF(Y197&lt;='组合输入'!$M6,"A",IF(Y197&lt;='组合输入'!$N6,"BBB",IF(Y197&lt;='组合输入'!$O6,"BB",IF(Y197&lt;='组合输入'!$P6,"B",IF(Y197&lt;='组合输入'!$Q6,"CCC","D")))))))</f>
        <v/>
      </c>
      <c r="AA197" s="12">
        <f>IF(Z197="","",INDEX('状态价值'!$D6:$K6,MATCH(Z197,'状态价值'!$D$1:$K$1,0)))</f>
        <v/>
      </c>
      <c r="AB197" s="15">
        <f>NORM.S.INV(RAND())</f>
        <v/>
      </c>
      <c r="AC197" s="15">
        <f>IF('组合输入'!$C7="","",'组合输入'!$H7*$B197+SQRT(1-'组合输入'!$H7^2)*AB197)</f>
        <v/>
      </c>
      <c r="AD197" s="7">
        <f>IF(AC197="","",NORM.S.DIST(AC197,TRUE))</f>
        <v/>
      </c>
      <c r="AE197" s="13">
        <f>IF(AD197="","",IF(AD197&lt;='组合输入'!$K7,"AAA",IF(AD197&lt;='组合输入'!$L7,"AA",IF(AD197&lt;='组合输入'!$M7,"A",IF(AD197&lt;='组合输入'!$N7,"BBB",IF(AD197&lt;='组合输入'!$O7,"BB",IF(AD197&lt;='组合输入'!$P7,"B",IF(AD197&lt;='组合输入'!$Q7,"CCC","D")))))))</f>
        <v/>
      </c>
      <c r="AF197" s="12">
        <f>IF(AE197="","",INDEX('状态价值'!$D7:$K7,MATCH(AE197,'状态价值'!$D$1:$K$1,0)))</f>
        <v/>
      </c>
      <c r="AG197" s="15">
        <f>NORM.S.INV(RAND())</f>
        <v/>
      </c>
      <c r="AH197" s="15">
        <f>IF('组合输入'!$C8="","",'组合输入'!$H8*$B197+SQRT(1-'组合输入'!$H8^2)*AG197)</f>
        <v/>
      </c>
      <c r="AI197" s="7">
        <f>IF(AH197="","",NORM.S.DIST(AH197,TRUE))</f>
        <v/>
      </c>
      <c r="AJ197" s="13">
        <f>IF(AI197="","",IF(AI197&lt;='组合输入'!$K8,"AAA",IF(AI197&lt;='组合输入'!$L8,"AA",IF(AI197&lt;='组合输入'!$M8,"A",IF(AI197&lt;='组合输入'!$N8,"BBB",IF(AI197&lt;='组合输入'!$O8,"BB",IF(AI197&lt;='组合输入'!$P8,"B",IF(AI197&lt;='组合输入'!$Q8,"CCC","D")))))))</f>
        <v/>
      </c>
      <c r="AK197" s="12">
        <f>IF(AJ197="","",INDEX('状态价值'!$D8:$K8,MATCH(AJ197,'状态价值'!$D$1:$K$1,0)))</f>
        <v/>
      </c>
      <c r="AL197" s="15">
        <f>NORM.S.INV(RAND())</f>
        <v/>
      </c>
      <c r="AM197" s="15">
        <f>IF('组合输入'!$C9="","",'组合输入'!$H9*$B197+SQRT(1-'组合输入'!$H9^2)*AL197)</f>
        <v/>
      </c>
      <c r="AN197" s="7">
        <f>IF(AM197="","",NORM.S.DIST(AM197,TRUE))</f>
        <v/>
      </c>
      <c r="AO197" s="13">
        <f>IF(AN197="","",IF(AN197&lt;='组合输入'!$K9,"AAA",IF(AN197&lt;='组合输入'!$L9,"AA",IF(AN197&lt;='组合输入'!$M9,"A",IF(AN197&lt;='组合输入'!$N9,"BBB",IF(AN197&lt;='组合输入'!$O9,"BB",IF(AN197&lt;='组合输入'!$P9,"B",IF(AN197&lt;='组合输入'!$Q9,"CCC","D")))))))</f>
        <v/>
      </c>
      <c r="AP197" s="12">
        <f>IF(AO197="","",INDEX('状态价值'!$D9:$K9,MATCH(AO197,'状态价值'!$D$1:$K$1,0)))</f>
        <v/>
      </c>
      <c r="AQ197" s="15">
        <f>NORM.S.INV(RAND())</f>
        <v/>
      </c>
      <c r="AR197" s="15">
        <f>IF('组合输入'!$C10="","",'组合输入'!$H10*$B197+SQRT(1-'组合输入'!$H10^2)*AQ197)</f>
        <v/>
      </c>
      <c r="AS197" s="7">
        <f>IF(AR197="","",NORM.S.DIST(AR197,TRUE))</f>
        <v/>
      </c>
      <c r="AT197" s="13">
        <f>IF(AS197="","",IF(AS197&lt;='组合输入'!$K10,"AAA",IF(AS197&lt;='组合输入'!$L10,"AA",IF(AS197&lt;='组合输入'!$M10,"A",IF(AS197&lt;='组合输入'!$N10,"BBB",IF(AS197&lt;='组合输入'!$O10,"BB",IF(AS197&lt;='组合输入'!$P10,"B",IF(AS197&lt;='组合输入'!$Q10,"CCC","D")))))))</f>
        <v/>
      </c>
      <c r="AU197" s="12">
        <f>IF(AT197="","",INDEX('状态价值'!$D10:$K10,MATCH(AT197,'状态价值'!$D$1:$K$1,0)))</f>
        <v/>
      </c>
      <c r="AV197" s="15">
        <f>NORM.S.INV(RAND())</f>
        <v/>
      </c>
      <c r="AW197" s="15">
        <f>IF('组合输入'!$C11="","",'组合输入'!$H11*$B197+SQRT(1-'组合输入'!$H11^2)*AV197)</f>
        <v/>
      </c>
      <c r="AX197" s="7">
        <f>IF(AW197="","",NORM.S.DIST(AW197,TRUE))</f>
        <v/>
      </c>
      <c r="AY197" s="13">
        <f>IF(AX197="","",IF(AX197&lt;='组合输入'!$K11,"AAA",IF(AX197&lt;='组合输入'!$L11,"AA",IF(AX197&lt;='组合输入'!$M11,"A",IF(AX197&lt;='组合输入'!$N11,"BBB",IF(AX197&lt;='组合输入'!$O11,"BB",IF(AX197&lt;='组合输入'!$P11,"B",IF(AX197&lt;='组合输入'!$Q11,"CCC","D")))))))</f>
        <v/>
      </c>
      <c r="AZ197" s="12">
        <f>IF(AY197="","",INDEX('状态价值'!$D11:$K11,MATCH(AY197,'状态价值'!$D$1:$K$1,0)))</f>
        <v/>
      </c>
      <c r="BA197" s="12">
        <f>G197+L197+Q197+V197+AA197+AF197+AK197+AP197+AU197+AZ197</f>
        <v/>
      </c>
      <c r="BB197" s="12">
        <f>SUM('组合输入'!$J$2:$J$11)-BA197</f>
        <v/>
      </c>
    </row>
    <row r="198">
      <c r="A198" s="11" t="n">
        <v>197</v>
      </c>
      <c r="B198" s="14">
        <f>NORM.S.INV(RAND())</f>
        <v/>
      </c>
      <c r="C198" s="14">
        <f>NORM.S.INV(RAND())</f>
        <v/>
      </c>
      <c r="D198" s="15">
        <f>IF('组合输入'!$C2="","",'组合输入'!$H2*$B198+SQRT(1-'组合输入'!$H2^2)*C198)</f>
        <v/>
      </c>
      <c r="E198" s="7">
        <f>IF(D198="","",NORM.S.DIST(D198,TRUE))</f>
        <v/>
      </c>
      <c r="F198" s="13">
        <f>IF(E198="","",IF(E198&lt;='组合输入'!$K2,"AAA",IF(E198&lt;='组合输入'!$L2,"AA",IF(E198&lt;='组合输入'!$M2,"A",IF(E198&lt;='组合输入'!$N2,"BBB",IF(E198&lt;='组合输入'!$O2,"BB",IF(E198&lt;='组合输入'!$P2,"B",IF(E198&lt;='组合输入'!$Q2,"CCC","D")))))))</f>
        <v/>
      </c>
      <c r="G198" s="12">
        <f>IF(F198="","",INDEX('状态价值'!$D2:$K2,MATCH(F198,'状态价值'!$D$1:$K$1,0)))</f>
        <v/>
      </c>
      <c r="H198" s="15">
        <f>NORM.S.INV(RAND())</f>
        <v/>
      </c>
      <c r="I198" s="15">
        <f>IF('组合输入'!$C3="","",'组合输入'!$H3*$B198+SQRT(1-'组合输入'!$H3^2)*H198)</f>
        <v/>
      </c>
      <c r="J198" s="7">
        <f>IF(I198="","",NORM.S.DIST(I198,TRUE))</f>
        <v/>
      </c>
      <c r="K198" s="13">
        <f>IF(J198="","",IF(J198&lt;='组合输入'!$K3,"AAA",IF(J198&lt;='组合输入'!$L3,"AA",IF(J198&lt;='组合输入'!$M3,"A",IF(J198&lt;='组合输入'!$N3,"BBB",IF(J198&lt;='组合输入'!$O3,"BB",IF(J198&lt;='组合输入'!$P3,"B",IF(J198&lt;='组合输入'!$Q3,"CCC","D")))))))</f>
        <v/>
      </c>
      <c r="L198" s="12">
        <f>IF(K198="","",INDEX('状态价值'!$D3:$K3,MATCH(K198,'状态价值'!$D$1:$K$1,0)))</f>
        <v/>
      </c>
      <c r="M198" s="15">
        <f>NORM.S.INV(RAND())</f>
        <v/>
      </c>
      <c r="N198" s="15">
        <f>IF('组合输入'!$C4="","",'组合输入'!$H4*$B198+SQRT(1-'组合输入'!$H4^2)*M198)</f>
        <v/>
      </c>
      <c r="O198" s="7">
        <f>IF(N198="","",NORM.S.DIST(N198,TRUE))</f>
        <v/>
      </c>
      <c r="P198" s="13">
        <f>IF(O198="","",IF(O198&lt;='组合输入'!$K4,"AAA",IF(O198&lt;='组合输入'!$L4,"AA",IF(O198&lt;='组合输入'!$M4,"A",IF(O198&lt;='组合输入'!$N4,"BBB",IF(O198&lt;='组合输入'!$O4,"BB",IF(O198&lt;='组合输入'!$P4,"B",IF(O198&lt;='组合输入'!$Q4,"CCC","D")))))))</f>
        <v/>
      </c>
      <c r="Q198" s="12">
        <f>IF(P198="","",INDEX('状态价值'!$D4:$K4,MATCH(P198,'状态价值'!$D$1:$K$1,0)))</f>
        <v/>
      </c>
      <c r="R198" s="15">
        <f>NORM.S.INV(RAND())</f>
        <v/>
      </c>
      <c r="S198" s="15">
        <f>IF('组合输入'!$C5="","",'组合输入'!$H5*$B198+SQRT(1-'组合输入'!$H5^2)*R198)</f>
        <v/>
      </c>
      <c r="T198" s="7">
        <f>IF(S198="","",NORM.S.DIST(S198,TRUE))</f>
        <v/>
      </c>
      <c r="U198" s="13">
        <f>IF(T198="","",IF(T198&lt;='组合输入'!$K5,"AAA",IF(T198&lt;='组合输入'!$L5,"AA",IF(T198&lt;='组合输入'!$M5,"A",IF(T198&lt;='组合输入'!$N5,"BBB",IF(T198&lt;='组合输入'!$O5,"BB",IF(T198&lt;='组合输入'!$P5,"B",IF(T198&lt;='组合输入'!$Q5,"CCC","D")))))))</f>
        <v/>
      </c>
      <c r="V198" s="12">
        <f>IF(U198="","",INDEX('状态价值'!$D5:$K5,MATCH(U198,'状态价值'!$D$1:$K$1,0)))</f>
        <v/>
      </c>
      <c r="W198" s="15">
        <f>NORM.S.INV(RAND())</f>
        <v/>
      </c>
      <c r="X198" s="15">
        <f>IF('组合输入'!$C6="","",'组合输入'!$H6*$B198+SQRT(1-'组合输入'!$H6^2)*W198)</f>
        <v/>
      </c>
      <c r="Y198" s="7">
        <f>IF(X198="","",NORM.S.DIST(X198,TRUE))</f>
        <v/>
      </c>
      <c r="Z198" s="13">
        <f>IF(Y198="","",IF(Y198&lt;='组合输入'!$K6,"AAA",IF(Y198&lt;='组合输入'!$L6,"AA",IF(Y198&lt;='组合输入'!$M6,"A",IF(Y198&lt;='组合输入'!$N6,"BBB",IF(Y198&lt;='组合输入'!$O6,"BB",IF(Y198&lt;='组合输入'!$P6,"B",IF(Y198&lt;='组合输入'!$Q6,"CCC","D")))))))</f>
        <v/>
      </c>
      <c r="AA198" s="12">
        <f>IF(Z198="","",INDEX('状态价值'!$D6:$K6,MATCH(Z198,'状态价值'!$D$1:$K$1,0)))</f>
        <v/>
      </c>
      <c r="AB198" s="15">
        <f>NORM.S.INV(RAND())</f>
        <v/>
      </c>
      <c r="AC198" s="15">
        <f>IF('组合输入'!$C7="","",'组合输入'!$H7*$B198+SQRT(1-'组合输入'!$H7^2)*AB198)</f>
        <v/>
      </c>
      <c r="AD198" s="7">
        <f>IF(AC198="","",NORM.S.DIST(AC198,TRUE))</f>
        <v/>
      </c>
      <c r="AE198" s="13">
        <f>IF(AD198="","",IF(AD198&lt;='组合输入'!$K7,"AAA",IF(AD198&lt;='组合输入'!$L7,"AA",IF(AD198&lt;='组合输入'!$M7,"A",IF(AD198&lt;='组合输入'!$N7,"BBB",IF(AD198&lt;='组合输入'!$O7,"BB",IF(AD198&lt;='组合输入'!$P7,"B",IF(AD198&lt;='组合输入'!$Q7,"CCC","D")))))))</f>
        <v/>
      </c>
      <c r="AF198" s="12">
        <f>IF(AE198="","",INDEX('状态价值'!$D7:$K7,MATCH(AE198,'状态价值'!$D$1:$K$1,0)))</f>
        <v/>
      </c>
      <c r="AG198" s="15">
        <f>NORM.S.INV(RAND())</f>
        <v/>
      </c>
      <c r="AH198" s="15">
        <f>IF('组合输入'!$C8="","",'组合输入'!$H8*$B198+SQRT(1-'组合输入'!$H8^2)*AG198)</f>
        <v/>
      </c>
      <c r="AI198" s="7">
        <f>IF(AH198="","",NORM.S.DIST(AH198,TRUE))</f>
        <v/>
      </c>
      <c r="AJ198" s="13">
        <f>IF(AI198="","",IF(AI198&lt;='组合输入'!$K8,"AAA",IF(AI198&lt;='组合输入'!$L8,"AA",IF(AI198&lt;='组合输入'!$M8,"A",IF(AI198&lt;='组合输入'!$N8,"BBB",IF(AI198&lt;='组合输入'!$O8,"BB",IF(AI198&lt;='组合输入'!$P8,"B",IF(AI198&lt;='组合输入'!$Q8,"CCC","D")))))))</f>
        <v/>
      </c>
      <c r="AK198" s="12">
        <f>IF(AJ198="","",INDEX('状态价值'!$D8:$K8,MATCH(AJ198,'状态价值'!$D$1:$K$1,0)))</f>
        <v/>
      </c>
      <c r="AL198" s="15">
        <f>NORM.S.INV(RAND())</f>
        <v/>
      </c>
      <c r="AM198" s="15">
        <f>IF('组合输入'!$C9="","",'组合输入'!$H9*$B198+SQRT(1-'组合输入'!$H9^2)*AL198)</f>
        <v/>
      </c>
      <c r="AN198" s="7">
        <f>IF(AM198="","",NORM.S.DIST(AM198,TRUE))</f>
        <v/>
      </c>
      <c r="AO198" s="13">
        <f>IF(AN198="","",IF(AN198&lt;='组合输入'!$K9,"AAA",IF(AN198&lt;='组合输入'!$L9,"AA",IF(AN198&lt;='组合输入'!$M9,"A",IF(AN198&lt;='组合输入'!$N9,"BBB",IF(AN198&lt;='组合输入'!$O9,"BB",IF(AN198&lt;='组合输入'!$P9,"B",IF(AN198&lt;='组合输入'!$Q9,"CCC","D")))))))</f>
        <v/>
      </c>
      <c r="AP198" s="12">
        <f>IF(AO198="","",INDEX('状态价值'!$D9:$K9,MATCH(AO198,'状态价值'!$D$1:$K$1,0)))</f>
        <v/>
      </c>
      <c r="AQ198" s="15">
        <f>NORM.S.INV(RAND())</f>
        <v/>
      </c>
      <c r="AR198" s="15">
        <f>IF('组合输入'!$C10="","",'组合输入'!$H10*$B198+SQRT(1-'组合输入'!$H10^2)*AQ198)</f>
        <v/>
      </c>
      <c r="AS198" s="7">
        <f>IF(AR198="","",NORM.S.DIST(AR198,TRUE))</f>
        <v/>
      </c>
      <c r="AT198" s="13">
        <f>IF(AS198="","",IF(AS198&lt;='组合输入'!$K10,"AAA",IF(AS198&lt;='组合输入'!$L10,"AA",IF(AS198&lt;='组合输入'!$M10,"A",IF(AS198&lt;='组合输入'!$N10,"BBB",IF(AS198&lt;='组合输入'!$O10,"BB",IF(AS198&lt;='组合输入'!$P10,"B",IF(AS198&lt;='组合输入'!$Q10,"CCC","D")))))))</f>
        <v/>
      </c>
      <c r="AU198" s="12">
        <f>IF(AT198="","",INDEX('状态价值'!$D10:$K10,MATCH(AT198,'状态价值'!$D$1:$K$1,0)))</f>
        <v/>
      </c>
      <c r="AV198" s="15">
        <f>NORM.S.INV(RAND())</f>
        <v/>
      </c>
      <c r="AW198" s="15">
        <f>IF('组合输入'!$C11="","",'组合输入'!$H11*$B198+SQRT(1-'组合输入'!$H11^2)*AV198)</f>
        <v/>
      </c>
      <c r="AX198" s="7">
        <f>IF(AW198="","",NORM.S.DIST(AW198,TRUE))</f>
        <v/>
      </c>
      <c r="AY198" s="13">
        <f>IF(AX198="","",IF(AX198&lt;='组合输入'!$K11,"AAA",IF(AX198&lt;='组合输入'!$L11,"AA",IF(AX198&lt;='组合输入'!$M11,"A",IF(AX198&lt;='组合输入'!$N11,"BBB",IF(AX198&lt;='组合输入'!$O11,"BB",IF(AX198&lt;='组合输入'!$P11,"B",IF(AX198&lt;='组合输入'!$Q11,"CCC","D")))))))</f>
        <v/>
      </c>
      <c r="AZ198" s="12">
        <f>IF(AY198="","",INDEX('状态价值'!$D11:$K11,MATCH(AY198,'状态价值'!$D$1:$K$1,0)))</f>
        <v/>
      </c>
      <c r="BA198" s="12">
        <f>G198+L198+Q198+V198+AA198+AF198+AK198+AP198+AU198+AZ198</f>
        <v/>
      </c>
      <c r="BB198" s="12">
        <f>SUM('组合输入'!$J$2:$J$11)-BA198</f>
        <v/>
      </c>
    </row>
    <row r="199">
      <c r="A199" s="11" t="n">
        <v>198</v>
      </c>
      <c r="B199" s="14">
        <f>NORM.S.INV(RAND())</f>
        <v/>
      </c>
      <c r="C199" s="14">
        <f>NORM.S.INV(RAND())</f>
        <v/>
      </c>
      <c r="D199" s="15">
        <f>IF('组合输入'!$C2="","",'组合输入'!$H2*$B199+SQRT(1-'组合输入'!$H2^2)*C199)</f>
        <v/>
      </c>
      <c r="E199" s="7">
        <f>IF(D199="","",NORM.S.DIST(D199,TRUE))</f>
        <v/>
      </c>
      <c r="F199" s="13">
        <f>IF(E199="","",IF(E199&lt;='组合输入'!$K2,"AAA",IF(E199&lt;='组合输入'!$L2,"AA",IF(E199&lt;='组合输入'!$M2,"A",IF(E199&lt;='组合输入'!$N2,"BBB",IF(E199&lt;='组合输入'!$O2,"BB",IF(E199&lt;='组合输入'!$P2,"B",IF(E199&lt;='组合输入'!$Q2,"CCC","D")))))))</f>
        <v/>
      </c>
      <c r="G199" s="12">
        <f>IF(F199="","",INDEX('状态价值'!$D2:$K2,MATCH(F199,'状态价值'!$D$1:$K$1,0)))</f>
        <v/>
      </c>
      <c r="H199" s="15">
        <f>NORM.S.INV(RAND())</f>
        <v/>
      </c>
      <c r="I199" s="15">
        <f>IF('组合输入'!$C3="","",'组合输入'!$H3*$B199+SQRT(1-'组合输入'!$H3^2)*H199)</f>
        <v/>
      </c>
      <c r="J199" s="7">
        <f>IF(I199="","",NORM.S.DIST(I199,TRUE))</f>
        <v/>
      </c>
      <c r="K199" s="13">
        <f>IF(J199="","",IF(J199&lt;='组合输入'!$K3,"AAA",IF(J199&lt;='组合输入'!$L3,"AA",IF(J199&lt;='组合输入'!$M3,"A",IF(J199&lt;='组合输入'!$N3,"BBB",IF(J199&lt;='组合输入'!$O3,"BB",IF(J199&lt;='组合输入'!$P3,"B",IF(J199&lt;='组合输入'!$Q3,"CCC","D")))))))</f>
        <v/>
      </c>
      <c r="L199" s="12">
        <f>IF(K199="","",INDEX('状态价值'!$D3:$K3,MATCH(K199,'状态价值'!$D$1:$K$1,0)))</f>
        <v/>
      </c>
      <c r="M199" s="15">
        <f>NORM.S.INV(RAND())</f>
        <v/>
      </c>
      <c r="N199" s="15">
        <f>IF('组合输入'!$C4="","",'组合输入'!$H4*$B199+SQRT(1-'组合输入'!$H4^2)*M199)</f>
        <v/>
      </c>
      <c r="O199" s="7">
        <f>IF(N199="","",NORM.S.DIST(N199,TRUE))</f>
        <v/>
      </c>
      <c r="P199" s="13">
        <f>IF(O199="","",IF(O199&lt;='组合输入'!$K4,"AAA",IF(O199&lt;='组合输入'!$L4,"AA",IF(O199&lt;='组合输入'!$M4,"A",IF(O199&lt;='组合输入'!$N4,"BBB",IF(O199&lt;='组合输入'!$O4,"BB",IF(O199&lt;='组合输入'!$P4,"B",IF(O199&lt;='组合输入'!$Q4,"CCC","D")))))))</f>
        <v/>
      </c>
      <c r="Q199" s="12">
        <f>IF(P199="","",INDEX('状态价值'!$D4:$K4,MATCH(P199,'状态价值'!$D$1:$K$1,0)))</f>
        <v/>
      </c>
      <c r="R199" s="15">
        <f>NORM.S.INV(RAND())</f>
        <v/>
      </c>
      <c r="S199" s="15">
        <f>IF('组合输入'!$C5="","",'组合输入'!$H5*$B199+SQRT(1-'组合输入'!$H5^2)*R199)</f>
        <v/>
      </c>
      <c r="T199" s="7">
        <f>IF(S199="","",NORM.S.DIST(S199,TRUE))</f>
        <v/>
      </c>
      <c r="U199" s="13">
        <f>IF(T199="","",IF(T199&lt;='组合输入'!$K5,"AAA",IF(T199&lt;='组合输入'!$L5,"AA",IF(T199&lt;='组合输入'!$M5,"A",IF(T199&lt;='组合输入'!$N5,"BBB",IF(T199&lt;='组合输入'!$O5,"BB",IF(T199&lt;='组合输入'!$P5,"B",IF(T199&lt;='组合输入'!$Q5,"CCC","D")))))))</f>
        <v/>
      </c>
      <c r="V199" s="12">
        <f>IF(U199="","",INDEX('状态价值'!$D5:$K5,MATCH(U199,'状态价值'!$D$1:$K$1,0)))</f>
        <v/>
      </c>
      <c r="W199" s="15">
        <f>NORM.S.INV(RAND())</f>
        <v/>
      </c>
      <c r="X199" s="15">
        <f>IF('组合输入'!$C6="","",'组合输入'!$H6*$B199+SQRT(1-'组合输入'!$H6^2)*W199)</f>
        <v/>
      </c>
      <c r="Y199" s="7">
        <f>IF(X199="","",NORM.S.DIST(X199,TRUE))</f>
        <v/>
      </c>
      <c r="Z199" s="13">
        <f>IF(Y199="","",IF(Y199&lt;='组合输入'!$K6,"AAA",IF(Y199&lt;='组合输入'!$L6,"AA",IF(Y199&lt;='组合输入'!$M6,"A",IF(Y199&lt;='组合输入'!$N6,"BBB",IF(Y199&lt;='组合输入'!$O6,"BB",IF(Y199&lt;='组合输入'!$P6,"B",IF(Y199&lt;='组合输入'!$Q6,"CCC","D")))))))</f>
        <v/>
      </c>
      <c r="AA199" s="12">
        <f>IF(Z199="","",INDEX('状态价值'!$D6:$K6,MATCH(Z199,'状态价值'!$D$1:$K$1,0)))</f>
        <v/>
      </c>
      <c r="AB199" s="15">
        <f>NORM.S.INV(RAND())</f>
        <v/>
      </c>
      <c r="AC199" s="15">
        <f>IF('组合输入'!$C7="","",'组合输入'!$H7*$B199+SQRT(1-'组合输入'!$H7^2)*AB199)</f>
        <v/>
      </c>
      <c r="AD199" s="7">
        <f>IF(AC199="","",NORM.S.DIST(AC199,TRUE))</f>
        <v/>
      </c>
      <c r="AE199" s="13">
        <f>IF(AD199="","",IF(AD199&lt;='组合输入'!$K7,"AAA",IF(AD199&lt;='组合输入'!$L7,"AA",IF(AD199&lt;='组合输入'!$M7,"A",IF(AD199&lt;='组合输入'!$N7,"BBB",IF(AD199&lt;='组合输入'!$O7,"BB",IF(AD199&lt;='组合输入'!$P7,"B",IF(AD199&lt;='组合输入'!$Q7,"CCC","D")))))))</f>
        <v/>
      </c>
      <c r="AF199" s="12">
        <f>IF(AE199="","",INDEX('状态价值'!$D7:$K7,MATCH(AE199,'状态价值'!$D$1:$K$1,0)))</f>
        <v/>
      </c>
      <c r="AG199" s="15">
        <f>NORM.S.INV(RAND())</f>
        <v/>
      </c>
      <c r="AH199" s="15">
        <f>IF('组合输入'!$C8="","",'组合输入'!$H8*$B199+SQRT(1-'组合输入'!$H8^2)*AG199)</f>
        <v/>
      </c>
      <c r="AI199" s="7">
        <f>IF(AH199="","",NORM.S.DIST(AH199,TRUE))</f>
        <v/>
      </c>
      <c r="AJ199" s="13">
        <f>IF(AI199="","",IF(AI199&lt;='组合输入'!$K8,"AAA",IF(AI199&lt;='组合输入'!$L8,"AA",IF(AI199&lt;='组合输入'!$M8,"A",IF(AI199&lt;='组合输入'!$N8,"BBB",IF(AI199&lt;='组合输入'!$O8,"BB",IF(AI199&lt;='组合输入'!$P8,"B",IF(AI199&lt;='组合输入'!$Q8,"CCC","D")))))))</f>
        <v/>
      </c>
      <c r="AK199" s="12">
        <f>IF(AJ199="","",INDEX('状态价值'!$D8:$K8,MATCH(AJ199,'状态价值'!$D$1:$K$1,0)))</f>
        <v/>
      </c>
      <c r="AL199" s="15">
        <f>NORM.S.INV(RAND())</f>
        <v/>
      </c>
      <c r="AM199" s="15">
        <f>IF('组合输入'!$C9="","",'组合输入'!$H9*$B199+SQRT(1-'组合输入'!$H9^2)*AL199)</f>
        <v/>
      </c>
      <c r="AN199" s="7">
        <f>IF(AM199="","",NORM.S.DIST(AM199,TRUE))</f>
        <v/>
      </c>
      <c r="AO199" s="13">
        <f>IF(AN199="","",IF(AN199&lt;='组合输入'!$K9,"AAA",IF(AN199&lt;='组合输入'!$L9,"AA",IF(AN199&lt;='组合输入'!$M9,"A",IF(AN199&lt;='组合输入'!$N9,"BBB",IF(AN199&lt;='组合输入'!$O9,"BB",IF(AN199&lt;='组合输入'!$P9,"B",IF(AN199&lt;='组合输入'!$Q9,"CCC","D")))))))</f>
        <v/>
      </c>
      <c r="AP199" s="12">
        <f>IF(AO199="","",INDEX('状态价值'!$D9:$K9,MATCH(AO199,'状态价值'!$D$1:$K$1,0)))</f>
        <v/>
      </c>
      <c r="AQ199" s="15">
        <f>NORM.S.INV(RAND())</f>
        <v/>
      </c>
      <c r="AR199" s="15">
        <f>IF('组合输入'!$C10="","",'组合输入'!$H10*$B199+SQRT(1-'组合输入'!$H10^2)*AQ199)</f>
        <v/>
      </c>
      <c r="AS199" s="7">
        <f>IF(AR199="","",NORM.S.DIST(AR199,TRUE))</f>
        <v/>
      </c>
      <c r="AT199" s="13">
        <f>IF(AS199="","",IF(AS199&lt;='组合输入'!$K10,"AAA",IF(AS199&lt;='组合输入'!$L10,"AA",IF(AS199&lt;='组合输入'!$M10,"A",IF(AS199&lt;='组合输入'!$N10,"BBB",IF(AS199&lt;='组合输入'!$O10,"BB",IF(AS199&lt;='组合输入'!$P10,"B",IF(AS199&lt;='组合输入'!$Q10,"CCC","D")))))))</f>
        <v/>
      </c>
      <c r="AU199" s="12">
        <f>IF(AT199="","",INDEX('状态价值'!$D10:$K10,MATCH(AT199,'状态价值'!$D$1:$K$1,0)))</f>
        <v/>
      </c>
      <c r="AV199" s="15">
        <f>NORM.S.INV(RAND())</f>
        <v/>
      </c>
      <c r="AW199" s="15">
        <f>IF('组合输入'!$C11="","",'组合输入'!$H11*$B199+SQRT(1-'组合输入'!$H11^2)*AV199)</f>
        <v/>
      </c>
      <c r="AX199" s="7">
        <f>IF(AW199="","",NORM.S.DIST(AW199,TRUE))</f>
        <v/>
      </c>
      <c r="AY199" s="13">
        <f>IF(AX199="","",IF(AX199&lt;='组合输入'!$K11,"AAA",IF(AX199&lt;='组合输入'!$L11,"AA",IF(AX199&lt;='组合输入'!$M11,"A",IF(AX199&lt;='组合输入'!$N11,"BBB",IF(AX199&lt;='组合输入'!$O11,"BB",IF(AX199&lt;='组合输入'!$P11,"B",IF(AX199&lt;='组合输入'!$Q11,"CCC","D")))))))</f>
        <v/>
      </c>
      <c r="AZ199" s="12">
        <f>IF(AY199="","",INDEX('状态价值'!$D11:$K11,MATCH(AY199,'状态价值'!$D$1:$K$1,0)))</f>
        <v/>
      </c>
      <c r="BA199" s="12">
        <f>G199+L199+Q199+V199+AA199+AF199+AK199+AP199+AU199+AZ199</f>
        <v/>
      </c>
      <c r="BB199" s="12">
        <f>SUM('组合输入'!$J$2:$J$11)-BA199</f>
        <v/>
      </c>
    </row>
    <row r="200">
      <c r="A200" s="11" t="n">
        <v>199</v>
      </c>
      <c r="B200" s="14">
        <f>NORM.S.INV(RAND())</f>
        <v/>
      </c>
      <c r="C200" s="14">
        <f>NORM.S.INV(RAND())</f>
        <v/>
      </c>
      <c r="D200" s="15">
        <f>IF('组合输入'!$C2="","",'组合输入'!$H2*$B200+SQRT(1-'组合输入'!$H2^2)*C200)</f>
        <v/>
      </c>
      <c r="E200" s="7">
        <f>IF(D200="","",NORM.S.DIST(D200,TRUE))</f>
        <v/>
      </c>
      <c r="F200" s="13">
        <f>IF(E200="","",IF(E200&lt;='组合输入'!$K2,"AAA",IF(E200&lt;='组合输入'!$L2,"AA",IF(E200&lt;='组合输入'!$M2,"A",IF(E200&lt;='组合输入'!$N2,"BBB",IF(E200&lt;='组合输入'!$O2,"BB",IF(E200&lt;='组合输入'!$P2,"B",IF(E200&lt;='组合输入'!$Q2,"CCC","D")))))))</f>
        <v/>
      </c>
      <c r="G200" s="12">
        <f>IF(F200="","",INDEX('状态价值'!$D2:$K2,MATCH(F200,'状态价值'!$D$1:$K$1,0)))</f>
        <v/>
      </c>
      <c r="H200" s="15">
        <f>NORM.S.INV(RAND())</f>
        <v/>
      </c>
      <c r="I200" s="15">
        <f>IF('组合输入'!$C3="","",'组合输入'!$H3*$B200+SQRT(1-'组合输入'!$H3^2)*H200)</f>
        <v/>
      </c>
      <c r="J200" s="7">
        <f>IF(I200="","",NORM.S.DIST(I200,TRUE))</f>
        <v/>
      </c>
      <c r="K200" s="13">
        <f>IF(J200="","",IF(J200&lt;='组合输入'!$K3,"AAA",IF(J200&lt;='组合输入'!$L3,"AA",IF(J200&lt;='组合输入'!$M3,"A",IF(J200&lt;='组合输入'!$N3,"BBB",IF(J200&lt;='组合输入'!$O3,"BB",IF(J200&lt;='组合输入'!$P3,"B",IF(J200&lt;='组合输入'!$Q3,"CCC","D")))))))</f>
        <v/>
      </c>
      <c r="L200" s="12">
        <f>IF(K200="","",INDEX('状态价值'!$D3:$K3,MATCH(K200,'状态价值'!$D$1:$K$1,0)))</f>
        <v/>
      </c>
      <c r="M200" s="15">
        <f>NORM.S.INV(RAND())</f>
        <v/>
      </c>
      <c r="N200" s="15">
        <f>IF('组合输入'!$C4="","",'组合输入'!$H4*$B200+SQRT(1-'组合输入'!$H4^2)*M200)</f>
        <v/>
      </c>
      <c r="O200" s="7">
        <f>IF(N200="","",NORM.S.DIST(N200,TRUE))</f>
        <v/>
      </c>
      <c r="P200" s="13">
        <f>IF(O200="","",IF(O200&lt;='组合输入'!$K4,"AAA",IF(O200&lt;='组合输入'!$L4,"AA",IF(O200&lt;='组合输入'!$M4,"A",IF(O200&lt;='组合输入'!$N4,"BBB",IF(O200&lt;='组合输入'!$O4,"BB",IF(O200&lt;='组合输入'!$P4,"B",IF(O200&lt;='组合输入'!$Q4,"CCC","D")))))))</f>
        <v/>
      </c>
      <c r="Q200" s="12">
        <f>IF(P200="","",INDEX('状态价值'!$D4:$K4,MATCH(P200,'状态价值'!$D$1:$K$1,0)))</f>
        <v/>
      </c>
      <c r="R200" s="15">
        <f>NORM.S.INV(RAND())</f>
        <v/>
      </c>
      <c r="S200" s="15">
        <f>IF('组合输入'!$C5="","",'组合输入'!$H5*$B200+SQRT(1-'组合输入'!$H5^2)*R200)</f>
        <v/>
      </c>
      <c r="T200" s="7">
        <f>IF(S200="","",NORM.S.DIST(S200,TRUE))</f>
        <v/>
      </c>
      <c r="U200" s="13">
        <f>IF(T200="","",IF(T200&lt;='组合输入'!$K5,"AAA",IF(T200&lt;='组合输入'!$L5,"AA",IF(T200&lt;='组合输入'!$M5,"A",IF(T200&lt;='组合输入'!$N5,"BBB",IF(T200&lt;='组合输入'!$O5,"BB",IF(T200&lt;='组合输入'!$P5,"B",IF(T200&lt;='组合输入'!$Q5,"CCC","D")))))))</f>
        <v/>
      </c>
      <c r="V200" s="12">
        <f>IF(U200="","",INDEX('状态价值'!$D5:$K5,MATCH(U200,'状态价值'!$D$1:$K$1,0)))</f>
        <v/>
      </c>
      <c r="W200" s="15">
        <f>NORM.S.INV(RAND())</f>
        <v/>
      </c>
      <c r="X200" s="15">
        <f>IF('组合输入'!$C6="","",'组合输入'!$H6*$B200+SQRT(1-'组合输入'!$H6^2)*W200)</f>
        <v/>
      </c>
      <c r="Y200" s="7">
        <f>IF(X200="","",NORM.S.DIST(X200,TRUE))</f>
        <v/>
      </c>
      <c r="Z200" s="13">
        <f>IF(Y200="","",IF(Y200&lt;='组合输入'!$K6,"AAA",IF(Y200&lt;='组合输入'!$L6,"AA",IF(Y200&lt;='组合输入'!$M6,"A",IF(Y200&lt;='组合输入'!$N6,"BBB",IF(Y200&lt;='组合输入'!$O6,"BB",IF(Y200&lt;='组合输入'!$P6,"B",IF(Y200&lt;='组合输入'!$Q6,"CCC","D")))))))</f>
        <v/>
      </c>
      <c r="AA200" s="12">
        <f>IF(Z200="","",INDEX('状态价值'!$D6:$K6,MATCH(Z200,'状态价值'!$D$1:$K$1,0)))</f>
        <v/>
      </c>
      <c r="AB200" s="15">
        <f>NORM.S.INV(RAND())</f>
        <v/>
      </c>
      <c r="AC200" s="15">
        <f>IF('组合输入'!$C7="","",'组合输入'!$H7*$B200+SQRT(1-'组合输入'!$H7^2)*AB200)</f>
        <v/>
      </c>
      <c r="AD200" s="7">
        <f>IF(AC200="","",NORM.S.DIST(AC200,TRUE))</f>
        <v/>
      </c>
      <c r="AE200" s="13">
        <f>IF(AD200="","",IF(AD200&lt;='组合输入'!$K7,"AAA",IF(AD200&lt;='组合输入'!$L7,"AA",IF(AD200&lt;='组合输入'!$M7,"A",IF(AD200&lt;='组合输入'!$N7,"BBB",IF(AD200&lt;='组合输入'!$O7,"BB",IF(AD200&lt;='组合输入'!$P7,"B",IF(AD200&lt;='组合输入'!$Q7,"CCC","D")))))))</f>
        <v/>
      </c>
      <c r="AF200" s="12">
        <f>IF(AE200="","",INDEX('状态价值'!$D7:$K7,MATCH(AE200,'状态价值'!$D$1:$K$1,0)))</f>
        <v/>
      </c>
      <c r="AG200" s="15">
        <f>NORM.S.INV(RAND())</f>
        <v/>
      </c>
      <c r="AH200" s="15">
        <f>IF('组合输入'!$C8="","",'组合输入'!$H8*$B200+SQRT(1-'组合输入'!$H8^2)*AG200)</f>
        <v/>
      </c>
      <c r="AI200" s="7">
        <f>IF(AH200="","",NORM.S.DIST(AH200,TRUE))</f>
        <v/>
      </c>
      <c r="AJ200" s="13">
        <f>IF(AI200="","",IF(AI200&lt;='组合输入'!$K8,"AAA",IF(AI200&lt;='组合输入'!$L8,"AA",IF(AI200&lt;='组合输入'!$M8,"A",IF(AI200&lt;='组合输入'!$N8,"BBB",IF(AI200&lt;='组合输入'!$O8,"BB",IF(AI200&lt;='组合输入'!$P8,"B",IF(AI200&lt;='组合输入'!$Q8,"CCC","D")))))))</f>
        <v/>
      </c>
      <c r="AK200" s="12">
        <f>IF(AJ200="","",INDEX('状态价值'!$D8:$K8,MATCH(AJ200,'状态价值'!$D$1:$K$1,0)))</f>
        <v/>
      </c>
      <c r="AL200" s="15">
        <f>NORM.S.INV(RAND())</f>
        <v/>
      </c>
      <c r="AM200" s="15">
        <f>IF('组合输入'!$C9="","",'组合输入'!$H9*$B200+SQRT(1-'组合输入'!$H9^2)*AL200)</f>
        <v/>
      </c>
      <c r="AN200" s="7">
        <f>IF(AM200="","",NORM.S.DIST(AM200,TRUE))</f>
        <v/>
      </c>
      <c r="AO200" s="13">
        <f>IF(AN200="","",IF(AN200&lt;='组合输入'!$K9,"AAA",IF(AN200&lt;='组合输入'!$L9,"AA",IF(AN200&lt;='组合输入'!$M9,"A",IF(AN200&lt;='组合输入'!$N9,"BBB",IF(AN200&lt;='组合输入'!$O9,"BB",IF(AN200&lt;='组合输入'!$P9,"B",IF(AN200&lt;='组合输入'!$Q9,"CCC","D")))))))</f>
        <v/>
      </c>
      <c r="AP200" s="12">
        <f>IF(AO200="","",INDEX('状态价值'!$D9:$K9,MATCH(AO200,'状态价值'!$D$1:$K$1,0)))</f>
        <v/>
      </c>
      <c r="AQ200" s="15">
        <f>NORM.S.INV(RAND())</f>
        <v/>
      </c>
      <c r="AR200" s="15">
        <f>IF('组合输入'!$C10="","",'组合输入'!$H10*$B200+SQRT(1-'组合输入'!$H10^2)*AQ200)</f>
        <v/>
      </c>
      <c r="AS200" s="7">
        <f>IF(AR200="","",NORM.S.DIST(AR200,TRUE))</f>
        <v/>
      </c>
      <c r="AT200" s="13">
        <f>IF(AS200="","",IF(AS200&lt;='组合输入'!$K10,"AAA",IF(AS200&lt;='组合输入'!$L10,"AA",IF(AS200&lt;='组合输入'!$M10,"A",IF(AS200&lt;='组合输入'!$N10,"BBB",IF(AS200&lt;='组合输入'!$O10,"BB",IF(AS200&lt;='组合输入'!$P10,"B",IF(AS200&lt;='组合输入'!$Q10,"CCC","D")))))))</f>
        <v/>
      </c>
      <c r="AU200" s="12">
        <f>IF(AT200="","",INDEX('状态价值'!$D10:$K10,MATCH(AT200,'状态价值'!$D$1:$K$1,0)))</f>
        <v/>
      </c>
      <c r="AV200" s="15">
        <f>NORM.S.INV(RAND())</f>
        <v/>
      </c>
      <c r="AW200" s="15">
        <f>IF('组合输入'!$C11="","",'组合输入'!$H11*$B200+SQRT(1-'组合输入'!$H11^2)*AV200)</f>
        <v/>
      </c>
      <c r="AX200" s="7">
        <f>IF(AW200="","",NORM.S.DIST(AW200,TRUE))</f>
        <v/>
      </c>
      <c r="AY200" s="13">
        <f>IF(AX200="","",IF(AX200&lt;='组合输入'!$K11,"AAA",IF(AX200&lt;='组合输入'!$L11,"AA",IF(AX200&lt;='组合输入'!$M11,"A",IF(AX200&lt;='组合输入'!$N11,"BBB",IF(AX200&lt;='组合输入'!$O11,"BB",IF(AX200&lt;='组合输入'!$P11,"B",IF(AX200&lt;='组合输入'!$Q11,"CCC","D")))))))</f>
        <v/>
      </c>
      <c r="AZ200" s="12">
        <f>IF(AY200="","",INDEX('状态价值'!$D11:$K11,MATCH(AY200,'状态价值'!$D$1:$K$1,0)))</f>
        <v/>
      </c>
      <c r="BA200" s="12">
        <f>G200+L200+Q200+V200+AA200+AF200+AK200+AP200+AU200+AZ200</f>
        <v/>
      </c>
      <c r="BB200" s="12">
        <f>SUM('组合输入'!$J$2:$J$11)-BA200</f>
        <v/>
      </c>
    </row>
    <row r="201">
      <c r="A201" s="11" t="n">
        <v>200</v>
      </c>
      <c r="B201" s="14">
        <f>NORM.S.INV(RAND())</f>
        <v/>
      </c>
      <c r="C201" s="14">
        <f>NORM.S.INV(RAND())</f>
        <v/>
      </c>
      <c r="D201" s="15">
        <f>IF('组合输入'!$C2="","",'组合输入'!$H2*$B201+SQRT(1-'组合输入'!$H2^2)*C201)</f>
        <v/>
      </c>
      <c r="E201" s="7">
        <f>IF(D201="","",NORM.S.DIST(D201,TRUE))</f>
        <v/>
      </c>
      <c r="F201" s="13">
        <f>IF(E201="","",IF(E201&lt;='组合输入'!$K2,"AAA",IF(E201&lt;='组合输入'!$L2,"AA",IF(E201&lt;='组合输入'!$M2,"A",IF(E201&lt;='组合输入'!$N2,"BBB",IF(E201&lt;='组合输入'!$O2,"BB",IF(E201&lt;='组合输入'!$P2,"B",IF(E201&lt;='组合输入'!$Q2,"CCC","D")))))))</f>
        <v/>
      </c>
      <c r="G201" s="12">
        <f>IF(F201="","",INDEX('状态价值'!$D2:$K2,MATCH(F201,'状态价值'!$D$1:$K$1,0)))</f>
        <v/>
      </c>
      <c r="H201" s="15">
        <f>NORM.S.INV(RAND())</f>
        <v/>
      </c>
      <c r="I201" s="15">
        <f>IF('组合输入'!$C3="","",'组合输入'!$H3*$B201+SQRT(1-'组合输入'!$H3^2)*H201)</f>
        <v/>
      </c>
      <c r="J201" s="7">
        <f>IF(I201="","",NORM.S.DIST(I201,TRUE))</f>
        <v/>
      </c>
      <c r="K201" s="13">
        <f>IF(J201="","",IF(J201&lt;='组合输入'!$K3,"AAA",IF(J201&lt;='组合输入'!$L3,"AA",IF(J201&lt;='组合输入'!$M3,"A",IF(J201&lt;='组合输入'!$N3,"BBB",IF(J201&lt;='组合输入'!$O3,"BB",IF(J201&lt;='组合输入'!$P3,"B",IF(J201&lt;='组合输入'!$Q3,"CCC","D")))))))</f>
        <v/>
      </c>
      <c r="L201" s="12">
        <f>IF(K201="","",INDEX('状态价值'!$D3:$K3,MATCH(K201,'状态价值'!$D$1:$K$1,0)))</f>
        <v/>
      </c>
      <c r="M201" s="15">
        <f>NORM.S.INV(RAND())</f>
        <v/>
      </c>
      <c r="N201" s="15">
        <f>IF('组合输入'!$C4="","",'组合输入'!$H4*$B201+SQRT(1-'组合输入'!$H4^2)*M201)</f>
        <v/>
      </c>
      <c r="O201" s="7">
        <f>IF(N201="","",NORM.S.DIST(N201,TRUE))</f>
        <v/>
      </c>
      <c r="P201" s="13">
        <f>IF(O201="","",IF(O201&lt;='组合输入'!$K4,"AAA",IF(O201&lt;='组合输入'!$L4,"AA",IF(O201&lt;='组合输入'!$M4,"A",IF(O201&lt;='组合输入'!$N4,"BBB",IF(O201&lt;='组合输入'!$O4,"BB",IF(O201&lt;='组合输入'!$P4,"B",IF(O201&lt;='组合输入'!$Q4,"CCC","D")))))))</f>
        <v/>
      </c>
      <c r="Q201" s="12">
        <f>IF(P201="","",INDEX('状态价值'!$D4:$K4,MATCH(P201,'状态价值'!$D$1:$K$1,0)))</f>
        <v/>
      </c>
      <c r="R201" s="15">
        <f>NORM.S.INV(RAND())</f>
        <v/>
      </c>
      <c r="S201" s="15">
        <f>IF('组合输入'!$C5="","",'组合输入'!$H5*$B201+SQRT(1-'组合输入'!$H5^2)*R201)</f>
        <v/>
      </c>
      <c r="T201" s="7">
        <f>IF(S201="","",NORM.S.DIST(S201,TRUE))</f>
        <v/>
      </c>
      <c r="U201" s="13">
        <f>IF(T201="","",IF(T201&lt;='组合输入'!$K5,"AAA",IF(T201&lt;='组合输入'!$L5,"AA",IF(T201&lt;='组合输入'!$M5,"A",IF(T201&lt;='组合输入'!$N5,"BBB",IF(T201&lt;='组合输入'!$O5,"BB",IF(T201&lt;='组合输入'!$P5,"B",IF(T201&lt;='组合输入'!$Q5,"CCC","D")))))))</f>
        <v/>
      </c>
      <c r="V201" s="12">
        <f>IF(U201="","",INDEX('状态价值'!$D5:$K5,MATCH(U201,'状态价值'!$D$1:$K$1,0)))</f>
        <v/>
      </c>
      <c r="W201" s="15">
        <f>NORM.S.INV(RAND())</f>
        <v/>
      </c>
      <c r="X201" s="15">
        <f>IF('组合输入'!$C6="","",'组合输入'!$H6*$B201+SQRT(1-'组合输入'!$H6^2)*W201)</f>
        <v/>
      </c>
      <c r="Y201" s="7">
        <f>IF(X201="","",NORM.S.DIST(X201,TRUE))</f>
        <v/>
      </c>
      <c r="Z201" s="13">
        <f>IF(Y201="","",IF(Y201&lt;='组合输入'!$K6,"AAA",IF(Y201&lt;='组合输入'!$L6,"AA",IF(Y201&lt;='组合输入'!$M6,"A",IF(Y201&lt;='组合输入'!$N6,"BBB",IF(Y201&lt;='组合输入'!$O6,"BB",IF(Y201&lt;='组合输入'!$P6,"B",IF(Y201&lt;='组合输入'!$Q6,"CCC","D")))))))</f>
        <v/>
      </c>
      <c r="AA201" s="12">
        <f>IF(Z201="","",INDEX('状态价值'!$D6:$K6,MATCH(Z201,'状态价值'!$D$1:$K$1,0)))</f>
        <v/>
      </c>
      <c r="AB201" s="15">
        <f>NORM.S.INV(RAND())</f>
        <v/>
      </c>
      <c r="AC201" s="15">
        <f>IF('组合输入'!$C7="","",'组合输入'!$H7*$B201+SQRT(1-'组合输入'!$H7^2)*AB201)</f>
        <v/>
      </c>
      <c r="AD201" s="7">
        <f>IF(AC201="","",NORM.S.DIST(AC201,TRUE))</f>
        <v/>
      </c>
      <c r="AE201" s="13">
        <f>IF(AD201="","",IF(AD201&lt;='组合输入'!$K7,"AAA",IF(AD201&lt;='组合输入'!$L7,"AA",IF(AD201&lt;='组合输入'!$M7,"A",IF(AD201&lt;='组合输入'!$N7,"BBB",IF(AD201&lt;='组合输入'!$O7,"BB",IF(AD201&lt;='组合输入'!$P7,"B",IF(AD201&lt;='组合输入'!$Q7,"CCC","D")))))))</f>
        <v/>
      </c>
      <c r="AF201" s="12">
        <f>IF(AE201="","",INDEX('状态价值'!$D7:$K7,MATCH(AE201,'状态价值'!$D$1:$K$1,0)))</f>
        <v/>
      </c>
      <c r="AG201" s="15">
        <f>NORM.S.INV(RAND())</f>
        <v/>
      </c>
      <c r="AH201" s="15">
        <f>IF('组合输入'!$C8="","",'组合输入'!$H8*$B201+SQRT(1-'组合输入'!$H8^2)*AG201)</f>
        <v/>
      </c>
      <c r="AI201" s="7">
        <f>IF(AH201="","",NORM.S.DIST(AH201,TRUE))</f>
        <v/>
      </c>
      <c r="AJ201" s="13">
        <f>IF(AI201="","",IF(AI201&lt;='组合输入'!$K8,"AAA",IF(AI201&lt;='组合输入'!$L8,"AA",IF(AI201&lt;='组合输入'!$M8,"A",IF(AI201&lt;='组合输入'!$N8,"BBB",IF(AI201&lt;='组合输入'!$O8,"BB",IF(AI201&lt;='组合输入'!$P8,"B",IF(AI201&lt;='组合输入'!$Q8,"CCC","D")))))))</f>
        <v/>
      </c>
      <c r="AK201" s="12">
        <f>IF(AJ201="","",INDEX('状态价值'!$D8:$K8,MATCH(AJ201,'状态价值'!$D$1:$K$1,0)))</f>
        <v/>
      </c>
      <c r="AL201" s="15">
        <f>NORM.S.INV(RAND())</f>
        <v/>
      </c>
      <c r="AM201" s="15">
        <f>IF('组合输入'!$C9="","",'组合输入'!$H9*$B201+SQRT(1-'组合输入'!$H9^2)*AL201)</f>
        <v/>
      </c>
      <c r="AN201" s="7">
        <f>IF(AM201="","",NORM.S.DIST(AM201,TRUE))</f>
        <v/>
      </c>
      <c r="AO201" s="13">
        <f>IF(AN201="","",IF(AN201&lt;='组合输入'!$K9,"AAA",IF(AN201&lt;='组合输入'!$L9,"AA",IF(AN201&lt;='组合输入'!$M9,"A",IF(AN201&lt;='组合输入'!$N9,"BBB",IF(AN201&lt;='组合输入'!$O9,"BB",IF(AN201&lt;='组合输入'!$P9,"B",IF(AN201&lt;='组合输入'!$Q9,"CCC","D")))))))</f>
        <v/>
      </c>
      <c r="AP201" s="12">
        <f>IF(AO201="","",INDEX('状态价值'!$D9:$K9,MATCH(AO201,'状态价值'!$D$1:$K$1,0)))</f>
        <v/>
      </c>
      <c r="AQ201" s="15">
        <f>NORM.S.INV(RAND())</f>
        <v/>
      </c>
      <c r="AR201" s="15">
        <f>IF('组合输入'!$C10="","",'组合输入'!$H10*$B201+SQRT(1-'组合输入'!$H10^2)*AQ201)</f>
        <v/>
      </c>
      <c r="AS201" s="7">
        <f>IF(AR201="","",NORM.S.DIST(AR201,TRUE))</f>
        <v/>
      </c>
      <c r="AT201" s="13">
        <f>IF(AS201="","",IF(AS201&lt;='组合输入'!$K10,"AAA",IF(AS201&lt;='组合输入'!$L10,"AA",IF(AS201&lt;='组合输入'!$M10,"A",IF(AS201&lt;='组合输入'!$N10,"BBB",IF(AS201&lt;='组合输入'!$O10,"BB",IF(AS201&lt;='组合输入'!$P10,"B",IF(AS201&lt;='组合输入'!$Q10,"CCC","D")))))))</f>
        <v/>
      </c>
      <c r="AU201" s="12">
        <f>IF(AT201="","",INDEX('状态价值'!$D10:$K10,MATCH(AT201,'状态价值'!$D$1:$K$1,0)))</f>
        <v/>
      </c>
      <c r="AV201" s="15">
        <f>NORM.S.INV(RAND())</f>
        <v/>
      </c>
      <c r="AW201" s="15">
        <f>IF('组合输入'!$C11="","",'组合输入'!$H11*$B201+SQRT(1-'组合输入'!$H11^2)*AV201)</f>
        <v/>
      </c>
      <c r="AX201" s="7">
        <f>IF(AW201="","",NORM.S.DIST(AW201,TRUE))</f>
        <v/>
      </c>
      <c r="AY201" s="13">
        <f>IF(AX201="","",IF(AX201&lt;='组合输入'!$K11,"AAA",IF(AX201&lt;='组合输入'!$L11,"AA",IF(AX201&lt;='组合输入'!$M11,"A",IF(AX201&lt;='组合输入'!$N11,"BBB",IF(AX201&lt;='组合输入'!$O11,"BB",IF(AX201&lt;='组合输入'!$P11,"B",IF(AX201&lt;='组合输入'!$Q11,"CCC","D")))))))</f>
        <v/>
      </c>
      <c r="AZ201" s="12">
        <f>IF(AY201="","",INDEX('状态价值'!$D11:$K11,MATCH(AY201,'状态价值'!$D$1:$K$1,0)))</f>
        <v/>
      </c>
      <c r="BA201" s="12">
        <f>G201+L201+Q201+V201+AA201+AF201+AK201+AP201+AU201+AZ201</f>
        <v/>
      </c>
      <c r="BB201" s="12">
        <f>SUM('组合输入'!$J$2:$J$11)-BA201</f>
        <v/>
      </c>
    </row>
    <row r="202">
      <c r="A202" s="11" t="n">
        <v>201</v>
      </c>
      <c r="B202" s="14">
        <f>NORM.S.INV(RAND())</f>
        <v/>
      </c>
      <c r="C202" s="14">
        <f>NORM.S.INV(RAND())</f>
        <v/>
      </c>
      <c r="D202" s="15">
        <f>IF('组合输入'!$C2="","",'组合输入'!$H2*$B202+SQRT(1-'组合输入'!$H2^2)*C202)</f>
        <v/>
      </c>
      <c r="E202" s="7">
        <f>IF(D202="","",NORM.S.DIST(D202,TRUE))</f>
        <v/>
      </c>
      <c r="F202" s="13">
        <f>IF(E202="","",IF(E202&lt;='组合输入'!$K2,"AAA",IF(E202&lt;='组合输入'!$L2,"AA",IF(E202&lt;='组合输入'!$M2,"A",IF(E202&lt;='组合输入'!$N2,"BBB",IF(E202&lt;='组合输入'!$O2,"BB",IF(E202&lt;='组合输入'!$P2,"B",IF(E202&lt;='组合输入'!$Q2,"CCC","D")))))))</f>
        <v/>
      </c>
      <c r="G202" s="12">
        <f>IF(F202="","",INDEX('状态价值'!$D2:$K2,MATCH(F202,'状态价值'!$D$1:$K$1,0)))</f>
        <v/>
      </c>
      <c r="H202" s="15">
        <f>NORM.S.INV(RAND())</f>
        <v/>
      </c>
      <c r="I202" s="15">
        <f>IF('组合输入'!$C3="","",'组合输入'!$H3*$B202+SQRT(1-'组合输入'!$H3^2)*H202)</f>
        <v/>
      </c>
      <c r="J202" s="7">
        <f>IF(I202="","",NORM.S.DIST(I202,TRUE))</f>
        <v/>
      </c>
      <c r="K202" s="13">
        <f>IF(J202="","",IF(J202&lt;='组合输入'!$K3,"AAA",IF(J202&lt;='组合输入'!$L3,"AA",IF(J202&lt;='组合输入'!$M3,"A",IF(J202&lt;='组合输入'!$N3,"BBB",IF(J202&lt;='组合输入'!$O3,"BB",IF(J202&lt;='组合输入'!$P3,"B",IF(J202&lt;='组合输入'!$Q3,"CCC","D")))))))</f>
        <v/>
      </c>
      <c r="L202" s="12">
        <f>IF(K202="","",INDEX('状态价值'!$D3:$K3,MATCH(K202,'状态价值'!$D$1:$K$1,0)))</f>
        <v/>
      </c>
      <c r="M202" s="15">
        <f>NORM.S.INV(RAND())</f>
        <v/>
      </c>
      <c r="N202" s="15">
        <f>IF('组合输入'!$C4="","",'组合输入'!$H4*$B202+SQRT(1-'组合输入'!$H4^2)*M202)</f>
        <v/>
      </c>
      <c r="O202" s="7">
        <f>IF(N202="","",NORM.S.DIST(N202,TRUE))</f>
        <v/>
      </c>
      <c r="P202" s="13">
        <f>IF(O202="","",IF(O202&lt;='组合输入'!$K4,"AAA",IF(O202&lt;='组合输入'!$L4,"AA",IF(O202&lt;='组合输入'!$M4,"A",IF(O202&lt;='组合输入'!$N4,"BBB",IF(O202&lt;='组合输入'!$O4,"BB",IF(O202&lt;='组合输入'!$P4,"B",IF(O202&lt;='组合输入'!$Q4,"CCC","D")))))))</f>
        <v/>
      </c>
      <c r="Q202" s="12">
        <f>IF(P202="","",INDEX('状态价值'!$D4:$K4,MATCH(P202,'状态价值'!$D$1:$K$1,0)))</f>
        <v/>
      </c>
      <c r="R202" s="15">
        <f>NORM.S.INV(RAND())</f>
        <v/>
      </c>
      <c r="S202" s="15">
        <f>IF('组合输入'!$C5="","",'组合输入'!$H5*$B202+SQRT(1-'组合输入'!$H5^2)*R202)</f>
        <v/>
      </c>
      <c r="T202" s="7">
        <f>IF(S202="","",NORM.S.DIST(S202,TRUE))</f>
        <v/>
      </c>
      <c r="U202" s="13">
        <f>IF(T202="","",IF(T202&lt;='组合输入'!$K5,"AAA",IF(T202&lt;='组合输入'!$L5,"AA",IF(T202&lt;='组合输入'!$M5,"A",IF(T202&lt;='组合输入'!$N5,"BBB",IF(T202&lt;='组合输入'!$O5,"BB",IF(T202&lt;='组合输入'!$P5,"B",IF(T202&lt;='组合输入'!$Q5,"CCC","D")))))))</f>
        <v/>
      </c>
      <c r="V202" s="12">
        <f>IF(U202="","",INDEX('状态价值'!$D5:$K5,MATCH(U202,'状态价值'!$D$1:$K$1,0)))</f>
        <v/>
      </c>
      <c r="W202" s="15">
        <f>NORM.S.INV(RAND())</f>
        <v/>
      </c>
      <c r="X202" s="15">
        <f>IF('组合输入'!$C6="","",'组合输入'!$H6*$B202+SQRT(1-'组合输入'!$H6^2)*W202)</f>
        <v/>
      </c>
      <c r="Y202" s="7">
        <f>IF(X202="","",NORM.S.DIST(X202,TRUE))</f>
        <v/>
      </c>
      <c r="Z202" s="13">
        <f>IF(Y202="","",IF(Y202&lt;='组合输入'!$K6,"AAA",IF(Y202&lt;='组合输入'!$L6,"AA",IF(Y202&lt;='组合输入'!$M6,"A",IF(Y202&lt;='组合输入'!$N6,"BBB",IF(Y202&lt;='组合输入'!$O6,"BB",IF(Y202&lt;='组合输入'!$P6,"B",IF(Y202&lt;='组合输入'!$Q6,"CCC","D")))))))</f>
        <v/>
      </c>
      <c r="AA202" s="12">
        <f>IF(Z202="","",INDEX('状态价值'!$D6:$K6,MATCH(Z202,'状态价值'!$D$1:$K$1,0)))</f>
        <v/>
      </c>
      <c r="AB202" s="15">
        <f>NORM.S.INV(RAND())</f>
        <v/>
      </c>
      <c r="AC202" s="15">
        <f>IF('组合输入'!$C7="","",'组合输入'!$H7*$B202+SQRT(1-'组合输入'!$H7^2)*AB202)</f>
        <v/>
      </c>
      <c r="AD202" s="7">
        <f>IF(AC202="","",NORM.S.DIST(AC202,TRUE))</f>
        <v/>
      </c>
      <c r="AE202" s="13">
        <f>IF(AD202="","",IF(AD202&lt;='组合输入'!$K7,"AAA",IF(AD202&lt;='组合输入'!$L7,"AA",IF(AD202&lt;='组合输入'!$M7,"A",IF(AD202&lt;='组合输入'!$N7,"BBB",IF(AD202&lt;='组合输入'!$O7,"BB",IF(AD202&lt;='组合输入'!$P7,"B",IF(AD202&lt;='组合输入'!$Q7,"CCC","D")))))))</f>
        <v/>
      </c>
      <c r="AF202" s="12">
        <f>IF(AE202="","",INDEX('状态价值'!$D7:$K7,MATCH(AE202,'状态价值'!$D$1:$K$1,0)))</f>
        <v/>
      </c>
      <c r="AG202" s="15">
        <f>NORM.S.INV(RAND())</f>
        <v/>
      </c>
      <c r="AH202" s="15">
        <f>IF('组合输入'!$C8="","",'组合输入'!$H8*$B202+SQRT(1-'组合输入'!$H8^2)*AG202)</f>
        <v/>
      </c>
      <c r="AI202" s="7">
        <f>IF(AH202="","",NORM.S.DIST(AH202,TRUE))</f>
        <v/>
      </c>
      <c r="AJ202" s="13">
        <f>IF(AI202="","",IF(AI202&lt;='组合输入'!$K8,"AAA",IF(AI202&lt;='组合输入'!$L8,"AA",IF(AI202&lt;='组合输入'!$M8,"A",IF(AI202&lt;='组合输入'!$N8,"BBB",IF(AI202&lt;='组合输入'!$O8,"BB",IF(AI202&lt;='组合输入'!$P8,"B",IF(AI202&lt;='组合输入'!$Q8,"CCC","D")))))))</f>
        <v/>
      </c>
      <c r="AK202" s="12">
        <f>IF(AJ202="","",INDEX('状态价值'!$D8:$K8,MATCH(AJ202,'状态价值'!$D$1:$K$1,0)))</f>
        <v/>
      </c>
      <c r="AL202" s="15">
        <f>NORM.S.INV(RAND())</f>
        <v/>
      </c>
      <c r="AM202" s="15">
        <f>IF('组合输入'!$C9="","",'组合输入'!$H9*$B202+SQRT(1-'组合输入'!$H9^2)*AL202)</f>
        <v/>
      </c>
      <c r="AN202" s="7">
        <f>IF(AM202="","",NORM.S.DIST(AM202,TRUE))</f>
        <v/>
      </c>
      <c r="AO202" s="13">
        <f>IF(AN202="","",IF(AN202&lt;='组合输入'!$K9,"AAA",IF(AN202&lt;='组合输入'!$L9,"AA",IF(AN202&lt;='组合输入'!$M9,"A",IF(AN202&lt;='组合输入'!$N9,"BBB",IF(AN202&lt;='组合输入'!$O9,"BB",IF(AN202&lt;='组合输入'!$P9,"B",IF(AN202&lt;='组合输入'!$Q9,"CCC","D")))))))</f>
        <v/>
      </c>
      <c r="AP202" s="12">
        <f>IF(AO202="","",INDEX('状态价值'!$D9:$K9,MATCH(AO202,'状态价值'!$D$1:$K$1,0)))</f>
        <v/>
      </c>
      <c r="AQ202" s="15">
        <f>NORM.S.INV(RAND())</f>
        <v/>
      </c>
      <c r="AR202" s="15">
        <f>IF('组合输入'!$C10="","",'组合输入'!$H10*$B202+SQRT(1-'组合输入'!$H10^2)*AQ202)</f>
        <v/>
      </c>
      <c r="AS202" s="7">
        <f>IF(AR202="","",NORM.S.DIST(AR202,TRUE))</f>
        <v/>
      </c>
      <c r="AT202" s="13">
        <f>IF(AS202="","",IF(AS202&lt;='组合输入'!$K10,"AAA",IF(AS202&lt;='组合输入'!$L10,"AA",IF(AS202&lt;='组合输入'!$M10,"A",IF(AS202&lt;='组合输入'!$N10,"BBB",IF(AS202&lt;='组合输入'!$O10,"BB",IF(AS202&lt;='组合输入'!$P10,"B",IF(AS202&lt;='组合输入'!$Q10,"CCC","D")))))))</f>
        <v/>
      </c>
      <c r="AU202" s="12">
        <f>IF(AT202="","",INDEX('状态价值'!$D10:$K10,MATCH(AT202,'状态价值'!$D$1:$K$1,0)))</f>
        <v/>
      </c>
      <c r="AV202" s="15">
        <f>NORM.S.INV(RAND())</f>
        <v/>
      </c>
      <c r="AW202" s="15">
        <f>IF('组合输入'!$C11="","",'组合输入'!$H11*$B202+SQRT(1-'组合输入'!$H11^2)*AV202)</f>
        <v/>
      </c>
      <c r="AX202" s="7">
        <f>IF(AW202="","",NORM.S.DIST(AW202,TRUE))</f>
        <v/>
      </c>
      <c r="AY202" s="13">
        <f>IF(AX202="","",IF(AX202&lt;='组合输入'!$K11,"AAA",IF(AX202&lt;='组合输入'!$L11,"AA",IF(AX202&lt;='组合输入'!$M11,"A",IF(AX202&lt;='组合输入'!$N11,"BBB",IF(AX202&lt;='组合输入'!$O11,"BB",IF(AX202&lt;='组合输入'!$P11,"B",IF(AX202&lt;='组合输入'!$Q11,"CCC","D")))))))</f>
        <v/>
      </c>
      <c r="AZ202" s="12">
        <f>IF(AY202="","",INDEX('状态价值'!$D11:$K11,MATCH(AY202,'状态价值'!$D$1:$K$1,0)))</f>
        <v/>
      </c>
      <c r="BA202" s="12">
        <f>G202+L202+Q202+V202+AA202+AF202+AK202+AP202+AU202+AZ202</f>
        <v/>
      </c>
      <c r="BB202" s="12">
        <f>SUM('组合输入'!$J$2:$J$11)-BA202</f>
        <v/>
      </c>
    </row>
    <row r="203">
      <c r="A203" s="11" t="n">
        <v>202</v>
      </c>
      <c r="B203" s="14">
        <f>NORM.S.INV(RAND())</f>
        <v/>
      </c>
      <c r="C203" s="14">
        <f>NORM.S.INV(RAND())</f>
        <v/>
      </c>
      <c r="D203" s="15">
        <f>IF('组合输入'!$C2="","",'组合输入'!$H2*$B203+SQRT(1-'组合输入'!$H2^2)*C203)</f>
        <v/>
      </c>
      <c r="E203" s="7">
        <f>IF(D203="","",NORM.S.DIST(D203,TRUE))</f>
        <v/>
      </c>
      <c r="F203" s="13">
        <f>IF(E203="","",IF(E203&lt;='组合输入'!$K2,"AAA",IF(E203&lt;='组合输入'!$L2,"AA",IF(E203&lt;='组合输入'!$M2,"A",IF(E203&lt;='组合输入'!$N2,"BBB",IF(E203&lt;='组合输入'!$O2,"BB",IF(E203&lt;='组合输入'!$P2,"B",IF(E203&lt;='组合输入'!$Q2,"CCC","D")))))))</f>
        <v/>
      </c>
      <c r="G203" s="12">
        <f>IF(F203="","",INDEX('状态价值'!$D2:$K2,MATCH(F203,'状态价值'!$D$1:$K$1,0)))</f>
        <v/>
      </c>
      <c r="H203" s="15">
        <f>NORM.S.INV(RAND())</f>
        <v/>
      </c>
      <c r="I203" s="15">
        <f>IF('组合输入'!$C3="","",'组合输入'!$H3*$B203+SQRT(1-'组合输入'!$H3^2)*H203)</f>
        <v/>
      </c>
      <c r="J203" s="7">
        <f>IF(I203="","",NORM.S.DIST(I203,TRUE))</f>
        <v/>
      </c>
      <c r="K203" s="13">
        <f>IF(J203="","",IF(J203&lt;='组合输入'!$K3,"AAA",IF(J203&lt;='组合输入'!$L3,"AA",IF(J203&lt;='组合输入'!$M3,"A",IF(J203&lt;='组合输入'!$N3,"BBB",IF(J203&lt;='组合输入'!$O3,"BB",IF(J203&lt;='组合输入'!$P3,"B",IF(J203&lt;='组合输入'!$Q3,"CCC","D")))))))</f>
        <v/>
      </c>
      <c r="L203" s="12">
        <f>IF(K203="","",INDEX('状态价值'!$D3:$K3,MATCH(K203,'状态价值'!$D$1:$K$1,0)))</f>
        <v/>
      </c>
      <c r="M203" s="15">
        <f>NORM.S.INV(RAND())</f>
        <v/>
      </c>
      <c r="N203" s="15">
        <f>IF('组合输入'!$C4="","",'组合输入'!$H4*$B203+SQRT(1-'组合输入'!$H4^2)*M203)</f>
        <v/>
      </c>
      <c r="O203" s="7">
        <f>IF(N203="","",NORM.S.DIST(N203,TRUE))</f>
        <v/>
      </c>
      <c r="P203" s="13">
        <f>IF(O203="","",IF(O203&lt;='组合输入'!$K4,"AAA",IF(O203&lt;='组合输入'!$L4,"AA",IF(O203&lt;='组合输入'!$M4,"A",IF(O203&lt;='组合输入'!$N4,"BBB",IF(O203&lt;='组合输入'!$O4,"BB",IF(O203&lt;='组合输入'!$P4,"B",IF(O203&lt;='组合输入'!$Q4,"CCC","D")))))))</f>
        <v/>
      </c>
      <c r="Q203" s="12">
        <f>IF(P203="","",INDEX('状态价值'!$D4:$K4,MATCH(P203,'状态价值'!$D$1:$K$1,0)))</f>
        <v/>
      </c>
      <c r="R203" s="15">
        <f>NORM.S.INV(RAND())</f>
        <v/>
      </c>
      <c r="S203" s="15">
        <f>IF('组合输入'!$C5="","",'组合输入'!$H5*$B203+SQRT(1-'组合输入'!$H5^2)*R203)</f>
        <v/>
      </c>
      <c r="T203" s="7">
        <f>IF(S203="","",NORM.S.DIST(S203,TRUE))</f>
        <v/>
      </c>
      <c r="U203" s="13">
        <f>IF(T203="","",IF(T203&lt;='组合输入'!$K5,"AAA",IF(T203&lt;='组合输入'!$L5,"AA",IF(T203&lt;='组合输入'!$M5,"A",IF(T203&lt;='组合输入'!$N5,"BBB",IF(T203&lt;='组合输入'!$O5,"BB",IF(T203&lt;='组合输入'!$P5,"B",IF(T203&lt;='组合输入'!$Q5,"CCC","D")))))))</f>
        <v/>
      </c>
      <c r="V203" s="12">
        <f>IF(U203="","",INDEX('状态价值'!$D5:$K5,MATCH(U203,'状态价值'!$D$1:$K$1,0)))</f>
        <v/>
      </c>
      <c r="W203" s="15">
        <f>NORM.S.INV(RAND())</f>
        <v/>
      </c>
      <c r="X203" s="15">
        <f>IF('组合输入'!$C6="","",'组合输入'!$H6*$B203+SQRT(1-'组合输入'!$H6^2)*W203)</f>
        <v/>
      </c>
      <c r="Y203" s="7">
        <f>IF(X203="","",NORM.S.DIST(X203,TRUE))</f>
        <v/>
      </c>
      <c r="Z203" s="13">
        <f>IF(Y203="","",IF(Y203&lt;='组合输入'!$K6,"AAA",IF(Y203&lt;='组合输入'!$L6,"AA",IF(Y203&lt;='组合输入'!$M6,"A",IF(Y203&lt;='组合输入'!$N6,"BBB",IF(Y203&lt;='组合输入'!$O6,"BB",IF(Y203&lt;='组合输入'!$P6,"B",IF(Y203&lt;='组合输入'!$Q6,"CCC","D")))))))</f>
        <v/>
      </c>
      <c r="AA203" s="12">
        <f>IF(Z203="","",INDEX('状态价值'!$D6:$K6,MATCH(Z203,'状态价值'!$D$1:$K$1,0)))</f>
        <v/>
      </c>
      <c r="AB203" s="15">
        <f>NORM.S.INV(RAND())</f>
        <v/>
      </c>
      <c r="AC203" s="15">
        <f>IF('组合输入'!$C7="","",'组合输入'!$H7*$B203+SQRT(1-'组合输入'!$H7^2)*AB203)</f>
        <v/>
      </c>
      <c r="AD203" s="7">
        <f>IF(AC203="","",NORM.S.DIST(AC203,TRUE))</f>
        <v/>
      </c>
      <c r="AE203" s="13">
        <f>IF(AD203="","",IF(AD203&lt;='组合输入'!$K7,"AAA",IF(AD203&lt;='组合输入'!$L7,"AA",IF(AD203&lt;='组合输入'!$M7,"A",IF(AD203&lt;='组合输入'!$N7,"BBB",IF(AD203&lt;='组合输入'!$O7,"BB",IF(AD203&lt;='组合输入'!$P7,"B",IF(AD203&lt;='组合输入'!$Q7,"CCC","D")))))))</f>
        <v/>
      </c>
      <c r="AF203" s="12">
        <f>IF(AE203="","",INDEX('状态价值'!$D7:$K7,MATCH(AE203,'状态价值'!$D$1:$K$1,0)))</f>
        <v/>
      </c>
      <c r="AG203" s="15">
        <f>NORM.S.INV(RAND())</f>
        <v/>
      </c>
      <c r="AH203" s="15">
        <f>IF('组合输入'!$C8="","",'组合输入'!$H8*$B203+SQRT(1-'组合输入'!$H8^2)*AG203)</f>
        <v/>
      </c>
      <c r="AI203" s="7">
        <f>IF(AH203="","",NORM.S.DIST(AH203,TRUE))</f>
        <v/>
      </c>
      <c r="AJ203" s="13">
        <f>IF(AI203="","",IF(AI203&lt;='组合输入'!$K8,"AAA",IF(AI203&lt;='组合输入'!$L8,"AA",IF(AI203&lt;='组合输入'!$M8,"A",IF(AI203&lt;='组合输入'!$N8,"BBB",IF(AI203&lt;='组合输入'!$O8,"BB",IF(AI203&lt;='组合输入'!$P8,"B",IF(AI203&lt;='组合输入'!$Q8,"CCC","D")))))))</f>
        <v/>
      </c>
      <c r="AK203" s="12">
        <f>IF(AJ203="","",INDEX('状态价值'!$D8:$K8,MATCH(AJ203,'状态价值'!$D$1:$K$1,0)))</f>
        <v/>
      </c>
      <c r="AL203" s="15">
        <f>NORM.S.INV(RAND())</f>
        <v/>
      </c>
      <c r="AM203" s="15">
        <f>IF('组合输入'!$C9="","",'组合输入'!$H9*$B203+SQRT(1-'组合输入'!$H9^2)*AL203)</f>
        <v/>
      </c>
      <c r="AN203" s="7">
        <f>IF(AM203="","",NORM.S.DIST(AM203,TRUE))</f>
        <v/>
      </c>
      <c r="AO203" s="13">
        <f>IF(AN203="","",IF(AN203&lt;='组合输入'!$K9,"AAA",IF(AN203&lt;='组合输入'!$L9,"AA",IF(AN203&lt;='组合输入'!$M9,"A",IF(AN203&lt;='组合输入'!$N9,"BBB",IF(AN203&lt;='组合输入'!$O9,"BB",IF(AN203&lt;='组合输入'!$P9,"B",IF(AN203&lt;='组合输入'!$Q9,"CCC","D")))))))</f>
        <v/>
      </c>
      <c r="AP203" s="12">
        <f>IF(AO203="","",INDEX('状态价值'!$D9:$K9,MATCH(AO203,'状态价值'!$D$1:$K$1,0)))</f>
        <v/>
      </c>
      <c r="AQ203" s="15">
        <f>NORM.S.INV(RAND())</f>
        <v/>
      </c>
      <c r="AR203" s="15">
        <f>IF('组合输入'!$C10="","",'组合输入'!$H10*$B203+SQRT(1-'组合输入'!$H10^2)*AQ203)</f>
        <v/>
      </c>
      <c r="AS203" s="7">
        <f>IF(AR203="","",NORM.S.DIST(AR203,TRUE))</f>
        <v/>
      </c>
      <c r="AT203" s="13">
        <f>IF(AS203="","",IF(AS203&lt;='组合输入'!$K10,"AAA",IF(AS203&lt;='组合输入'!$L10,"AA",IF(AS203&lt;='组合输入'!$M10,"A",IF(AS203&lt;='组合输入'!$N10,"BBB",IF(AS203&lt;='组合输入'!$O10,"BB",IF(AS203&lt;='组合输入'!$P10,"B",IF(AS203&lt;='组合输入'!$Q10,"CCC","D")))))))</f>
        <v/>
      </c>
      <c r="AU203" s="12">
        <f>IF(AT203="","",INDEX('状态价值'!$D10:$K10,MATCH(AT203,'状态价值'!$D$1:$K$1,0)))</f>
        <v/>
      </c>
      <c r="AV203" s="15">
        <f>NORM.S.INV(RAND())</f>
        <v/>
      </c>
      <c r="AW203" s="15">
        <f>IF('组合输入'!$C11="","",'组合输入'!$H11*$B203+SQRT(1-'组合输入'!$H11^2)*AV203)</f>
        <v/>
      </c>
      <c r="AX203" s="7">
        <f>IF(AW203="","",NORM.S.DIST(AW203,TRUE))</f>
        <v/>
      </c>
      <c r="AY203" s="13">
        <f>IF(AX203="","",IF(AX203&lt;='组合输入'!$K11,"AAA",IF(AX203&lt;='组合输入'!$L11,"AA",IF(AX203&lt;='组合输入'!$M11,"A",IF(AX203&lt;='组合输入'!$N11,"BBB",IF(AX203&lt;='组合输入'!$O11,"BB",IF(AX203&lt;='组合输入'!$P11,"B",IF(AX203&lt;='组合输入'!$Q11,"CCC","D")))))))</f>
        <v/>
      </c>
      <c r="AZ203" s="12">
        <f>IF(AY203="","",INDEX('状态价值'!$D11:$K11,MATCH(AY203,'状态价值'!$D$1:$K$1,0)))</f>
        <v/>
      </c>
      <c r="BA203" s="12">
        <f>G203+L203+Q203+V203+AA203+AF203+AK203+AP203+AU203+AZ203</f>
        <v/>
      </c>
      <c r="BB203" s="12">
        <f>SUM('组合输入'!$J$2:$J$11)-BA203</f>
        <v/>
      </c>
    </row>
    <row r="204">
      <c r="A204" s="11" t="n">
        <v>203</v>
      </c>
      <c r="B204" s="14">
        <f>NORM.S.INV(RAND())</f>
        <v/>
      </c>
      <c r="C204" s="14">
        <f>NORM.S.INV(RAND())</f>
        <v/>
      </c>
      <c r="D204" s="15">
        <f>IF('组合输入'!$C2="","",'组合输入'!$H2*$B204+SQRT(1-'组合输入'!$H2^2)*C204)</f>
        <v/>
      </c>
      <c r="E204" s="7">
        <f>IF(D204="","",NORM.S.DIST(D204,TRUE))</f>
        <v/>
      </c>
      <c r="F204" s="13">
        <f>IF(E204="","",IF(E204&lt;='组合输入'!$K2,"AAA",IF(E204&lt;='组合输入'!$L2,"AA",IF(E204&lt;='组合输入'!$M2,"A",IF(E204&lt;='组合输入'!$N2,"BBB",IF(E204&lt;='组合输入'!$O2,"BB",IF(E204&lt;='组合输入'!$P2,"B",IF(E204&lt;='组合输入'!$Q2,"CCC","D")))))))</f>
        <v/>
      </c>
      <c r="G204" s="12">
        <f>IF(F204="","",INDEX('状态价值'!$D2:$K2,MATCH(F204,'状态价值'!$D$1:$K$1,0)))</f>
        <v/>
      </c>
      <c r="H204" s="15">
        <f>NORM.S.INV(RAND())</f>
        <v/>
      </c>
      <c r="I204" s="15">
        <f>IF('组合输入'!$C3="","",'组合输入'!$H3*$B204+SQRT(1-'组合输入'!$H3^2)*H204)</f>
        <v/>
      </c>
      <c r="J204" s="7">
        <f>IF(I204="","",NORM.S.DIST(I204,TRUE))</f>
        <v/>
      </c>
      <c r="K204" s="13">
        <f>IF(J204="","",IF(J204&lt;='组合输入'!$K3,"AAA",IF(J204&lt;='组合输入'!$L3,"AA",IF(J204&lt;='组合输入'!$M3,"A",IF(J204&lt;='组合输入'!$N3,"BBB",IF(J204&lt;='组合输入'!$O3,"BB",IF(J204&lt;='组合输入'!$P3,"B",IF(J204&lt;='组合输入'!$Q3,"CCC","D")))))))</f>
        <v/>
      </c>
      <c r="L204" s="12">
        <f>IF(K204="","",INDEX('状态价值'!$D3:$K3,MATCH(K204,'状态价值'!$D$1:$K$1,0)))</f>
        <v/>
      </c>
      <c r="M204" s="15">
        <f>NORM.S.INV(RAND())</f>
        <v/>
      </c>
      <c r="N204" s="15">
        <f>IF('组合输入'!$C4="","",'组合输入'!$H4*$B204+SQRT(1-'组合输入'!$H4^2)*M204)</f>
        <v/>
      </c>
      <c r="O204" s="7">
        <f>IF(N204="","",NORM.S.DIST(N204,TRUE))</f>
        <v/>
      </c>
      <c r="P204" s="13">
        <f>IF(O204="","",IF(O204&lt;='组合输入'!$K4,"AAA",IF(O204&lt;='组合输入'!$L4,"AA",IF(O204&lt;='组合输入'!$M4,"A",IF(O204&lt;='组合输入'!$N4,"BBB",IF(O204&lt;='组合输入'!$O4,"BB",IF(O204&lt;='组合输入'!$P4,"B",IF(O204&lt;='组合输入'!$Q4,"CCC","D")))))))</f>
        <v/>
      </c>
      <c r="Q204" s="12">
        <f>IF(P204="","",INDEX('状态价值'!$D4:$K4,MATCH(P204,'状态价值'!$D$1:$K$1,0)))</f>
        <v/>
      </c>
      <c r="R204" s="15">
        <f>NORM.S.INV(RAND())</f>
        <v/>
      </c>
      <c r="S204" s="15">
        <f>IF('组合输入'!$C5="","",'组合输入'!$H5*$B204+SQRT(1-'组合输入'!$H5^2)*R204)</f>
        <v/>
      </c>
      <c r="T204" s="7">
        <f>IF(S204="","",NORM.S.DIST(S204,TRUE))</f>
        <v/>
      </c>
      <c r="U204" s="13">
        <f>IF(T204="","",IF(T204&lt;='组合输入'!$K5,"AAA",IF(T204&lt;='组合输入'!$L5,"AA",IF(T204&lt;='组合输入'!$M5,"A",IF(T204&lt;='组合输入'!$N5,"BBB",IF(T204&lt;='组合输入'!$O5,"BB",IF(T204&lt;='组合输入'!$P5,"B",IF(T204&lt;='组合输入'!$Q5,"CCC","D")))))))</f>
        <v/>
      </c>
      <c r="V204" s="12">
        <f>IF(U204="","",INDEX('状态价值'!$D5:$K5,MATCH(U204,'状态价值'!$D$1:$K$1,0)))</f>
        <v/>
      </c>
      <c r="W204" s="15">
        <f>NORM.S.INV(RAND())</f>
        <v/>
      </c>
      <c r="X204" s="15">
        <f>IF('组合输入'!$C6="","",'组合输入'!$H6*$B204+SQRT(1-'组合输入'!$H6^2)*W204)</f>
        <v/>
      </c>
      <c r="Y204" s="7">
        <f>IF(X204="","",NORM.S.DIST(X204,TRUE))</f>
        <v/>
      </c>
      <c r="Z204" s="13">
        <f>IF(Y204="","",IF(Y204&lt;='组合输入'!$K6,"AAA",IF(Y204&lt;='组合输入'!$L6,"AA",IF(Y204&lt;='组合输入'!$M6,"A",IF(Y204&lt;='组合输入'!$N6,"BBB",IF(Y204&lt;='组合输入'!$O6,"BB",IF(Y204&lt;='组合输入'!$P6,"B",IF(Y204&lt;='组合输入'!$Q6,"CCC","D")))))))</f>
        <v/>
      </c>
      <c r="AA204" s="12">
        <f>IF(Z204="","",INDEX('状态价值'!$D6:$K6,MATCH(Z204,'状态价值'!$D$1:$K$1,0)))</f>
        <v/>
      </c>
      <c r="AB204" s="15">
        <f>NORM.S.INV(RAND())</f>
        <v/>
      </c>
      <c r="AC204" s="15">
        <f>IF('组合输入'!$C7="","",'组合输入'!$H7*$B204+SQRT(1-'组合输入'!$H7^2)*AB204)</f>
        <v/>
      </c>
      <c r="AD204" s="7">
        <f>IF(AC204="","",NORM.S.DIST(AC204,TRUE))</f>
        <v/>
      </c>
      <c r="AE204" s="13">
        <f>IF(AD204="","",IF(AD204&lt;='组合输入'!$K7,"AAA",IF(AD204&lt;='组合输入'!$L7,"AA",IF(AD204&lt;='组合输入'!$M7,"A",IF(AD204&lt;='组合输入'!$N7,"BBB",IF(AD204&lt;='组合输入'!$O7,"BB",IF(AD204&lt;='组合输入'!$P7,"B",IF(AD204&lt;='组合输入'!$Q7,"CCC","D")))))))</f>
        <v/>
      </c>
      <c r="AF204" s="12">
        <f>IF(AE204="","",INDEX('状态价值'!$D7:$K7,MATCH(AE204,'状态价值'!$D$1:$K$1,0)))</f>
        <v/>
      </c>
      <c r="AG204" s="15">
        <f>NORM.S.INV(RAND())</f>
        <v/>
      </c>
      <c r="AH204" s="15">
        <f>IF('组合输入'!$C8="","",'组合输入'!$H8*$B204+SQRT(1-'组合输入'!$H8^2)*AG204)</f>
        <v/>
      </c>
      <c r="AI204" s="7">
        <f>IF(AH204="","",NORM.S.DIST(AH204,TRUE))</f>
        <v/>
      </c>
      <c r="AJ204" s="13">
        <f>IF(AI204="","",IF(AI204&lt;='组合输入'!$K8,"AAA",IF(AI204&lt;='组合输入'!$L8,"AA",IF(AI204&lt;='组合输入'!$M8,"A",IF(AI204&lt;='组合输入'!$N8,"BBB",IF(AI204&lt;='组合输入'!$O8,"BB",IF(AI204&lt;='组合输入'!$P8,"B",IF(AI204&lt;='组合输入'!$Q8,"CCC","D")))))))</f>
        <v/>
      </c>
      <c r="AK204" s="12">
        <f>IF(AJ204="","",INDEX('状态价值'!$D8:$K8,MATCH(AJ204,'状态价值'!$D$1:$K$1,0)))</f>
        <v/>
      </c>
      <c r="AL204" s="15">
        <f>NORM.S.INV(RAND())</f>
        <v/>
      </c>
      <c r="AM204" s="15">
        <f>IF('组合输入'!$C9="","",'组合输入'!$H9*$B204+SQRT(1-'组合输入'!$H9^2)*AL204)</f>
        <v/>
      </c>
      <c r="AN204" s="7">
        <f>IF(AM204="","",NORM.S.DIST(AM204,TRUE))</f>
        <v/>
      </c>
      <c r="AO204" s="13">
        <f>IF(AN204="","",IF(AN204&lt;='组合输入'!$K9,"AAA",IF(AN204&lt;='组合输入'!$L9,"AA",IF(AN204&lt;='组合输入'!$M9,"A",IF(AN204&lt;='组合输入'!$N9,"BBB",IF(AN204&lt;='组合输入'!$O9,"BB",IF(AN204&lt;='组合输入'!$P9,"B",IF(AN204&lt;='组合输入'!$Q9,"CCC","D")))))))</f>
        <v/>
      </c>
      <c r="AP204" s="12">
        <f>IF(AO204="","",INDEX('状态价值'!$D9:$K9,MATCH(AO204,'状态价值'!$D$1:$K$1,0)))</f>
        <v/>
      </c>
      <c r="AQ204" s="15">
        <f>NORM.S.INV(RAND())</f>
        <v/>
      </c>
      <c r="AR204" s="15">
        <f>IF('组合输入'!$C10="","",'组合输入'!$H10*$B204+SQRT(1-'组合输入'!$H10^2)*AQ204)</f>
        <v/>
      </c>
      <c r="AS204" s="7">
        <f>IF(AR204="","",NORM.S.DIST(AR204,TRUE))</f>
        <v/>
      </c>
      <c r="AT204" s="13">
        <f>IF(AS204="","",IF(AS204&lt;='组合输入'!$K10,"AAA",IF(AS204&lt;='组合输入'!$L10,"AA",IF(AS204&lt;='组合输入'!$M10,"A",IF(AS204&lt;='组合输入'!$N10,"BBB",IF(AS204&lt;='组合输入'!$O10,"BB",IF(AS204&lt;='组合输入'!$P10,"B",IF(AS204&lt;='组合输入'!$Q10,"CCC","D")))))))</f>
        <v/>
      </c>
      <c r="AU204" s="12">
        <f>IF(AT204="","",INDEX('状态价值'!$D10:$K10,MATCH(AT204,'状态价值'!$D$1:$K$1,0)))</f>
        <v/>
      </c>
      <c r="AV204" s="15">
        <f>NORM.S.INV(RAND())</f>
        <v/>
      </c>
      <c r="AW204" s="15">
        <f>IF('组合输入'!$C11="","",'组合输入'!$H11*$B204+SQRT(1-'组合输入'!$H11^2)*AV204)</f>
        <v/>
      </c>
      <c r="AX204" s="7">
        <f>IF(AW204="","",NORM.S.DIST(AW204,TRUE))</f>
        <v/>
      </c>
      <c r="AY204" s="13">
        <f>IF(AX204="","",IF(AX204&lt;='组合输入'!$K11,"AAA",IF(AX204&lt;='组合输入'!$L11,"AA",IF(AX204&lt;='组合输入'!$M11,"A",IF(AX204&lt;='组合输入'!$N11,"BBB",IF(AX204&lt;='组合输入'!$O11,"BB",IF(AX204&lt;='组合输入'!$P11,"B",IF(AX204&lt;='组合输入'!$Q11,"CCC","D")))))))</f>
        <v/>
      </c>
      <c r="AZ204" s="12">
        <f>IF(AY204="","",INDEX('状态价值'!$D11:$K11,MATCH(AY204,'状态价值'!$D$1:$K$1,0)))</f>
        <v/>
      </c>
      <c r="BA204" s="12">
        <f>G204+L204+Q204+V204+AA204+AF204+AK204+AP204+AU204+AZ204</f>
        <v/>
      </c>
      <c r="BB204" s="12">
        <f>SUM('组合输入'!$J$2:$J$11)-BA204</f>
        <v/>
      </c>
    </row>
    <row r="205">
      <c r="A205" s="11" t="n">
        <v>204</v>
      </c>
      <c r="B205" s="14">
        <f>NORM.S.INV(RAND())</f>
        <v/>
      </c>
      <c r="C205" s="14">
        <f>NORM.S.INV(RAND())</f>
        <v/>
      </c>
      <c r="D205" s="15">
        <f>IF('组合输入'!$C2="","",'组合输入'!$H2*$B205+SQRT(1-'组合输入'!$H2^2)*C205)</f>
        <v/>
      </c>
      <c r="E205" s="7">
        <f>IF(D205="","",NORM.S.DIST(D205,TRUE))</f>
        <v/>
      </c>
      <c r="F205" s="13">
        <f>IF(E205="","",IF(E205&lt;='组合输入'!$K2,"AAA",IF(E205&lt;='组合输入'!$L2,"AA",IF(E205&lt;='组合输入'!$M2,"A",IF(E205&lt;='组合输入'!$N2,"BBB",IF(E205&lt;='组合输入'!$O2,"BB",IF(E205&lt;='组合输入'!$P2,"B",IF(E205&lt;='组合输入'!$Q2,"CCC","D")))))))</f>
        <v/>
      </c>
      <c r="G205" s="12">
        <f>IF(F205="","",INDEX('状态价值'!$D2:$K2,MATCH(F205,'状态价值'!$D$1:$K$1,0)))</f>
        <v/>
      </c>
      <c r="H205" s="15">
        <f>NORM.S.INV(RAND())</f>
        <v/>
      </c>
      <c r="I205" s="15">
        <f>IF('组合输入'!$C3="","",'组合输入'!$H3*$B205+SQRT(1-'组合输入'!$H3^2)*H205)</f>
        <v/>
      </c>
      <c r="J205" s="7">
        <f>IF(I205="","",NORM.S.DIST(I205,TRUE))</f>
        <v/>
      </c>
      <c r="K205" s="13">
        <f>IF(J205="","",IF(J205&lt;='组合输入'!$K3,"AAA",IF(J205&lt;='组合输入'!$L3,"AA",IF(J205&lt;='组合输入'!$M3,"A",IF(J205&lt;='组合输入'!$N3,"BBB",IF(J205&lt;='组合输入'!$O3,"BB",IF(J205&lt;='组合输入'!$P3,"B",IF(J205&lt;='组合输入'!$Q3,"CCC","D")))))))</f>
        <v/>
      </c>
      <c r="L205" s="12">
        <f>IF(K205="","",INDEX('状态价值'!$D3:$K3,MATCH(K205,'状态价值'!$D$1:$K$1,0)))</f>
        <v/>
      </c>
      <c r="M205" s="15">
        <f>NORM.S.INV(RAND())</f>
        <v/>
      </c>
      <c r="N205" s="15">
        <f>IF('组合输入'!$C4="","",'组合输入'!$H4*$B205+SQRT(1-'组合输入'!$H4^2)*M205)</f>
        <v/>
      </c>
      <c r="O205" s="7">
        <f>IF(N205="","",NORM.S.DIST(N205,TRUE))</f>
        <v/>
      </c>
      <c r="P205" s="13">
        <f>IF(O205="","",IF(O205&lt;='组合输入'!$K4,"AAA",IF(O205&lt;='组合输入'!$L4,"AA",IF(O205&lt;='组合输入'!$M4,"A",IF(O205&lt;='组合输入'!$N4,"BBB",IF(O205&lt;='组合输入'!$O4,"BB",IF(O205&lt;='组合输入'!$P4,"B",IF(O205&lt;='组合输入'!$Q4,"CCC","D")))))))</f>
        <v/>
      </c>
      <c r="Q205" s="12">
        <f>IF(P205="","",INDEX('状态价值'!$D4:$K4,MATCH(P205,'状态价值'!$D$1:$K$1,0)))</f>
        <v/>
      </c>
      <c r="R205" s="15">
        <f>NORM.S.INV(RAND())</f>
        <v/>
      </c>
      <c r="S205" s="15">
        <f>IF('组合输入'!$C5="","",'组合输入'!$H5*$B205+SQRT(1-'组合输入'!$H5^2)*R205)</f>
        <v/>
      </c>
      <c r="T205" s="7">
        <f>IF(S205="","",NORM.S.DIST(S205,TRUE))</f>
        <v/>
      </c>
      <c r="U205" s="13">
        <f>IF(T205="","",IF(T205&lt;='组合输入'!$K5,"AAA",IF(T205&lt;='组合输入'!$L5,"AA",IF(T205&lt;='组合输入'!$M5,"A",IF(T205&lt;='组合输入'!$N5,"BBB",IF(T205&lt;='组合输入'!$O5,"BB",IF(T205&lt;='组合输入'!$P5,"B",IF(T205&lt;='组合输入'!$Q5,"CCC","D")))))))</f>
        <v/>
      </c>
      <c r="V205" s="12">
        <f>IF(U205="","",INDEX('状态价值'!$D5:$K5,MATCH(U205,'状态价值'!$D$1:$K$1,0)))</f>
        <v/>
      </c>
      <c r="W205" s="15">
        <f>NORM.S.INV(RAND())</f>
        <v/>
      </c>
      <c r="X205" s="15">
        <f>IF('组合输入'!$C6="","",'组合输入'!$H6*$B205+SQRT(1-'组合输入'!$H6^2)*W205)</f>
        <v/>
      </c>
      <c r="Y205" s="7">
        <f>IF(X205="","",NORM.S.DIST(X205,TRUE))</f>
        <v/>
      </c>
      <c r="Z205" s="13">
        <f>IF(Y205="","",IF(Y205&lt;='组合输入'!$K6,"AAA",IF(Y205&lt;='组合输入'!$L6,"AA",IF(Y205&lt;='组合输入'!$M6,"A",IF(Y205&lt;='组合输入'!$N6,"BBB",IF(Y205&lt;='组合输入'!$O6,"BB",IF(Y205&lt;='组合输入'!$P6,"B",IF(Y205&lt;='组合输入'!$Q6,"CCC","D")))))))</f>
        <v/>
      </c>
      <c r="AA205" s="12">
        <f>IF(Z205="","",INDEX('状态价值'!$D6:$K6,MATCH(Z205,'状态价值'!$D$1:$K$1,0)))</f>
        <v/>
      </c>
      <c r="AB205" s="15">
        <f>NORM.S.INV(RAND())</f>
        <v/>
      </c>
      <c r="AC205" s="15">
        <f>IF('组合输入'!$C7="","",'组合输入'!$H7*$B205+SQRT(1-'组合输入'!$H7^2)*AB205)</f>
        <v/>
      </c>
      <c r="AD205" s="7">
        <f>IF(AC205="","",NORM.S.DIST(AC205,TRUE))</f>
        <v/>
      </c>
      <c r="AE205" s="13">
        <f>IF(AD205="","",IF(AD205&lt;='组合输入'!$K7,"AAA",IF(AD205&lt;='组合输入'!$L7,"AA",IF(AD205&lt;='组合输入'!$M7,"A",IF(AD205&lt;='组合输入'!$N7,"BBB",IF(AD205&lt;='组合输入'!$O7,"BB",IF(AD205&lt;='组合输入'!$P7,"B",IF(AD205&lt;='组合输入'!$Q7,"CCC","D")))))))</f>
        <v/>
      </c>
      <c r="AF205" s="12">
        <f>IF(AE205="","",INDEX('状态价值'!$D7:$K7,MATCH(AE205,'状态价值'!$D$1:$K$1,0)))</f>
        <v/>
      </c>
      <c r="AG205" s="15">
        <f>NORM.S.INV(RAND())</f>
        <v/>
      </c>
      <c r="AH205" s="15">
        <f>IF('组合输入'!$C8="","",'组合输入'!$H8*$B205+SQRT(1-'组合输入'!$H8^2)*AG205)</f>
        <v/>
      </c>
      <c r="AI205" s="7">
        <f>IF(AH205="","",NORM.S.DIST(AH205,TRUE))</f>
        <v/>
      </c>
      <c r="AJ205" s="13">
        <f>IF(AI205="","",IF(AI205&lt;='组合输入'!$K8,"AAA",IF(AI205&lt;='组合输入'!$L8,"AA",IF(AI205&lt;='组合输入'!$M8,"A",IF(AI205&lt;='组合输入'!$N8,"BBB",IF(AI205&lt;='组合输入'!$O8,"BB",IF(AI205&lt;='组合输入'!$P8,"B",IF(AI205&lt;='组合输入'!$Q8,"CCC","D")))))))</f>
        <v/>
      </c>
      <c r="AK205" s="12">
        <f>IF(AJ205="","",INDEX('状态价值'!$D8:$K8,MATCH(AJ205,'状态价值'!$D$1:$K$1,0)))</f>
        <v/>
      </c>
      <c r="AL205" s="15">
        <f>NORM.S.INV(RAND())</f>
        <v/>
      </c>
      <c r="AM205" s="15">
        <f>IF('组合输入'!$C9="","",'组合输入'!$H9*$B205+SQRT(1-'组合输入'!$H9^2)*AL205)</f>
        <v/>
      </c>
      <c r="AN205" s="7">
        <f>IF(AM205="","",NORM.S.DIST(AM205,TRUE))</f>
        <v/>
      </c>
      <c r="AO205" s="13">
        <f>IF(AN205="","",IF(AN205&lt;='组合输入'!$K9,"AAA",IF(AN205&lt;='组合输入'!$L9,"AA",IF(AN205&lt;='组合输入'!$M9,"A",IF(AN205&lt;='组合输入'!$N9,"BBB",IF(AN205&lt;='组合输入'!$O9,"BB",IF(AN205&lt;='组合输入'!$P9,"B",IF(AN205&lt;='组合输入'!$Q9,"CCC","D")))))))</f>
        <v/>
      </c>
      <c r="AP205" s="12">
        <f>IF(AO205="","",INDEX('状态价值'!$D9:$K9,MATCH(AO205,'状态价值'!$D$1:$K$1,0)))</f>
        <v/>
      </c>
      <c r="AQ205" s="15">
        <f>NORM.S.INV(RAND())</f>
        <v/>
      </c>
      <c r="AR205" s="15">
        <f>IF('组合输入'!$C10="","",'组合输入'!$H10*$B205+SQRT(1-'组合输入'!$H10^2)*AQ205)</f>
        <v/>
      </c>
      <c r="AS205" s="7">
        <f>IF(AR205="","",NORM.S.DIST(AR205,TRUE))</f>
        <v/>
      </c>
      <c r="AT205" s="13">
        <f>IF(AS205="","",IF(AS205&lt;='组合输入'!$K10,"AAA",IF(AS205&lt;='组合输入'!$L10,"AA",IF(AS205&lt;='组合输入'!$M10,"A",IF(AS205&lt;='组合输入'!$N10,"BBB",IF(AS205&lt;='组合输入'!$O10,"BB",IF(AS205&lt;='组合输入'!$P10,"B",IF(AS205&lt;='组合输入'!$Q10,"CCC","D")))))))</f>
        <v/>
      </c>
      <c r="AU205" s="12">
        <f>IF(AT205="","",INDEX('状态价值'!$D10:$K10,MATCH(AT205,'状态价值'!$D$1:$K$1,0)))</f>
        <v/>
      </c>
      <c r="AV205" s="15">
        <f>NORM.S.INV(RAND())</f>
        <v/>
      </c>
      <c r="AW205" s="15">
        <f>IF('组合输入'!$C11="","",'组合输入'!$H11*$B205+SQRT(1-'组合输入'!$H11^2)*AV205)</f>
        <v/>
      </c>
      <c r="AX205" s="7">
        <f>IF(AW205="","",NORM.S.DIST(AW205,TRUE))</f>
        <v/>
      </c>
      <c r="AY205" s="13">
        <f>IF(AX205="","",IF(AX205&lt;='组合输入'!$K11,"AAA",IF(AX205&lt;='组合输入'!$L11,"AA",IF(AX205&lt;='组合输入'!$M11,"A",IF(AX205&lt;='组合输入'!$N11,"BBB",IF(AX205&lt;='组合输入'!$O11,"BB",IF(AX205&lt;='组合输入'!$P11,"B",IF(AX205&lt;='组合输入'!$Q11,"CCC","D")))))))</f>
        <v/>
      </c>
      <c r="AZ205" s="12">
        <f>IF(AY205="","",INDEX('状态价值'!$D11:$K11,MATCH(AY205,'状态价值'!$D$1:$K$1,0)))</f>
        <v/>
      </c>
      <c r="BA205" s="12">
        <f>G205+L205+Q205+V205+AA205+AF205+AK205+AP205+AU205+AZ205</f>
        <v/>
      </c>
      <c r="BB205" s="12">
        <f>SUM('组合输入'!$J$2:$J$11)-BA205</f>
        <v/>
      </c>
    </row>
    <row r="206">
      <c r="A206" s="11" t="n">
        <v>205</v>
      </c>
      <c r="B206" s="14">
        <f>NORM.S.INV(RAND())</f>
        <v/>
      </c>
      <c r="C206" s="14">
        <f>NORM.S.INV(RAND())</f>
        <v/>
      </c>
      <c r="D206" s="15">
        <f>IF('组合输入'!$C2="","",'组合输入'!$H2*$B206+SQRT(1-'组合输入'!$H2^2)*C206)</f>
        <v/>
      </c>
      <c r="E206" s="7">
        <f>IF(D206="","",NORM.S.DIST(D206,TRUE))</f>
        <v/>
      </c>
      <c r="F206" s="13">
        <f>IF(E206="","",IF(E206&lt;='组合输入'!$K2,"AAA",IF(E206&lt;='组合输入'!$L2,"AA",IF(E206&lt;='组合输入'!$M2,"A",IF(E206&lt;='组合输入'!$N2,"BBB",IF(E206&lt;='组合输入'!$O2,"BB",IF(E206&lt;='组合输入'!$P2,"B",IF(E206&lt;='组合输入'!$Q2,"CCC","D")))))))</f>
        <v/>
      </c>
      <c r="G206" s="12">
        <f>IF(F206="","",INDEX('状态价值'!$D2:$K2,MATCH(F206,'状态价值'!$D$1:$K$1,0)))</f>
        <v/>
      </c>
      <c r="H206" s="15">
        <f>NORM.S.INV(RAND())</f>
        <v/>
      </c>
      <c r="I206" s="15">
        <f>IF('组合输入'!$C3="","",'组合输入'!$H3*$B206+SQRT(1-'组合输入'!$H3^2)*H206)</f>
        <v/>
      </c>
      <c r="J206" s="7">
        <f>IF(I206="","",NORM.S.DIST(I206,TRUE))</f>
        <v/>
      </c>
      <c r="K206" s="13">
        <f>IF(J206="","",IF(J206&lt;='组合输入'!$K3,"AAA",IF(J206&lt;='组合输入'!$L3,"AA",IF(J206&lt;='组合输入'!$M3,"A",IF(J206&lt;='组合输入'!$N3,"BBB",IF(J206&lt;='组合输入'!$O3,"BB",IF(J206&lt;='组合输入'!$P3,"B",IF(J206&lt;='组合输入'!$Q3,"CCC","D")))))))</f>
        <v/>
      </c>
      <c r="L206" s="12">
        <f>IF(K206="","",INDEX('状态价值'!$D3:$K3,MATCH(K206,'状态价值'!$D$1:$K$1,0)))</f>
        <v/>
      </c>
      <c r="M206" s="15">
        <f>NORM.S.INV(RAND())</f>
        <v/>
      </c>
      <c r="N206" s="15">
        <f>IF('组合输入'!$C4="","",'组合输入'!$H4*$B206+SQRT(1-'组合输入'!$H4^2)*M206)</f>
        <v/>
      </c>
      <c r="O206" s="7">
        <f>IF(N206="","",NORM.S.DIST(N206,TRUE))</f>
        <v/>
      </c>
      <c r="P206" s="13">
        <f>IF(O206="","",IF(O206&lt;='组合输入'!$K4,"AAA",IF(O206&lt;='组合输入'!$L4,"AA",IF(O206&lt;='组合输入'!$M4,"A",IF(O206&lt;='组合输入'!$N4,"BBB",IF(O206&lt;='组合输入'!$O4,"BB",IF(O206&lt;='组合输入'!$P4,"B",IF(O206&lt;='组合输入'!$Q4,"CCC","D")))))))</f>
        <v/>
      </c>
      <c r="Q206" s="12">
        <f>IF(P206="","",INDEX('状态价值'!$D4:$K4,MATCH(P206,'状态价值'!$D$1:$K$1,0)))</f>
        <v/>
      </c>
      <c r="R206" s="15">
        <f>NORM.S.INV(RAND())</f>
        <v/>
      </c>
      <c r="S206" s="15">
        <f>IF('组合输入'!$C5="","",'组合输入'!$H5*$B206+SQRT(1-'组合输入'!$H5^2)*R206)</f>
        <v/>
      </c>
      <c r="T206" s="7">
        <f>IF(S206="","",NORM.S.DIST(S206,TRUE))</f>
        <v/>
      </c>
      <c r="U206" s="13">
        <f>IF(T206="","",IF(T206&lt;='组合输入'!$K5,"AAA",IF(T206&lt;='组合输入'!$L5,"AA",IF(T206&lt;='组合输入'!$M5,"A",IF(T206&lt;='组合输入'!$N5,"BBB",IF(T206&lt;='组合输入'!$O5,"BB",IF(T206&lt;='组合输入'!$P5,"B",IF(T206&lt;='组合输入'!$Q5,"CCC","D")))))))</f>
        <v/>
      </c>
      <c r="V206" s="12">
        <f>IF(U206="","",INDEX('状态价值'!$D5:$K5,MATCH(U206,'状态价值'!$D$1:$K$1,0)))</f>
        <v/>
      </c>
      <c r="W206" s="15">
        <f>NORM.S.INV(RAND())</f>
        <v/>
      </c>
      <c r="X206" s="15">
        <f>IF('组合输入'!$C6="","",'组合输入'!$H6*$B206+SQRT(1-'组合输入'!$H6^2)*W206)</f>
        <v/>
      </c>
      <c r="Y206" s="7">
        <f>IF(X206="","",NORM.S.DIST(X206,TRUE))</f>
        <v/>
      </c>
      <c r="Z206" s="13">
        <f>IF(Y206="","",IF(Y206&lt;='组合输入'!$K6,"AAA",IF(Y206&lt;='组合输入'!$L6,"AA",IF(Y206&lt;='组合输入'!$M6,"A",IF(Y206&lt;='组合输入'!$N6,"BBB",IF(Y206&lt;='组合输入'!$O6,"BB",IF(Y206&lt;='组合输入'!$P6,"B",IF(Y206&lt;='组合输入'!$Q6,"CCC","D")))))))</f>
        <v/>
      </c>
      <c r="AA206" s="12">
        <f>IF(Z206="","",INDEX('状态价值'!$D6:$K6,MATCH(Z206,'状态价值'!$D$1:$K$1,0)))</f>
        <v/>
      </c>
      <c r="AB206" s="15">
        <f>NORM.S.INV(RAND())</f>
        <v/>
      </c>
      <c r="AC206" s="15">
        <f>IF('组合输入'!$C7="","",'组合输入'!$H7*$B206+SQRT(1-'组合输入'!$H7^2)*AB206)</f>
        <v/>
      </c>
      <c r="AD206" s="7">
        <f>IF(AC206="","",NORM.S.DIST(AC206,TRUE))</f>
        <v/>
      </c>
      <c r="AE206" s="13">
        <f>IF(AD206="","",IF(AD206&lt;='组合输入'!$K7,"AAA",IF(AD206&lt;='组合输入'!$L7,"AA",IF(AD206&lt;='组合输入'!$M7,"A",IF(AD206&lt;='组合输入'!$N7,"BBB",IF(AD206&lt;='组合输入'!$O7,"BB",IF(AD206&lt;='组合输入'!$P7,"B",IF(AD206&lt;='组合输入'!$Q7,"CCC","D")))))))</f>
        <v/>
      </c>
      <c r="AF206" s="12">
        <f>IF(AE206="","",INDEX('状态价值'!$D7:$K7,MATCH(AE206,'状态价值'!$D$1:$K$1,0)))</f>
        <v/>
      </c>
      <c r="AG206" s="15">
        <f>NORM.S.INV(RAND())</f>
        <v/>
      </c>
      <c r="AH206" s="15">
        <f>IF('组合输入'!$C8="","",'组合输入'!$H8*$B206+SQRT(1-'组合输入'!$H8^2)*AG206)</f>
        <v/>
      </c>
      <c r="AI206" s="7">
        <f>IF(AH206="","",NORM.S.DIST(AH206,TRUE))</f>
        <v/>
      </c>
      <c r="AJ206" s="13">
        <f>IF(AI206="","",IF(AI206&lt;='组合输入'!$K8,"AAA",IF(AI206&lt;='组合输入'!$L8,"AA",IF(AI206&lt;='组合输入'!$M8,"A",IF(AI206&lt;='组合输入'!$N8,"BBB",IF(AI206&lt;='组合输入'!$O8,"BB",IF(AI206&lt;='组合输入'!$P8,"B",IF(AI206&lt;='组合输入'!$Q8,"CCC","D")))))))</f>
        <v/>
      </c>
      <c r="AK206" s="12">
        <f>IF(AJ206="","",INDEX('状态价值'!$D8:$K8,MATCH(AJ206,'状态价值'!$D$1:$K$1,0)))</f>
        <v/>
      </c>
      <c r="AL206" s="15">
        <f>NORM.S.INV(RAND())</f>
        <v/>
      </c>
      <c r="AM206" s="15">
        <f>IF('组合输入'!$C9="","",'组合输入'!$H9*$B206+SQRT(1-'组合输入'!$H9^2)*AL206)</f>
        <v/>
      </c>
      <c r="AN206" s="7">
        <f>IF(AM206="","",NORM.S.DIST(AM206,TRUE))</f>
        <v/>
      </c>
      <c r="AO206" s="13">
        <f>IF(AN206="","",IF(AN206&lt;='组合输入'!$K9,"AAA",IF(AN206&lt;='组合输入'!$L9,"AA",IF(AN206&lt;='组合输入'!$M9,"A",IF(AN206&lt;='组合输入'!$N9,"BBB",IF(AN206&lt;='组合输入'!$O9,"BB",IF(AN206&lt;='组合输入'!$P9,"B",IF(AN206&lt;='组合输入'!$Q9,"CCC","D")))))))</f>
        <v/>
      </c>
      <c r="AP206" s="12">
        <f>IF(AO206="","",INDEX('状态价值'!$D9:$K9,MATCH(AO206,'状态价值'!$D$1:$K$1,0)))</f>
        <v/>
      </c>
      <c r="AQ206" s="15">
        <f>NORM.S.INV(RAND())</f>
        <v/>
      </c>
      <c r="AR206" s="15">
        <f>IF('组合输入'!$C10="","",'组合输入'!$H10*$B206+SQRT(1-'组合输入'!$H10^2)*AQ206)</f>
        <v/>
      </c>
      <c r="AS206" s="7">
        <f>IF(AR206="","",NORM.S.DIST(AR206,TRUE))</f>
        <v/>
      </c>
      <c r="AT206" s="13">
        <f>IF(AS206="","",IF(AS206&lt;='组合输入'!$K10,"AAA",IF(AS206&lt;='组合输入'!$L10,"AA",IF(AS206&lt;='组合输入'!$M10,"A",IF(AS206&lt;='组合输入'!$N10,"BBB",IF(AS206&lt;='组合输入'!$O10,"BB",IF(AS206&lt;='组合输入'!$P10,"B",IF(AS206&lt;='组合输入'!$Q10,"CCC","D")))))))</f>
        <v/>
      </c>
      <c r="AU206" s="12">
        <f>IF(AT206="","",INDEX('状态价值'!$D10:$K10,MATCH(AT206,'状态价值'!$D$1:$K$1,0)))</f>
        <v/>
      </c>
      <c r="AV206" s="15">
        <f>NORM.S.INV(RAND())</f>
        <v/>
      </c>
      <c r="AW206" s="15">
        <f>IF('组合输入'!$C11="","",'组合输入'!$H11*$B206+SQRT(1-'组合输入'!$H11^2)*AV206)</f>
        <v/>
      </c>
      <c r="AX206" s="7">
        <f>IF(AW206="","",NORM.S.DIST(AW206,TRUE))</f>
        <v/>
      </c>
      <c r="AY206" s="13">
        <f>IF(AX206="","",IF(AX206&lt;='组合输入'!$K11,"AAA",IF(AX206&lt;='组合输入'!$L11,"AA",IF(AX206&lt;='组合输入'!$M11,"A",IF(AX206&lt;='组合输入'!$N11,"BBB",IF(AX206&lt;='组合输入'!$O11,"BB",IF(AX206&lt;='组合输入'!$P11,"B",IF(AX206&lt;='组合输入'!$Q11,"CCC","D")))))))</f>
        <v/>
      </c>
      <c r="AZ206" s="12">
        <f>IF(AY206="","",INDEX('状态价值'!$D11:$K11,MATCH(AY206,'状态价值'!$D$1:$K$1,0)))</f>
        <v/>
      </c>
      <c r="BA206" s="12">
        <f>G206+L206+Q206+V206+AA206+AF206+AK206+AP206+AU206+AZ206</f>
        <v/>
      </c>
      <c r="BB206" s="12">
        <f>SUM('组合输入'!$J$2:$J$11)-BA206</f>
        <v/>
      </c>
    </row>
    <row r="207">
      <c r="A207" s="11" t="n">
        <v>206</v>
      </c>
      <c r="B207" s="14">
        <f>NORM.S.INV(RAND())</f>
        <v/>
      </c>
      <c r="C207" s="14">
        <f>NORM.S.INV(RAND())</f>
        <v/>
      </c>
      <c r="D207" s="15">
        <f>IF('组合输入'!$C2="","",'组合输入'!$H2*$B207+SQRT(1-'组合输入'!$H2^2)*C207)</f>
        <v/>
      </c>
      <c r="E207" s="7">
        <f>IF(D207="","",NORM.S.DIST(D207,TRUE))</f>
        <v/>
      </c>
      <c r="F207" s="13">
        <f>IF(E207="","",IF(E207&lt;='组合输入'!$K2,"AAA",IF(E207&lt;='组合输入'!$L2,"AA",IF(E207&lt;='组合输入'!$M2,"A",IF(E207&lt;='组合输入'!$N2,"BBB",IF(E207&lt;='组合输入'!$O2,"BB",IF(E207&lt;='组合输入'!$P2,"B",IF(E207&lt;='组合输入'!$Q2,"CCC","D")))))))</f>
        <v/>
      </c>
      <c r="G207" s="12">
        <f>IF(F207="","",INDEX('状态价值'!$D2:$K2,MATCH(F207,'状态价值'!$D$1:$K$1,0)))</f>
        <v/>
      </c>
      <c r="H207" s="15">
        <f>NORM.S.INV(RAND())</f>
        <v/>
      </c>
      <c r="I207" s="15">
        <f>IF('组合输入'!$C3="","",'组合输入'!$H3*$B207+SQRT(1-'组合输入'!$H3^2)*H207)</f>
        <v/>
      </c>
      <c r="J207" s="7">
        <f>IF(I207="","",NORM.S.DIST(I207,TRUE))</f>
        <v/>
      </c>
      <c r="K207" s="13">
        <f>IF(J207="","",IF(J207&lt;='组合输入'!$K3,"AAA",IF(J207&lt;='组合输入'!$L3,"AA",IF(J207&lt;='组合输入'!$M3,"A",IF(J207&lt;='组合输入'!$N3,"BBB",IF(J207&lt;='组合输入'!$O3,"BB",IF(J207&lt;='组合输入'!$P3,"B",IF(J207&lt;='组合输入'!$Q3,"CCC","D")))))))</f>
        <v/>
      </c>
      <c r="L207" s="12">
        <f>IF(K207="","",INDEX('状态价值'!$D3:$K3,MATCH(K207,'状态价值'!$D$1:$K$1,0)))</f>
        <v/>
      </c>
      <c r="M207" s="15">
        <f>NORM.S.INV(RAND())</f>
        <v/>
      </c>
      <c r="N207" s="15">
        <f>IF('组合输入'!$C4="","",'组合输入'!$H4*$B207+SQRT(1-'组合输入'!$H4^2)*M207)</f>
        <v/>
      </c>
      <c r="O207" s="7">
        <f>IF(N207="","",NORM.S.DIST(N207,TRUE))</f>
        <v/>
      </c>
      <c r="P207" s="13">
        <f>IF(O207="","",IF(O207&lt;='组合输入'!$K4,"AAA",IF(O207&lt;='组合输入'!$L4,"AA",IF(O207&lt;='组合输入'!$M4,"A",IF(O207&lt;='组合输入'!$N4,"BBB",IF(O207&lt;='组合输入'!$O4,"BB",IF(O207&lt;='组合输入'!$P4,"B",IF(O207&lt;='组合输入'!$Q4,"CCC","D")))))))</f>
        <v/>
      </c>
      <c r="Q207" s="12">
        <f>IF(P207="","",INDEX('状态价值'!$D4:$K4,MATCH(P207,'状态价值'!$D$1:$K$1,0)))</f>
        <v/>
      </c>
      <c r="R207" s="15">
        <f>NORM.S.INV(RAND())</f>
        <v/>
      </c>
      <c r="S207" s="15">
        <f>IF('组合输入'!$C5="","",'组合输入'!$H5*$B207+SQRT(1-'组合输入'!$H5^2)*R207)</f>
        <v/>
      </c>
      <c r="T207" s="7">
        <f>IF(S207="","",NORM.S.DIST(S207,TRUE))</f>
        <v/>
      </c>
      <c r="U207" s="13">
        <f>IF(T207="","",IF(T207&lt;='组合输入'!$K5,"AAA",IF(T207&lt;='组合输入'!$L5,"AA",IF(T207&lt;='组合输入'!$M5,"A",IF(T207&lt;='组合输入'!$N5,"BBB",IF(T207&lt;='组合输入'!$O5,"BB",IF(T207&lt;='组合输入'!$P5,"B",IF(T207&lt;='组合输入'!$Q5,"CCC","D")))))))</f>
        <v/>
      </c>
      <c r="V207" s="12">
        <f>IF(U207="","",INDEX('状态价值'!$D5:$K5,MATCH(U207,'状态价值'!$D$1:$K$1,0)))</f>
        <v/>
      </c>
      <c r="W207" s="15">
        <f>NORM.S.INV(RAND())</f>
        <v/>
      </c>
      <c r="X207" s="15">
        <f>IF('组合输入'!$C6="","",'组合输入'!$H6*$B207+SQRT(1-'组合输入'!$H6^2)*W207)</f>
        <v/>
      </c>
      <c r="Y207" s="7">
        <f>IF(X207="","",NORM.S.DIST(X207,TRUE))</f>
        <v/>
      </c>
      <c r="Z207" s="13">
        <f>IF(Y207="","",IF(Y207&lt;='组合输入'!$K6,"AAA",IF(Y207&lt;='组合输入'!$L6,"AA",IF(Y207&lt;='组合输入'!$M6,"A",IF(Y207&lt;='组合输入'!$N6,"BBB",IF(Y207&lt;='组合输入'!$O6,"BB",IF(Y207&lt;='组合输入'!$P6,"B",IF(Y207&lt;='组合输入'!$Q6,"CCC","D")))))))</f>
        <v/>
      </c>
      <c r="AA207" s="12">
        <f>IF(Z207="","",INDEX('状态价值'!$D6:$K6,MATCH(Z207,'状态价值'!$D$1:$K$1,0)))</f>
        <v/>
      </c>
      <c r="AB207" s="15">
        <f>NORM.S.INV(RAND())</f>
        <v/>
      </c>
      <c r="AC207" s="15">
        <f>IF('组合输入'!$C7="","",'组合输入'!$H7*$B207+SQRT(1-'组合输入'!$H7^2)*AB207)</f>
        <v/>
      </c>
      <c r="AD207" s="7">
        <f>IF(AC207="","",NORM.S.DIST(AC207,TRUE))</f>
        <v/>
      </c>
      <c r="AE207" s="13">
        <f>IF(AD207="","",IF(AD207&lt;='组合输入'!$K7,"AAA",IF(AD207&lt;='组合输入'!$L7,"AA",IF(AD207&lt;='组合输入'!$M7,"A",IF(AD207&lt;='组合输入'!$N7,"BBB",IF(AD207&lt;='组合输入'!$O7,"BB",IF(AD207&lt;='组合输入'!$P7,"B",IF(AD207&lt;='组合输入'!$Q7,"CCC","D")))))))</f>
        <v/>
      </c>
      <c r="AF207" s="12">
        <f>IF(AE207="","",INDEX('状态价值'!$D7:$K7,MATCH(AE207,'状态价值'!$D$1:$K$1,0)))</f>
        <v/>
      </c>
      <c r="AG207" s="15">
        <f>NORM.S.INV(RAND())</f>
        <v/>
      </c>
      <c r="AH207" s="15">
        <f>IF('组合输入'!$C8="","",'组合输入'!$H8*$B207+SQRT(1-'组合输入'!$H8^2)*AG207)</f>
        <v/>
      </c>
      <c r="AI207" s="7">
        <f>IF(AH207="","",NORM.S.DIST(AH207,TRUE))</f>
        <v/>
      </c>
      <c r="AJ207" s="13">
        <f>IF(AI207="","",IF(AI207&lt;='组合输入'!$K8,"AAA",IF(AI207&lt;='组合输入'!$L8,"AA",IF(AI207&lt;='组合输入'!$M8,"A",IF(AI207&lt;='组合输入'!$N8,"BBB",IF(AI207&lt;='组合输入'!$O8,"BB",IF(AI207&lt;='组合输入'!$P8,"B",IF(AI207&lt;='组合输入'!$Q8,"CCC","D")))))))</f>
        <v/>
      </c>
      <c r="AK207" s="12">
        <f>IF(AJ207="","",INDEX('状态价值'!$D8:$K8,MATCH(AJ207,'状态价值'!$D$1:$K$1,0)))</f>
        <v/>
      </c>
      <c r="AL207" s="15">
        <f>NORM.S.INV(RAND())</f>
        <v/>
      </c>
      <c r="AM207" s="15">
        <f>IF('组合输入'!$C9="","",'组合输入'!$H9*$B207+SQRT(1-'组合输入'!$H9^2)*AL207)</f>
        <v/>
      </c>
      <c r="AN207" s="7">
        <f>IF(AM207="","",NORM.S.DIST(AM207,TRUE))</f>
        <v/>
      </c>
      <c r="AO207" s="13">
        <f>IF(AN207="","",IF(AN207&lt;='组合输入'!$K9,"AAA",IF(AN207&lt;='组合输入'!$L9,"AA",IF(AN207&lt;='组合输入'!$M9,"A",IF(AN207&lt;='组合输入'!$N9,"BBB",IF(AN207&lt;='组合输入'!$O9,"BB",IF(AN207&lt;='组合输入'!$P9,"B",IF(AN207&lt;='组合输入'!$Q9,"CCC","D")))))))</f>
        <v/>
      </c>
      <c r="AP207" s="12">
        <f>IF(AO207="","",INDEX('状态价值'!$D9:$K9,MATCH(AO207,'状态价值'!$D$1:$K$1,0)))</f>
        <v/>
      </c>
      <c r="AQ207" s="15">
        <f>NORM.S.INV(RAND())</f>
        <v/>
      </c>
      <c r="AR207" s="15">
        <f>IF('组合输入'!$C10="","",'组合输入'!$H10*$B207+SQRT(1-'组合输入'!$H10^2)*AQ207)</f>
        <v/>
      </c>
      <c r="AS207" s="7">
        <f>IF(AR207="","",NORM.S.DIST(AR207,TRUE))</f>
        <v/>
      </c>
      <c r="AT207" s="13">
        <f>IF(AS207="","",IF(AS207&lt;='组合输入'!$K10,"AAA",IF(AS207&lt;='组合输入'!$L10,"AA",IF(AS207&lt;='组合输入'!$M10,"A",IF(AS207&lt;='组合输入'!$N10,"BBB",IF(AS207&lt;='组合输入'!$O10,"BB",IF(AS207&lt;='组合输入'!$P10,"B",IF(AS207&lt;='组合输入'!$Q10,"CCC","D")))))))</f>
        <v/>
      </c>
      <c r="AU207" s="12">
        <f>IF(AT207="","",INDEX('状态价值'!$D10:$K10,MATCH(AT207,'状态价值'!$D$1:$K$1,0)))</f>
        <v/>
      </c>
      <c r="AV207" s="15">
        <f>NORM.S.INV(RAND())</f>
        <v/>
      </c>
      <c r="AW207" s="15">
        <f>IF('组合输入'!$C11="","",'组合输入'!$H11*$B207+SQRT(1-'组合输入'!$H11^2)*AV207)</f>
        <v/>
      </c>
      <c r="AX207" s="7">
        <f>IF(AW207="","",NORM.S.DIST(AW207,TRUE))</f>
        <v/>
      </c>
      <c r="AY207" s="13">
        <f>IF(AX207="","",IF(AX207&lt;='组合输入'!$K11,"AAA",IF(AX207&lt;='组合输入'!$L11,"AA",IF(AX207&lt;='组合输入'!$M11,"A",IF(AX207&lt;='组合输入'!$N11,"BBB",IF(AX207&lt;='组合输入'!$O11,"BB",IF(AX207&lt;='组合输入'!$P11,"B",IF(AX207&lt;='组合输入'!$Q11,"CCC","D")))))))</f>
        <v/>
      </c>
      <c r="AZ207" s="12">
        <f>IF(AY207="","",INDEX('状态价值'!$D11:$K11,MATCH(AY207,'状态价值'!$D$1:$K$1,0)))</f>
        <v/>
      </c>
      <c r="BA207" s="12">
        <f>G207+L207+Q207+V207+AA207+AF207+AK207+AP207+AU207+AZ207</f>
        <v/>
      </c>
      <c r="BB207" s="12">
        <f>SUM('组合输入'!$J$2:$J$11)-BA207</f>
        <v/>
      </c>
    </row>
    <row r="208">
      <c r="A208" s="11" t="n">
        <v>207</v>
      </c>
      <c r="B208" s="14">
        <f>NORM.S.INV(RAND())</f>
        <v/>
      </c>
      <c r="C208" s="14">
        <f>NORM.S.INV(RAND())</f>
        <v/>
      </c>
      <c r="D208" s="15">
        <f>IF('组合输入'!$C2="","",'组合输入'!$H2*$B208+SQRT(1-'组合输入'!$H2^2)*C208)</f>
        <v/>
      </c>
      <c r="E208" s="7">
        <f>IF(D208="","",NORM.S.DIST(D208,TRUE))</f>
        <v/>
      </c>
      <c r="F208" s="13">
        <f>IF(E208="","",IF(E208&lt;='组合输入'!$K2,"AAA",IF(E208&lt;='组合输入'!$L2,"AA",IF(E208&lt;='组合输入'!$M2,"A",IF(E208&lt;='组合输入'!$N2,"BBB",IF(E208&lt;='组合输入'!$O2,"BB",IF(E208&lt;='组合输入'!$P2,"B",IF(E208&lt;='组合输入'!$Q2,"CCC","D")))))))</f>
        <v/>
      </c>
      <c r="G208" s="12">
        <f>IF(F208="","",INDEX('状态价值'!$D2:$K2,MATCH(F208,'状态价值'!$D$1:$K$1,0)))</f>
        <v/>
      </c>
      <c r="H208" s="15">
        <f>NORM.S.INV(RAND())</f>
        <v/>
      </c>
      <c r="I208" s="15">
        <f>IF('组合输入'!$C3="","",'组合输入'!$H3*$B208+SQRT(1-'组合输入'!$H3^2)*H208)</f>
        <v/>
      </c>
      <c r="J208" s="7">
        <f>IF(I208="","",NORM.S.DIST(I208,TRUE))</f>
        <v/>
      </c>
      <c r="K208" s="13">
        <f>IF(J208="","",IF(J208&lt;='组合输入'!$K3,"AAA",IF(J208&lt;='组合输入'!$L3,"AA",IF(J208&lt;='组合输入'!$M3,"A",IF(J208&lt;='组合输入'!$N3,"BBB",IF(J208&lt;='组合输入'!$O3,"BB",IF(J208&lt;='组合输入'!$P3,"B",IF(J208&lt;='组合输入'!$Q3,"CCC","D")))))))</f>
        <v/>
      </c>
      <c r="L208" s="12">
        <f>IF(K208="","",INDEX('状态价值'!$D3:$K3,MATCH(K208,'状态价值'!$D$1:$K$1,0)))</f>
        <v/>
      </c>
      <c r="M208" s="15">
        <f>NORM.S.INV(RAND())</f>
        <v/>
      </c>
      <c r="N208" s="15">
        <f>IF('组合输入'!$C4="","",'组合输入'!$H4*$B208+SQRT(1-'组合输入'!$H4^2)*M208)</f>
        <v/>
      </c>
      <c r="O208" s="7">
        <f>IF(N208="","",NORM.S.DIST(N208,TRUE))</f>
        <v/>
      </c>
      <c r="P208" s="13">
        <f>IF(O208="","",IF(O208&lt;='组合输入'!$K4,"AAA",IF(O208&lt;='组合输入'!$L4,"AA",IF(O208&lt;='组合输入'!$M4,"A",IF(O208&lt;='组合输入'!$N4,"BBB",IF(O208&lt;='组合输入'!$O4,"BB",IF(O208&lt;='组合输入'!$P4,"B",IF(O208&lt;='组合输入'!$Q4,"CCC","D")))))))</f>
        <v/>
      </c>
      <c r="Q208" s="12">
        <f>IF(P208="","",INDEX('状态价值'!$D4:$K4,MATCH(P208,'状态价值'!$D$1:$K$1,0)))</f>
        <v/>
      </c>
      <c r="R208" s="15">
        <f>NORM.S.INV(RAND())</f>
        <v/>
      </c>
      <c r="S208" s="15">
        <f>IF('组合输入'!$C5="","",'组合输入'!$H5*$B208+SQRT(1-'组合输入'!$H5^2)*R208)</f>
        <v/>
      </c>
      <c r="T208" s="7">
        <f>IF(S208="","",NORM.S.DIST(S208,TRUE))</f>
        <v/>
      </c>
      <c r="U208" s="13">
        <f>IF(T208="","",IF(T208&lt;='组合输入'!$K5,"AAA",IF(T208&lt;='组合输入'!$L5,"AA",IF(T208&lt;='组合输入'!$M5,"A",IF(T208&lt;='组合输入'!$N5,"BBB",IF(T208&lt;='组合输入'!$O5,"BB",IF(T208&lt;='组合输入'!$P5,"B",IF(T208&lt;='组合输入'!$Q5,"CCC","D")))))))</f>
        <v/>
      </c>
      <c r="V208" s="12">
        <f>IF(U208="","",INDEX('状态价值'!$D5:$K5,MATCH(U208,'状态价值'!$D$1:$K$1,0)))</f>
        <v/>
      </c>
      <c r="W208" s="15">
        <f>NORM.S.INV(RAND())</f>
        <v/>
      </c>
      <c r="X208" s="15">
        <f>IF('组合输入'!$C6="","",'组合输入'!$H6*$B208+SQRT(1-'组合输入'!$H6^2)*W208)</f>
        <v/>
      </c>
      <c r="Y208" s="7">
        <f>IF(X208="","",NORM.S.DIST(X208,TRUE))</f>
        <v/>
      </c>
      <c r="Z208" s="13">
        <f>IF(Y208="","",IF(Y208&lt;='组合输入'!$K6,"AAA",IF(Y208&lt;='组合输入'!$L6,"AA",IF(Y208&lt;='组合输入'!$M6,"A",IF(Y208&lt;='组合输入'!$N6,"BBB",IF(Y208&lt;='组合输入'!$O6,"BB",IF(Y208&lt;='组合输入'!$P6,"B",IF(Y208&lt;='组合输入'!$Q6,"CCC","D")))))))</f>
        <v/>
      </c>
      <c r="AA208" s="12">
        <f>IF(Z208="","",INDEX('状态价值'!$D6:$K6,MATCH(Z208,'状态价值'!$D$1:$K$1,0)))</f>
        <v/>
      </c>
      <c r="AB208" s="15">
        <f>NORM.S.INV(RAND())</f>
        <v/>
      </c>
      <c r="AC208" s="15">
        <f>IF('组合输入'!$C7="","",'组合输入'!$H7*$B208+SQRT(1-'组合输入'!$H7^2)*AB208)</f>
        <v/>
      </c>
      <c r="AD208" s="7">
        <f>IF(AC208="","",NORM.S.DIST(AC208,TRUE))</f>
        <v/>
      </c>
      <c r="AE208" s="13">
        <f>IF(AD208="","",IF(AD208&lt;='组合输入'!$K7,"AAA",IF(AD208&lt;='组合输入'!$L7,"AA",IF(AD208&lt;='组合输入'!$M7,"A",IF(AD208&lt;='组合输入'!$N7,"BBB",IF(AD208&lt;='组合输入'!$O7,"BB",IF(AD208&lt;='组合输入'!$P7,"B",IF(AD208&lt;='组合输入'!$Q7,"CCC","D")))))))</f>
        <v/>
      </c>
      <c r="AF208" s="12">
        <f>IF(AE208="","",INDEX('状态价值'!$D7:$K7,MATCH(AE208,'状态价值'!$D$1:$K$1,0)))</f>
        <v/>
      </c>
      <c r="AG208" s="15">
        <f>NORM.S.INV(RAND())</f>
        <v/>
      </c>
      <c r="AH208" s="15">
        <f>IF('组合输入'!$C8="","",'组合输入'!$H8*$B208+SQRT(1-'组合输入'!$H8^2)*AG208)</f>
        <v/>
      </c>
      <c r="AI208" s="7">
        <f>IF(AH208="","",NORM.S.DIST(AH208,TRUE))</f>
        <v/>
      </c>
      <c r="AJ208" s="13">
        <f>IF(AI208="","",IF(AI208&lt;='组合输入'!$K8,"AAA",IF(AI208&lt;='组合输入'!$L8,"AA",IF(AI208&lt;='组合输入'!$M8,"A",IF(AI208&lt;='组合输入'!$N8,"BBB",IF(AI208&lt;='组合输入'!$O8,"BB",IF(AI208&lt;='组合输入'!$P8,"B",IF(AI208&lt;='组合输入'!$Q8,"CCC","D")))))))</f>
        <v/>
      </c>
      <c r="AK208" s="12">
        <f>IF(AJ208="","",INDEX('状态价值'!$D8:$K8,MATCH(AJ208,'状态价值'!$D$1:$K$1,0)))</f>
        <v/>
      </c>
      <c r="AL208" s="15">
        <f>NORM.S.INV(RAND())</f>
        <v/>
      </c>
      <c r="AM208" s="15">
        <f>IF('组合输入'!$C9="","",'组合输入'!$H9*$B208+SQRT(1-'组合输入'!$H9^2)*AL208)</f>
        <v/>
      </c>
      <c r="AN208" s="7">
        <f>IF(AM208="","",NORM.S.DIST(AM208,TRUE))</f>
        <v/>
      </c>
      <c r="AO208" s="13">
        <f>IF(AN208="","",IF(AN208&lt;='组合输入'!$K9,"AAA",IF(AN208&lt;='组合输入'!$L9,"AA",IF(AN208&lt;='组合输入'!$M9,"A",IF(AN208&lt;='组合输入'!$N9,"BBB",IF(AN208&lt;='组合输入'!$O9,"BB",IF(AN208&lt;='组合输入'!$P9,"B",IF(AN208&lt;='组合输入'!$Q9,"CCC","D")))))))</f>
        <v/>
      </c>
      <c r="AP208" s="12">
        <f>IF(AO208="","",INDEX('状态价值'!$D9:$K9,MATCH(AO208,'状态价值'!$D$1:$K$1,0)))</f>
        <v/>
      </c>
      <c r="AQ208" s="15">
        <f>NORM.S.INV(RAND())</f>
        <v/>
      </c>
      <c r="AR208" s="15">
        <f>IF('组合输入'!$C10="","",'组合输入'!$H10*$B208+SQRT(1-'组合输入'!$H10^2)*AQ208)</f>
        <v/>
      </c>
      <c r="AS208" s="7">
        <f>IF(AR208="","",NORM.S.DIST(AR208,TRUE))</f>
        <v/>
      </c>
      <c r="AT208" s="13">
        <f>IF(AS208="","",IF(AS208&lt;='组合输入'!$K10,"AAA",IF(AS208&lt;='组合输入'!$L10,"AA",IF(AS208&lt;='组合输入'!$M10,"A",IF(AS208&lt;='组合输入'!$N10,"BBB",IF(AS208&lt;='组合输入'!$O10,"BB",IF(AS208&lt;='组合输入'!$P10,"B",IF(AS208&lt;='组合输入'!$Q10,"CCC","D")))))))</f>
        <v/>
      </c>
      <c r="AU208" s="12">
        <f>IF(AT208="","",INDEX('状态价值'!$D10:$K10,MATCH(AT208,'状态价值'!$D$1:$K$1,0)))</f>
        <v/>
      </c>
      <c r="AV208" s="15">
        <f>NORM.S.INV(RAND())</f>
        <v/>
      </c>
      <c r="AW208" s="15">
        <f>IF('组合输入'!$C11="","",'组合输入'!$H11*$B208+SQRT(1-'组合输入'!$H11^2)*AV208)</f>
        <v/>
      </c>
      <c r="AX208" s="7">
        <f>IF(AW208="","",NORM.S.DIST(AW208,TRUE))</f>
        <v/>
      </c>
      <c r="AY208" s="13">
        <f>IF(AX208="","",IF(AX208&lt;='组合输入'!$K11,"AAA",IF(AX208&lt;='组合输入'!$L11,"AA",IF(AX208&lt;='组合输入'!$M11,"A",IF(AX208&lt;='组合输入'!$N11,"BBB",IF(AX208&lt;='组合输入'!$O11,"BB",IF(AX208&lt;='组合输入'!$P11,"B",IF(AX208&lt;='组合输入'!$Q11,"CCC","D")))))))</f>
        <v/>
      </c>
      <c r="AZ208" s="12">
        <f>IF(AY208="","",INDEX('状态价值'!$D11:$K11,MATCH(AY208,'状态价值'!$D$1:$K$1,0)))</f>
        <v/>
      </c>
      <c r="BA208" s="12">
        <f>G208+L208+Q208+V208+AA208+AF208+AK208+AP208+AU208+AZ208</f>
        <v/>
      </c>
      <c r="BB208" s="12">
        <f>SUM('组合输入'!$J$2:$J$11)-BA208</f>
        <v/>
      </c>
    </row>
    <row r="209">
      <c r="A209" s="11" t="n">
        <v>208</v>
      </c>
      <c r="B209" s="14">
        <f>NORM.S.INV(RAND())</f>
        <v/>
      </c>
      <c r="C209" s="14">
        <f>NORM.S.INV(RAND())</f>
        <v/>
      </c>
      <c r="D209" s="15">
        <f>IF('组合输入'!$C2="","",'组合输入'!$H2*$B209+SQRT(1-'组合输入'!$H2^2)*C209)</f>
        <v/>
      </c>
      <c r="E209" s="7">
        <f>IF(D209="","",NORM.S.DIST(D209,TRUE))</f>
        <v/>
      </c>
      <c r="F209" s="13">
        <f>IF(E209="","",IF(E209&lt;='组合输入'!$K2,"AAA",IF(E209&lt;='组合输入'!$L2,"AA",IF(E209&lt;='组合输入'!$M2,"A",IF(E209&lt;='组合输入'!$N2,"BBB",IF(E209&lt;='组合输入'!$O2,"BB",IF(E209&lt;='组合输入'!$P2,"B",IF(E209&lt;='组合输入'!$Q2,"CCC","D")))))))</f>
        <v/>
      </c>
      <c r="G209" s="12">
        <f>IF(F209="","",INDEX('状态价值'!$D2:$K2,MATCH(F209,'状态价值'!$D$1:$K$1,0)))</f>
        <v/>
      </c>
      <c r="H209" s="15">
        <f>NORM.S.INV(RAND())</f>
        <v/>
      </c>
      <c r="I209" s="15">
        <f>IF('组合输入'!$C3="","",'组合输入'!$H3*$B209+SQRT(1-'组合输入'!$H3^2)*H209)</f>
        <v/>
      </c>
      <c r="J209" s="7">
        <f>IF(I209="","",NORM.S.DIST(I209,TRUE))</f>
        <v/>
      </c>
      <c r="K209" s="13">
        <f>IF(J209="","",IF(J209&lt;='组合输入'!$K3,"AAA",IF(J209&lt;='组合输入'!$L3,"AA",IF(J209&lt;='组合输入'!$M3,"A",IF(J209&lt;='组合输入'!$N3,"BBB",IF(J209&lt;='组合输入'!$O3,"BB",IF(J209&lt;='组合输入'!$P3,"B",IF(J209&lt;='组合输入'!$Q3,"CCC","D")))))))</f>
        <v/>
      </c>
      <c r="L209" s="12">
        <f>IF(K209="","",INDEX('状态价值'!$D3:$K3,MATCH(K209,'状态价值'!$D$1:$K$1,0)))</f>
        <v/>
      </c>
      <c r="M209" s="15">
        <f>NORM.S.INV(RAND())</f>
        <v/>
      </c>
      <c r="N209" s="15">
        <f>IF('组合输入'!$C4="","",'组合输入'!$H4*$B209+SQRT(1-'组合输入'!$H4^2)*M209)</f>
        <v/>
      </c>
      <c r="O209" s="7">
        <f>IF(N209="","",NORM.S.DIST(N209,TRUE))</f>
        <v/>
      </c>
      <c r="P209" s="13">
        <f>IF(O209="","",IF(O209&lt;='组合输入'!$K4,"AAA",IF(O209&lt;='组合输入'!$L4,"AA",IF(O209&lt;='组合输入'!$M4,"A",IF(O209&lt;='组合输入'!$N4,"BBB",IF(O209&lt;='组合输入'!$O4,"BB",IF(O209&lt;='组合输入'!$P4,"B",IF(O209&lt;='组合输入'!$Q4,"CCC","D")))))))</f>
        <v/>
      </c>
      <c r="Q209" s="12">
        <f>IF(P209="","",INDEX('状态价值'!$D4:$K4,MATCH(P209,'状态价值'!$D$1:$K$1,0)))</f>
        <v/>
      </c>
      <c r="R209" s="15">
        <f>NORM.S.INV(RAND())</f>
        <v/>
      </c>
      <c r="S209" s="15">
        <f>IF('组合输入'!$C5="","",'组合输入'!$H5*$B209+SQRT(1-'组合输入'!$H5^2)*R209)</f>
        <v/>
      </c>
      <c r="T209" s="7">
        <f>IF(S209="","",NORM.S.DIST(S209,TRUE))</f>
        <v/>
      </c>
      <c r="U209" s="13">
        <f>IF(T209="","",IF(T209&lt;='组合输入'!$K5,"AAA",IF(T209&lt;='组合输入'!$L5,"AA",IF(T209&lt;='组合输入'!$M5,"A",IF(T209&lt;='组合输入'!$N5,"BBB",IF(T209&lt;='组合输入'!$O5,"BB",IF(T209&lt;='组合输入'!$P5,"B",IF(T209&lt;='组合输入'!$Q5,"CCC","D")))))))</f>
        <v/>
      </c>
      <c r="V209" s="12">
        <f>IF(U209="","",INDEX('状态价值'!$D5:$K5,MATCH(U209,'状态价值'!$D$1:$K$1,0)))</f>
        <v/>
      </c>
      <c r="W209" s="15">
        <f>NORM.S.INV(RAND())</f>
        <v/>
      </c>
      <c r="X209" s="15">
        <f>IF('组合输入'!$C6="","",'组合输入'!$H6*$B209+SQRT(1-'组合输入'!$H6^2)*W209)</f>
        <v/>
      </c>
      <c r="Y209" s="7">
        <f>IF(X209="","",NORM.S.DIST(X209,TRUE))</f>
        <v/>
      </c>
      <c r="Z209" s="13">
        <f>IF(Y209="","",IF(Y209&lt;='组合输入'!$K6,"AAA",IF(Y209&lt;='组合输入'!$L6,"AA",IF(Y209&lt;='组合输入'!$M6,"A",IF(Y209&lt;='组合输入'!$N6,"BBB",IF(Y209&lt;='组合输入'!$O6,"BB",IF(Y209&lt;='组合输入'!$P6,"B",IF(Y209&lt;='组合输入'!$Q6,"CCC","D")))))))</f>
        <v/>
      </c>
      <c r="AA209" s="12">
        <f>IF(Z209="","",INDEX('状态价值'!$D6:$K6,MATCH(Z209,'状态价值'!$D$1:$K$1,0)))</f>
        <v/>
      </c>
      <c r="AB209" s="15">
        <f>NORM.S.INV(RAND())</f>
        <v/>
      </c>
      <c r="AC209" s="15">
        <f>IF('组合输入'!$C7="","",'组合输入'!$H7*$B209+SQRT(1-'组合输入'!$H7^2)*AB209)</f>
        <v/>
      </c>
      <c r="AD209" s="7">
        <f>IF(AC209="","",NORM.S.DIST(AC209,TRUE))</f>
        <v/>
      </c>
      <c r="AE209" s="13">
        <f>IF(AD209="","",IF(AD209&lt;='组合输入'!$K7,"AAA",IF(AD209&lt;='组合输入'!$L7,"AA",IF(AD209&lt;='组合输入'!$M7,"A",IF(AD209&lt;='组合输入'!$N7,"BBB",IF(AD209&lt;='组合输入'!$O7,"BB",IF(AD209&lt;='组合输入'!$P7,"B",IF(AD209&lt;='组合输入'!$Q7,"CCC","D")))))))</f>
        <v/>
      </c>
      <c r="AF209" s="12">
        <f>IF(AE209="","",INDEX('状态价值'!$D7:$K7,MATCH(AE209,'状态价值'!$D$1:$K$1,0)))</f>
        <v/>
      </c>
      <c r="AG209" s="15">
        <f>NORM.S.INV(RAND())</f>
        <v/>
      </c>
      <c r="AH209" s="15">
        <f>IF('组合输入'!$C8="","",'组合输入'!$H8*$B209+SQRT(1-'组合输入'!$H8^2)*AG209)</f>
        <v/>
      </c>
      <c r="AI209" s="7">
        <f>IF(AH209="","",NORM.S.DIST(AH209,TRUE))</f>
        <v/>
      </c>
      <c r="AJ209" s="13">
        <f>IF(AI209="","",IF(AI209&lt;='组合输入'!$K8,"AAA",IF(AI209&lt;='组合输入'!$L8,"AA",IF(AI209&lt;='组合输入'!$M8,"A",IF(AI209&lt;='组合输入'!$N8,"BBB",IF(AI209&lt;='组合输入'!$O8,"BB",IF(AI209&lt;='组合输入'!$P8,"B",IF(AI209&lt;='组合输入'!$Q8,"CCC","D")))))))</f>
        <v/>
      </c>
      <c r="AK209" s="12">
        <f>IF(AJ209="","",INDEX('状态价值'!$D8:$K8,MATCH(AJ209,'状态价值'!$D$1:$K$1,0)))</f>
        <v/>
      </c>
      <c r="AL209" s="15">
        <f>NORM.S.INV(RAND())</f>
        <v/>
      </c>
      <c r="AM209" s="15">
        <f>IF('组合输入'!$C9="","",'组合输入'!$H9*$B209+SQRT(1-'组合输入'!$H9^2)*AL209)</f>
        <v/>
      </c>
      <c r="AN209" s="7">
        <f>IF(AM209="","",NORM.S.DIST(AM209,TRUE))</f>
        <v/>
      </c>
      <c r="AO209" s="13">
        <f>IF(AN209="","",IF(AN209&lt;='组合输入'!$K9,"AAA",IF(AN209&lt;='组合输入'!$L9,"AA",IF(AN209&lt;='组合输入'!$M9,"A",IF(AN209&lt;='组合输入'!$N9,"BBB",IF(AN209&lt;='组合输入'!$O9,"BB",IF(AN209&lt;='组合输入'!$P9,"B",IF(AN209&lt;='组合输入'!$Q9,"CCC","D")))))))</f>
        <v/>
      </c>
      <c r="AP209" s="12">
        <f>IF(AO209="","",INDEX('状态价值'!$D9:$K9,MATCH(AO209,'状态价值'!$D$1:$K$1,0)))</f>
        <v/>
      </c>
      <c r="AQ209" s="15">
        <f>NORM.S.INV(RAND())</f>
        <v/>
      </c>
      <c r="AR209" s="15">
        <f>IF('组合输入'!$C10="","",'组合输入'!$H10*$B209+SQRT(1-'组合输入'!$H10^2)*AQ209)</f>
        <v/>
      </c>
      <c r="AS209" s="7">
        <f>IF(AR209="","",NORM.S.DIST(AR209,TRUE))</f>
        <v/>
      </c>
      <c r="AT209" s="13">
        <f>IF(AS209="","",IF(AS209&lt;='组合输入'!$K10,"AAA",IF(AS209&lt;='组合输入'!$L10,"AA",IF(AS209&lt;='组合输入'!$M10,"A",IF(AS209&lt;='组合输入'!$N10,"BBB",IF(AS209&lt;='组合输入'!$O10,"BB",IF(AS209&lt;='组合输入'!$P10,"B",IF(AS209&lt;='组合输入'!$Q10,"CCC","D")))))))</f>
        <v/>
      </c>
      <c r="AU209" s="12">
        <f>IF(AT209="","",INDEX('状态价值'!$D10:$K10,MATCH(AT209,'状态价值'!$D$1:$K$1,0)))</f>
        <v/>
      </c>
      <c r="AV209" s="15">
        <f>NORM.S.INV(RAND())</f>
        <v/>
      </c>
      <c r="AW209" s="15">
        <f>IF('组合输入'!$C11="","",'组合输入'!$H11*$B209+SQRT(1-'组合输入'!$H11^2)*AV209)</f>
        <v/>
      </c>
      <c r="AX209" s="7">
        <f>IF(AW209="","",NORM.S.DIST(AW209,TRUE))</f>
        <v/>
      </c>
      <c r="AY209" s="13">
        <f>IF(AX209="","",IF(AX209&lt;='组合输入'!$K11,"AAA",IF(AX209&lt;='组合输入'!$L11,"AA",IF(AX209&lt;='组合输入'!$M11,"A",IF(AX209&lt;='组合输入'!$N11,"BBB",IF(AX209&lt;='组合输入'!$O11,"BB",IF(AX209&lt;='组合输入'!$P11,"B",IF(AX209&lt;='组合输入'!$Q11,"CCC","D")))))))</f>
        <v/>
      </c>
      <c r="AZ209" s="12">
        <f>IF(AY209="","",INDEX('状态价值'!$D11:$K11,MATCH(AY209,'状态价值'!$D$1:$K$1,0)))</f>
        <v/>
      </c>
      <c r="BA209" s="12">
        <f>G209+L209+Q209+V209+AA209+AF209+AK209+AP209+AU209+AZ209</f>
        <v/>
      </c>
      <c r="BB209" s="12">
        <f>SUM('组合输入'!$J$2:$J$11)-BA209</f>
        <v/>
      </c>
    </row>
    <row r="210">
      <c r="A210" s="11" t="n">
        <v>209</v>
      </c>
      <c r="B210" s="14">
        <f>NORM.S.INV(RAND())</f>
        <v/>
      </c>
      <c r="C210" s="14">
        <f>NORM.S.INV(RAND())</f>
        <v/>
      </c>
      <c r="D210" s="15">
        <f>IF('组合输入'!$C2="","",'组合输入'!$H2*$B210+SQRT(1-'组合输入'!$H2^2)*C210)</f>
        <v/>
      </c>
      <c r="E210" s="7">
        <f>IF(D210="","",NORM.S.DIST(D210,TRUE))</f>
        <v/>
      </c>
      <c r="F210" s="13">
        <f>IF(E210="","",IF(E210&lt;='组合输入'!$K2,"AAA",IF(E210&lt;='组合输入'!$L2,"AA",IF(E210&lt;='组合输入'!$M2,"A",IF(E210&lt;='组合输入'!$N2,"BBB",IF(E210&lt;='组合输入'!$O2,"BB",IF(E210&lt;='组合输入'!$P2,"B",IF(E210&lt;='组合输入'!$Q2,"CCC","D")))))))</f>
        <v/>
      </c>
      <c r="G210" s="12">
        <f>IF(F210="","",INDEX('状态价值'!$D2:$K2,MATCH(F210,'状态价值'!$D$1:$K$1,0)))</f>
        <v/>
      </c>
      <c r="H210" s="15">
        <f>NORM.S.INV(RAND())</f>
        <v/>
      </c>
      <c r="I210" s="15">
        <f>IF('组合输入'!$C3="","",'组合输入'!$H3*$B210+SQRT(1-'组合输入'!$H3^2)*H210)</f>
        <v/>
      </c>
      <c r="J210" s="7">
        <f>IF(I210="","",NORM.S.DIST(I210,TRUE))</f>
        <v/>
      </c>
      <c r="K210" s="13">
        <f>IF(J210="","",IF(J210&lt;='组合输入'!$K3,"AAA",IF(J210&lt;='组合输入'!$L3,"AA",IF(J210&lt;='组合输入'!$M3,"A",IF(J210&lt;='组合输入'!$N3,"BBB",IF(J210&lt;='组合输入'!$O3,"BB",IF(J210&lt;='组合输入'!$P3,"B",IF(J210&lt;='组合输入'!$Q3,"CCC","D")))))))</f>
        <v/>
      </c>
      <c r="L210" s="12">
        <f>IF(K210="","",INDEX('状态价值'!$D3:$K3,MATCH(K210,'状态价值'!$D$1:$K$1,0)))</f>
        <v/>
      </c>
      <c r="M210" s="15">
        <f>NORM.S.INV(RAND())</f>
        <v/>
      </c>
      <c r="N210" s="15">
        <f>IF('组合输入'!$C4="","",'组合输入'!$H4*$B210+SQRT(1-'组合输入'!$H4^2)*M210)</f>
        <v/>
      </c>
      <c r="O210" s="7">
        <f>IF(N210="","",NORM.S.DIST(N210,TRUE))</f>
        <v/>
      </c>
      <c r="P210" s="13">
        <f>IF(O210="","",IF(O210&lt;='组合输入'!$K4,"AAA",IF(O210&lt;='组合输入'!$L4,"AA",IF(O210&lt;='组合输入'!$M4,"A",IF(O210&lt;='组合输入'!$N4,"BBB",IF(O210&lt;='组合输入'!$O4,"BB",IF(O210&lt;='组合输入'!$P4,"B",IF(O210&lt;='组合输入'!$Q4,"CCC","D")))))))</f>
        <v/>
      </c>
      <c r="Q210" s="12">
        <f>IF(P210="","",INDEX('状态价值'!$D4:$K4,MATCH(P210,'状态价值'!$D$1:$K$1,0)))</f>
        <v/>
      </c>
      <c r="R210" s="15">
        <f>NORM.S.INV(RAND())</f>
        <v/>
      </c>
      <c r="S210" s="15">
        <f>IF('组合输入'!$C5="","",'组合输入'!$H5*$B210+SQRT(1-'组合输入'!$H5^2)*R210)</f>
        <v/>
      </c>
      <c r="T210" s="7">
        <f>IF(S210="","",NORM.S.DIST(S210,TRUE))</f>
        <v/>
      </c>
      <c r="U210" s="13">
        <f>IF(T210="","",IF(T210&lt;='组合输入'!$K5,"AAA",IF(T210&lt;='组合输入'!$L5,"AA",IF(T210&lt;='组合输入'!$M5,"A",IF(T210&lt;='组合输入'!$N5,"BBB",IF(T210&lt;='组合输入'!$O5,"BB",IF(T210&lt;='组合输入'!$P5,"B",IF(T210&lt;='组合输入'!$Q5,"CCC","D")))))))</f>
        <v/>
      </c>
      <c r="V210" s="12">
        <f>IF(U210="","",INDEX('状态价值'!$D5:$K5,MATCH(U210,'状态价值'!$D$1:$K$1,0)))</f>
        <v/>
      </c>
      <c r="W210" s="15">
        <f>NORM.S.INV(RAND())</f>
        <v/>
      </c>
      <c r="X210" s="15">
        <f>IF('组合输入'!$C6="","",'组合输入'!$H6*$B210+SQRT(1-'组合输入'!$H6^2)*W210)</f>
        <v/>
      </c>
      <c r="Y210" s="7">
        <f>IF(X210="","",NORM.S.DIST(X210,TRUE))</f>
        <v/>
      </c>
      <c r="Z210" s="13">
        <f>IF(Y210="","",IF(Y210&lt;='组合输入'!$K6,"AAA",IF(Y210&lt;='组合输入'!$L6,"AA",IF(Y210&lt;='组合输入'!$M6,"A",IF(Y210&lt;='组合输入'!$N6,"BBB",IF(Y210&lt;='组合输入'!$O6,"BB",IF(Y210&lt;='组合输入'!$P6,"B",IF(Y210&lt;='组合输入'!$Q6,"CCC","D")))))))</f>
        <v/>
      </c>
      <c r="AA210" s="12">
        <f>IF(Z210="","",INDEX('状态价值'!$D6:$K6,MATCH(Z210,'状态价值'!$D$1:$K$1,0)))</f>
        <v/>
      </c>
      <c r="AB210" s="15">
        <f>NORM.S.INV(RAND())</f>
        <v/>
      </c>
      <c r="AC210" s="15">
        <f>IF('组合输入'!$C7="","",'组合输入'!$H7*$B210+SQRT(1-'组合输入'!$H7^2)*AB210)</f>
        <v/>
      </c>
      <c r="AD210" s="7">
        <f>IF(AC210="","",NORM.S.DIST(AC210,TRUE))</f>
        <v/>
      </c>
      <c r="AE210" s="13">
        <f>IF(AD210="","",IF(AD210&lt;='组合输入'!$K7,"AAA",IF(AD210&lt;='组合输入'!$L7,"AA",IF(AD210&lt;='组合输入'!$M7,"A",IF(AD210&lt;='组合输入'!$N7,"BBB",IF(AD210&lt;='组合输入'!$O7,"BB",IF(AD210&lt;='组合输入'!$P7,"B",IF(AD210&lt;='组合输入'!$Q7,"CCC","D")))))))</f>
        <v/>
      </c>
      <c r="AF210" s="12">
        <f>IF(AE210="","",INDEX('状态价值'!$D7:$K7,MATCH(AE210,'状态价值'!$D$1:$K$1,0)))</f>
        <v/>
      </c>
      <c r="AG210" s="15">
        <f>NORM.S.INV(RAND())</f>
        <v/>
      </c>
      <c r="AH210" s="15">
        <f>IF('组合输入'!$C8="","",'组合输入'!$H8*$B210+SQRT(1-'组合输入'!$H8^2)*AG210)</f>
        <v/>
      </c>
      <c r="AI210" s="7">
        <f>IF(AH210="","",NORM.S.DIST(AH210,TRUE))</f>
        <v/>
      </c>
      <c r="AJ210" s="13">
        <f>IF(AI210="","",IF(AI210&lt;='组合输入'!$K8,"AAA",IF(AI210&lt;='组合输入'!$L8,"AA",IF(AI210&lt;='组合输入'!$M8,"A",IF(AI210&lt;='组合输入'!$N8,"BBB",IF(AI210&lt;='组合输入'!$O8,"BB",IF(AI210&lt;='组合输入'!$P8,"B",IF(AI210&lt;='组合输入'!$Q8,"CCC","D")))))))</f>
        <v/>
      </c>
      <c r="AK210" s="12">
        <f>IF(AJ210="","",INDEX('状态价值'!$D8:$K8,MATCH(AJ210,'状态价值'!$D$1:$K$1,0)))</f>
        <v/>
      </c>
      <c r="AL210" s="15">
        <f>NORM.S.INV(RAND())</f>
        <v/>
      </c>
      <c r="AM210" s="15">
        <f>IF('组合输入'!$C9="","",'组合输入'!$H9*$B210+SQRT(1-'组合输入'!$H9^2)*AL210)</f>
        <v/>
      </c>
      <c r="AN210" s="7">
        <f>IF(AM210="","",NORM.S.DIST(AM210,TRUE))</f>
        <v/>
      </c>
      <c r="AO210" s="13">
        <f>IF(AN210="","",IF(AN210&lt;='组合输入'!$K9,"AAA",IF(AN210&lt;='组合输入'!$L9,"AA",IF(AN210&lt;='组合输入'!$M9,"A",IF(AN210&lt;='组合输入'!$N9,"BBB",IF(AN210&lt;='组合输入'!$O9,"BB",IF(AN210&lt;='组合输入'!$P9,"B",IF(AN210&lt;='组合输入'!$Q9,"CCC","D")))))))</f>
        <v/>
      </c>
      <c r="AP210" s="12">
        <f>IF(AO210="","",INDEX('状态价值'!$D9:$K9,MATCH(AO210,'状态价值'!$D$1:$K$1,0)))</f>
        <v/>
      </c>
      <c r="AQ210" s="15">
        <f>NORM.S.INV(RAND())</f>
        <v/>
      </c>
      <c r="AR210" s="15">
        <f>IF('组合输入'!$C10="","",'组合输入'!$H10*$B210+SQRT(1-'组合输入'!$H10^2)*AQ210)</f>
        <v/>
      </c>
      <c r="AS210" s="7">
        <f>IF(AR210="","",NORM.S.DIST(AR210,TRUE))</f>
        <v/>
      </c>
      <c r="AT210" s="13">
        <f>IF(AS210="","",IF(AS210&lt;='组合输入'!$K10,"AAA",IF(AS210&lt;='组合输入'!$L10,"AA",IF(AS210&lt;='组合输入'!$M10,"A",IF(AS210&lt;='组合输入'!$N10,"BBB",IF(AS210&lt;='组合输入'!$O10,"BB",IF(AS210&lt;='组合输入'!$P10,"B",IF(AS210&lt;='组合输入'!$Q10,"CCC","D")))))))</f>
        <v/>
      </c>
      <c r="AU210" s="12">
        <f>IF(AT210="","",INDEX('状态价值'!$D10:$K10,MATCH(AT210,'状态价值'!$D$1:$K$1,0)))</f>
        <v/>
      </c>
      <c r="AV210" s="15">
        <f>NORM.S.INV(RAND())</f>
        <v/>
      </c>
      <c r="AW210" s="15">
        <f>IF('组合输入'!$C11="","",'组合输入'!$H11*$B210+SQRT(1-'组合输入'!$H11^2)*AV210)</f>
        <v/>
      </c>
      <c r="AX210" s="7">
        <f>IF(AW210="","",NORM.S.DIST(AW210,TRUE))</f>
        <v/>
      </c>
      <c r="AY210" s="13">
        <f>IF(AX210="","",IF(AX210&lt;='组合输入'!$K11,"AAA",IF(AX210&lt;='组合输入'!$L11,"AA",IF(AX210&lt;='组合输入'!$M11,"A",IF(AX210&lt;='组合输入'!$N11,"BBB",IF(AX210&lt;='组合输入'!$O11,"BB",IF(AX210&lt;='组合输入'!$P11,"B",IF(AX210&lt;='组合输入'!$Q11,"CCC","D")))))))</f>
        <v/>
      </c>
      <c r="AZ210" s="12">
        <f>IF(AY210="","",INDEX('状态价值'!$D11:$K11,MATCH(AY210,'状态价值'!$D$1:$K$1,0)))</f>
        <v/>
      </c>
      <c r="BA210" s="12">
        <f>G210+L210+Q210+V210+AA210+AF210+AK210+AP210+AU210+AZ210</f>
        <v/>
      </c>
      <c r="BB210" s="12">
        <f>SUM('组合输入'!$J$2:$J$11)-BA210</f>
        <v/>
      </c>
    </row>
    <row r="211">
      <c r="A211" s="11" t="n">
        <v>210</v>
      </c>
      <c r="B211" s="14">
        <f>NORM.S.INV(RAND())</f>
        <v/>
      </c>
      <c r="C211" s="14">
        <f>NORM.S.INV(RAND())</f>
        <v/>
      </c>
      <c r="D211" s="15">
        <f>IF('组合输入'!$C2="","",'组合输入'!$H2*$B211+SQRT(1-'组合输入'!$H2^2)*C211)</f>
        <v/>
      </c>
      <c r="E211" s="7">
        <f>IF(D211="","",NORM.S.DIST(D211,TRUE))</f>
        <v/>
      </c>
      <c r="F211" s="13">
        <f>IF(E211="","",IF(E211&lt;='组合输入'!$K2,"AAA",IF(E211&lt;='组合输入'!$L2,"AA",IF(E211&lt;='组合输入'!$M2,"A",IF(E211&lt;='组合输入'!$N2,"BBB",IF(E211&lt;='组合输入'!$O2,"BB",IF(E211&lt;='组合输入'!$P2,"B",IF(E211&lt;='组合输入'!$Q2,"CCC","D")))))))</f>
        <v/>
      </c>
      <c r="G211" s="12">
        <f>IF(F211="","",INDEX('状态价值'!$D2:$K2,MATCH(F211,'状态价值'!$D$1:$K$1,0)))</f>
        <v/>
      </c>
      <c r="H211" s="15">
        <f>NORM.S.INV(RAND())</f>
        <v/>
      </c>
      <c r="I211" s="15">
        <f>IF('组合输入'!$C3="","",'组合输入'!$H3*$B211+SQRT(1-'组合输入'!$H3^2)*H211)</f>
        <v/>
      </c>
      <c r="J211" s="7">
        <f>IF(I211="","",NORM.S.DIST(I211,TRUE))</f>
        <v/>
      </c>
      <c r="K211" s="13">
        <f>IF(J211="","",IF(J211&lt;='组合输入'!$K3,"AAA",IF(J211&lt;='组合输入'!$L3,"AA",IF(J211&lt;='组合输入'!$M3,"A",IF(J211&lt;='组合输入'!$N3,"BBB",IF(J211&lt;='组合输入'!$O3,"BB",IF(J211&lt;='组合输入'!$P3,"B",IF(J211&lt;='组合输入'!$Q3,"CCC","D")))))))</f>
        <v/>
      </c>
      <c r="L211" s="12">
        <f>IF(K211="","",INDEX('状态价值'!$D3:$K3,MATCH(K211,'状态价值'!$D$1:$K$1,0)))</f>
        <v/>
      </c>
      <c r="M211" s="15">
        <f>NORM.S.INV(RAND())</f>
        <v/>
      </c>
      <c r="N211" s="15">
        <f>IF('组合输入'!$C4="","",'组合输入'!$H4*$B211+SQRT(1-'组合输入'!$H4^2)*M211)</f>
        <v/>
      </c>
      <c r="O211" s="7">
        <f>IF(N211="","",NORM.S.DIST(N211,TRUE))</f>
        <v/>
      </c>
      <c r="P211" s="13">
        <f>IF(O211="","",IF(O211&lt;='组合输入'!$K4,"AAA",IF(O211&lt;='组合输入'!$L4,"AA",IF(O211&lt;='组合输入'!$M4,"A",IF(O211&lt;='组合输入'!$N4,"BBB",IF(O211&lt;='组合输入'!$O4,"BB",IF(O211&lt;='组合输入'!$P4,"B",IF(O211&lt;='组合输入'!$Q4,"CCC","D")))))))</f>
        <v/>
      </c>
      <c r="Q211" s="12">
        <f>IF(P211="","",INDEX('状态价值'!$D4:$K4,MATCH(P211,'状态价值'!$D$1:$K$1,0)))</f>
        <v/>
      </c>
      <c r="R211" s="15">
        <f>NORM.S.INV(RAND())</f>
        <v/>
      </c>
      <c r="S211" s="15">
        <f>IF('组合输入'!$C5="","",'组合输入'!$H5*$B211+SQRT(1-'组合输入'!$H5^2)*R211)</f>
        <v/>
      </c>
      <c r="T211" s="7">
        <f>IF(S211="","",NORM.S.DIST(S211,TRUE))</f>
        <v/>
      </c>
      <c r="U211" s="13">
        <f>IF(T211="","",IF(T211&lt;='组合输入'!$K5,"AAA",IF(T211&lt;='组合输入'!$L5,"AA",IF(T211&lt;='组合输入'!$M5,"A",IF(T211&lt;='组合输入'!$N5,"BBB",IF(T211&lt;='组合输入'!$O5,"BB",IF(T211&lt;='组合输入'!$P5,"B",IF(T211&lt;='组合输入'!$Q5,"CCC","D")))))))</f>
        <v/>
      </c>
      <c r="V211" s="12">
        <f>IF(U211="","",INDEX('状态价值'!$D5:$K5,MATCH(U211,'状态价值'!$D$1:$K$1,0)))</f>
        <v/>
      </c>
      <c r="W211" s="15">
        <f>NORM.S.INV(RAND())</f>
        <v/>
      </c>
      <c r="X211" s="15">
        <f>IF('组合输入'!$C6="","",'组合输入'!$H6*$B211+SQRT(1-'组合输入'!$H6^2)*W211)</f>
        <v/>
      </c>
      <c r="Y211" s="7">
        <f>IF(X211="","",NORM.S.DIST(X211,TRUE))</f>
        <v/>
      </c>
      <c r="Z211" s="13">
        <f>IF(Y211="","",IF(Y211&lt;='组合输入'!$K6,"AAA",IF(Y211&lt;='组合输入'!$L6,"AA",IF(Y211&lt;='组合输入'!$M6,"A",IF(Y211&lt;='组合输入'!$N6,"BBB",IF(Y211&lt;='组合输入'!$O6,"BB",IF(Y211&lt;='组合输入'!$P6,"B",IF(Y211&lt;='组合输入'!$Q6,"CCC","D")))))))</f>
        <v/>
      </c>
      <c r="AA211" s="12">
        <f>IF(Z211="","",INDEX('状态价值'!$D6:$K6,MATCH(Z211,'状态价值'!$D$1:$K$1,0)))</f>
        <v/>
      </c>
      <c r="AB211" s="15">
        <f>NORM.S.INV(RAND())</f>
        <v/>
      </c>
      <c r="AC211" s="15">
        <f>IF('组合输入'!$C7="","",'组合输入'!$H7*$B211+SQRT(1-'组合输入'!$H7^2)*AB211)</f>
        <v/>
      </c>
      <c r="AD211" s="7">
        <f>IF(AC211="","",NORM.S.DIST(AC211,TRUE))</f>
        <v/>
      </c>
      <c r="AE211" s="13">
        <f>IF(AD211="","",IF(AD211&lt;='组合输入'!$K7,"AAA",IF(AD211&lt;='组合输入'!$L7,"AA",IF(AD211&lt;='组合输入'!$M7,"A",IF(AD211&lt;='组合输入'!$N7,"BBB",IF(AD211&lt;='组合输入'!$O7,"BB",IF(AD211&lt;='组合输入'!$P7,"B",IF(AD211&lt;='组合输入'!$Q7,"CCC","D")))))))</f>
        <v/>
      </c>
      <c r="AF211" s="12">
        <f>IF(AE211="","",INDEX('状态价值'!$D7:$K7,MATCH(AE211,'状态价值'!$D$1:$K$1,0)))</f>
        <v/>
      </c>
      <c r="AG211" s="15">
        <f>NORM.S.INV(RAND())</f>
        <v/>
      </c>
      <c r="AH211" s="15">
        <f>IF('组合输入'!$C8="","",'组合输入'!$H8*$B211+SQRT(1-'组合输入'!$H8^2)*AG211)</f>
        <v/>
      </c>
      <c r="AI211" s="7">
        <f>IF(AH211="","",NORM.S.DIST(AH211,TRUE))</f>
        <v/>
      </c>
      <c r="AJ211" s="13">
        <f>IF(AI211="","",IF(AI211&lt;='组合输入'!$K8,"AAA",IF(AI211&lt;='组合输入'!$L8,"AA",IF(AI211&lt;='组合输入'!$M8,"A",IF(AI211&lt;='组合输入'!$N8,"BBB",IF(AI211&lt;='组合输入'!$O8,"BB",IF(AI211&lt;='组合输入'!$P8,"B",IF(AI211&lt;='组合输入'!$Q8,"CCC","D")))))))</f>
        <v/>
      </c>
      <c r="AK211" s="12">
        <f>IF(AJ211="","",INDEX('状态价值'!$D8:$K8,MATCH(AJ211,'状态价值'!$D$1:$K$1,0)))</f>
        <v/>
      </c>
      <c r="AL211" s="15">
        <f>NORM.S.INV(RAND())</f>
        <v/>
      </c>
      <c r="AM211" s="15">
        <f>IF('组合输入'!$C9="","",'组合输入'!$H9*$B211+SQRT(1-'组合输入'!$H9^2)*AL211)</f>
        <v/>
      </c>
      <c r="AN211" s="7">
        <f>IF(AM211="","",NORM.S.DIST(AM211,TRUE))</f>
        <v/>
      </c>
      <c r="AO211" s="13">
        <f>IF(AN211="","",IF(AN211&lt;='组合输入'!$K9,"AAA",IF(AN211&lt;='组合输入'!$L9,"AA",IF(AN211&lt;='组合输入'!$M9,"A",IF(AN211&lt;='组合输入'!$N9,"BBB",IF(AN211&lt;='组合输入'!$O9,"BB",IF(AN211&lt;='组合输入'!$P9,"B",IF(AN211&lt;='组合输入'!$Q9,"CCC","D")))))))</f>
        <v/>
      </c>
      <c r="AP211" s="12">
        <f>IF(AO211="","",INDEX('状态价值'!$D9:$K9,MATCH(AO211,'状态价值'!$D$1:$K$1,0)))</f>
        <v/>
      </c>
      <c r="AQ211" s="15">
        <f>NORM.S.INV(RAND())</f>
        <v/>
      </c>
      <c r="AR211" s="15">
        <f>IF('组合输入'!$C10="","",'组合输入'!$H10*$B211+SQRT(1-'组合输入'!$H10^2)*AQ211)</f>
        <v/>
      </c>
      <c r="AS211" s="7">
        <f>IF(AR211="","",NORM.S.DIST(AR211,TRUE))</f>
        <v/>
      </c>
      <c r="AT211" s="13">
        <f>IF(AS211="","",IF(AS211&lt;='组合输入'!$K10,"AAA",IF(AS211&lt;='组合输入'!$L10,"AA",IF(AS211&lt;='组合输入'!$M10,"A",IF(AS211&lt;='组合输入'!$N10,"BBB",IF(AS211&lt;='组合输入'!$O10,"BB",IF(AS211&lt;='组合输入'!$P10,"B",IF(AS211&lt;='组合输入'!$Q10,"CCC","D")))))))</f>
        <v/>
      </c>
      <c r="AU211" s="12">
        <f>IF(AT211="","",INDEX('状态价值'!$D10:$K10,MATCH(AT211,'状态价值'!$D$1:$K$1,0)))</f>
        <v/>
      </c>
      <c r="AV211" s="15">
        <f>NORM.S.INV(RAND())</f>
        <v/>
      </c>
      <c r="AW211" s="15">
        <f>IF('组合输入'!$C11="","",'组合输入'!$H11*$B211+SQRT(1-'组合输入'!$H11^2)*AV211)</f>
        <v/>
      </c>
      <c r="AX211" s="7">
        <f>IF(AW211="","",NORM.S.DIST(AW211,TRUE))</f>
        <v/>
      </c>
      <c r="AY211" s="13">
        <f>IF(AX211="","",IF(AX211&lt;='组合输入'!$K11,"AAA",IF(AX211&lt;='组合输入'!$L11,"AA",IF(AX211&lt;='组合输入'!$M11,"A",IF(AX211&lt;='组合输入'!$N11,"BBB",IF(AX211&lt;='组合输入'!$O11,"BB",IF(AX211&lt;='组合输入'!$P11,"B",IF(AX211&lt;='组合输入'!$Q11,"CCC","D")))))))</f>
        <v/>
      </c>
      <c r="AZ211" s="12">
        <f>IF(AY211="","",INDEX('状态价值'!$D11:$K11,MATCH(AY211,'状态价值'!$D$1:$K$1,0)))</f>
        <v/>
      </c>
      <c r="BA211" s="12">
        <f>G211+L211+Q211+V211+AA211+AF211+AK211+AP211+AU211+AZ211</f>
        <v/>
      </c>
      <c r="BB211" s="12">
        <f>SUM('组合输入'!$J$2:$J$11)-BA211</f>
        <v/>
      </c>
    </row>
    <row r="212">
      <c r="A212" s="11" t="n">
        <v>211</v>
      </c>
      <c r="B212" s="14">
        <f>NORM.S.INV(RAND())</f>
        <v/>
      </c>
      <c r="C212" s="14">
        <f>NORM.S.INV(RAND())</f>
        <v/>
      </c>
      <c r="D212" s="15">
        <f>IF('组合输入'!$C2="","",'组合输入'!$H2*$B212+SQRT(1-'组合输入'!$H2^2)*C212)</f>
        <v/>
      </c>
      <c r="E212" s="7">
        <f>IF(D212="","",NORM.S.DIST(D212,TRUE))</f>
        <v/>
      </c>
      <c r="F212" s="13">
        <f>IF(E212="","",IF(E212&lt;='组合输入'!$K2,"AAA",IF(E212&lt;='组合输入'!$L2,"AA",IF(E212&lt;='组合输入'!$M2,"A",IF(E212&lt;='组合输入'!$N2,"BBB",IF(E212&lt;='组合输入'!$O2,"BB",IF(E212&lt;='组合输入'!$P2,"B",IF(E212&lt;='组合输入'!$Q2,"CCC","D")))))))</f>
        <v/>
      </c>
      <c r="G212" s="12">
        <f>IF(F212="","",INDEX('状态价值'!$D2:$K2,MATCH(F212,'状态价值'!$D$1:$K$1,0)))</f>
        <v/>
      </c>
      <c r="H212" s="15">
        <f>NORM.S.INV(RAND())</f>
        <v/>
      </c>
      <c r="I212" s="15">
        <f>IF('组合输入'!$C3="","",'组合输入'!$H3*$B212+SQRT(1-'组合输入'!$H3^2)*H212)</f>
        <v/>
      </c>
      <c r="J212" s="7">
        <f>IF(I212="","",NORM.S.DIST(I212,TRUE))</f>
        <v/>
      </c>
      <c r="K212" s="13">
        <f>IF(J212="","",IF(J212&lt;='组合输入'!$K3,"AAA",IF(J212&lt;='组合输入'!$L3,"AA",IF(J212&lt;='组合输入'!$M3,"A",IF(J212&lt;='组合输入'!$N3,"BBB",IF(J212&lt;='组合输入'!$O3,"BB",IF(J212&lt;='组合输入'!$P3,"B",IF(J212&lt;='组合输入'!$Q3,"CCC","D")))))))</f>
        <v/>
      </c>
      <c r="L212" s="12">
        <f>IF(K212="","",INDEX('状态价值'!$D3:$K3,MATCH(K212,'状态价值'!$D$1:$K$1,0)))</f>
        <v/>
      </c>
      <c r="M212" s="15">
        <f>NORM.S.INV(RAND())</f>
        <v/>
      </c>
      <c r="N212" s="15">
        <f>IF('组合输入'!$C4="","",'组合输入'!$H4*$B212+SQRT(1-'组合输入'!$H4^2)*M212)</f>
        <v/>
      </c>
      <c r="O212" s="7">
        <f>IF(N212="","",NORM.S.DIST(N212,TRUE))</f>
        <v/>
      </c>
      <c r="P212" s="13">
        <f>IF(O212="","",IF(O212&lt;='组合输入'!$K4,"AAA",IF(O212&lt;='组合输入'!$L4,"AA",IF(O212&lt;='组合输入'!$M4,"A",IF(O212&lt;='组合输入'!$N4,"BBB",IF(O212&lt;='组合输入'!$O4,"BB",IF(O212&lt;='组合输入'!$P4,"B",IF(O212&lt;='组合输入'!$Q4,"CCC","D")))))))</f>
        <v/>
      </c>
      <c r="Q212" s="12">
        <f>IF(P212="","",INDEX('状态价值'!$D4:$K4,MATCH(P212,'状态价值'!$D$1:$K$1,0)))</f>
        <v/>
      </c>
      <c r="R212" s="15">
        <f>NORM.S.INV(RAND())</f>
        <v/>
      </c>
      <c r="S212" s="15">
        <f>IF('组合输入'!$C5="","",'组合输入'!$H5*$B212+SQRT(1-'组合输入'!$H5^2)*R212)</f>
        <v/>
      </c>
      <c r="T212" s="7">
        <f>IF(S212="","",NORM.S.DIST(S212,TRUE))</f>
        <v/>
      </c>
      <c r="U212" s="13">
        <f>IF(T212="","",IF(T212&lt;='组合输入'!$K5,"AAA",IF(T212&lt;='组合输入'!$L5,"AA",IF(T212&lt;='组合输入'!$M5,"A",IF(T212&lt;='组合输入'!$N5,"BBB",IF(T212&lt;='组合输入'!$O5,"BB",IF(T212&lt;='组合输入'!$P5,"B",IF(T212&lt;='组合输入'!$Q5,"CCC","D")))))))</f>
        <v/>
      </c>
      <c r="V212" s="12">
        <f>IF(U212="","",INDEX('状态价值'!$D5:$K5,MATCH(U212,'状态价值'!$D$1:$K$1,0)))</f>
        <v/>
      </c>
      <c r="W212" s="15">
        <f>NORM.S.INV(RAND())</f>
        <v/>
      </c>
      <c r="X212" s="15">
        <f>IF('组合输入'!$C6="","",'组合输入'!$H6*$B212+SQRT(1-'组合输入'!$H6^2)*W212)</f>
        <v/>
      </c>
      <c r="Y212" s="7">
        <f>IF(X212="","",NORM.S.DIST(X212,TRUE))</f>
        <v/>
      </c>
      <c r="Z212" s="13">
        <f>IF(Y212="","",IF(Y212&lt;='组合输入'!$K6,"AAA",IF(Y212&lt;='组合输入'!$L6,"AA",IF(Y212&lt;='组合输入'!$M6,"A",IF(Y212&lt;='组合输入'!$N6,"BBB",IF(Y212&lt;='组合输入'!$O6,"BB",IF(Y212&lt;='组合输入'!$P6,"B",IF(Y212&lt;='组合输入'!$Q6,"CCC","D")))))))</f>
        <v/>
      </c>
      <c r="AA212" s="12">
        <f>IF(Z212="","",INDEX('状态价值'!$D6:$K6,MATCH(Z212,'状态价值'!$D$1:$K$1,0)))</f>
        <v/>
      </c>
      <c r="AB212" s="15">
        <f>NORM.S.INV(RAND())</f>
        <v/>
      </c>
      <c r="AC212" s="15">
        <f>IF('组合输入'!$C7="","",'组合输入'!$H7*$B212+SQRT(1-'组合输入'!$H7^2)*AB212)</f>
        <v/>
      </c>
      <c r="AD212" s="7">
        <f>IF(AC212="","",NORM.S.DIST(AC212,TRUE))</f>
        <v/>
      </c>
      <c r="AE212" s="13">
        <f>IF(AD212="","",IF(AD212&lt;='组合输入'!$K7,"AAA",IF(AD212&lt;='组合输入'!$L7,"AA",IF(AD212&lt;='组合输入'!$M7,"A",IF(AD212&lt;='组合输入'!$N7,"BBB",IF(AD212&lt;='组合输入'!$O7,"BB",IF(AD212&lt;='组合输入'!$P7,"B",IF(AD212&lt;='组合输入'!$Q7,"CCC","D")))))))</f>
        <v/>
      </c>
      <c r="AF212" s="12">
        <f>IF(AE212="","",INDEX('状态价值'!$D7:$K7,MATCH(AE212,'状态价值'!$D$1:$K$1,0)))</f>
        <v/>
      </c>
      <c r="AG212" s="15">
        <f>NORM.S.INV(RAND())</f>
        <v/>
      </c>
      <c r="AH212" s="15">
        <f>IF('组合输入'!$C8="","",'组合输入'!$H8*$B212+SQRT(1-'组合输入'!$H8^2)*AG212)</f>
        <v/>
      </c>
      <c r="AI212" s="7">
        <f>IF(AH212="","",NORM.S.DIST(AH212,TRUE))</f>
        <v/>
      </c>
      <c r="AJ212" s="13">
        <f>IF(AI212="","",IF(AI212&lt;='组合输入'!$K8,"AAA",IF(AI212&lt;='组合输入'!$L8,"AA",IF(AI212&lt;='组合输入'!$M8,"A",IF(AI212&lt;='组合输入'!$N8,"BBB",IF(AI212&lt;='组合输入'!$O8,"BB",IF(AI212&lt;='组合输入'!$P8,"B",IF(AI212&lt;='组合输入'!$Q8,"CCC","D")))))))</f>
        <v/>
      </c>
      <c r="AK212" s="12">
        <f>IF(AJ212="","",INDEX('状态价值'!$D8:$K8,MATCH(AJ212,'状态价值'!$D$1:$K$1,0)))</f>
        <v/>
      </c>
      <c r="AL212" s="15">
        <f>NORM.S.INV(RAND())</f>
        <v/>
      </c>
      <c r="AM212" s="15">
        <f>IF('组合输入'!$C9="","",'组合输入'!$H9*$B212+SQRT(1-'组合输入'!$H9^2)*AL212)</f>
        <v/>
      </c>
      <c r="AN212" s="7">
        <f>IF(AM212="","",NORM.S.DIST(AM212,TRUE))</f>
        <v/>
      </c>
      <c r="AO212" s="13">
        <f>IF(AN212="","",IF(AN212&lt;='组合输入'!$K9,"AAA",IF(AN212&lt;='组合输入'!$L9,"AA",IF(AN212&lt;='组合输入'!$M9,"A",IF(AN212&lt;='组合输入'!$N9,"BBB",IF(AN212&lt;='组合输入'!$O9,"BB",IF(AN212&lt;='组合输入'!$P9,"B",IF(AN212&lt;='组合输入'!$Q9,"CCC","D")))))))</f>
        <v/>
      </c>
      <c r="AP212" s="12">
        <f>IF(AO212="","",INDEX('状态价值'!$D9:$K9,MATCH(AO212,'状态价值'!$D$1:$K$1,0)))</f>
        <v/>
      </c>
      <c r="AQ212" s="15">
        <f>NORM.S.INV(RAND())</f>
        <v/>
      </c>
      <c r="AR212" s="15">
        <f>IF('组合输入'!$C10="","",'组合输入'!$H10*$B212+SQRT(1-'组合输入'!$H10^2)*AQ212)</f>
        <v/>
      </c>
      <c r="AS212" s="7">
        <f>IF(AR212="","",NORM.S.DIST(AR212,TRUE))</f>
        <v/>
      </c>
      <c r="AT212" s="13">
        <f>IF(AS212="","",IF(AS212&lt;='组合输入'!$K10,"AAA",IF(AS212&lt;='组合输入'!$L10,"AA",IF(AS212&lt;='组合输入'!$M10,"A",IF(AS212&lt;='组合输入'!$N10,"BBB",IF(AS212&lt;='组合输入'!$O10,"BB",IF(AS212&lt;='组合输入'!$P10,"B",IF(AS212&lt;='组合输入'!$Q10,"CCC","D")))))))</f>
        <v/>
      </c>
      <c r="AU212" s="12">
        <f>IF(AT212="","",INDEX('状态价值'!$D10:$K10,MATCH(AT212,'状态价值'!$D$1:$K$1,0)))</f>
        <v/>
      </c>
      <c r="AV212" s="15">
        <f>NORM.S.INV(RAND())</f>
        <v/>
      </c>
      <c r="AW212" s="15">
        <f>IF('组合输入'!$C11="","",'组合输入'!$H11*$B212+SQRT(1-'组合输入'!$H11^2)*AV212)</f>
        <v/>
      </c>
      <c r="AX212" s="7">
        <f>IF(AW212="","",NORM.S.DIST(AW212,TRUE))</f>
        <v/>
      </c>
      <c r="AY212" s="13">
        <f>IF(AX212="","",IF(AX212&lt;='组合输入'!$K11,"AAA",IF(AX212&lt;='组合输入'!$L11,"AA",IF(AX212&lt;='组合输入'!$M11,"A",IF(AX212&lt;='组合输入'!$N11,"BBB",IF(AX212&lt;='组合输入'!$O11,"BB",IF(AX212&lt;='组合输入'!$P11,"B",IF(AX212&lt;='组合输入'!$Q11,"CCC","D")))))))</f>
        <v/>
      </c>
      <c r="AZ212" s="12">
        <f>IF(AY212="","",INDEX('状态价值'!$D11:$K11,MATCH(AY212,'状态价值'!$D$1:$K$1,0)))</f>
        <v/>
      </c>
      <c r="BA212" s="12">
        <f>G212+L212+Q212+V212+AA212+AF212+AK212+AP212+AU212+AZ212</f>
        <v/>
      </c>
      <c r="BB212" s="12">
        <f>SUM('组合输入'!$J$2:$J$11)-BA212</f>
        <v/>
      </c>
    </row>
    <row r="213">
      <c r="A213" s="11" t="n">
        <v>212</v>
      </c>
      <c r="B213" s="14">
        <f>NORM.S.INV(RAND())</f>
        <v/>
      </c>
      <c r="C213" s="14">
        <f>NORM.S.INV(RAND())</f>
        <v/>
      </c>
      <c r="D213" s="15">
        <f>IF('组合输入'!$C2="","",'组合输入'!$H2*$B213+SQRT(1-'组合输入'!$H2^2)*C213)</f>
        <v/>
      </c>
      <c r="E213" s="7">
        <f>IF(D213="","",NORM.S.DIST(D213,TRUE))</f>
        <v/>
      </c>
      <c r="F213" s="13">
        <f>IF(E213="","",IF(E213&lt;='组合输入'!$K2,"AAA",IF(E213&lt;='组合输入'!$L2,"AA",IF(E213&lt;='组合输入'!$M2,"A",IF(E213&lt;='组合输入'!$N2,"BBB",IF(E213&lt;='组合输入'!$O2,"BB",IF(E213&lt;='组合输入'!$P2,"B",IF(E213&lt;='组合输入'!$Q2,"CCC","D")))))))</f>
        <v/>
      </c>
      <c r="G213" s="12">
        <f>IF(F213="","",INDEX('状态价值'!$D2:$K2,MATCH(F213,'状态价值'!$D$1:$K$1,0)))</f>
        <v/>
      </c>
      <c r="H213" s="15">
        <f>NORM.S.INV(RAND())</f>
        <v/>
      </c>
      <c r="I213" s="15">
        <f>IF('组合输入'!$C3="","",'组合输入'!$H3*$B213+SQRT(1-'组合输入'!$H3^2)*H213)</f>
        <v/>
      </c>
      <c r="J213" s="7">
        <f>IF(I213="","",NORM.S.DIST(I213,TRUE))</f>
        <v/>
      </c>
      <c r="K213" s="13">
        <f>IF(J213="","",IF(J213&lt;='组合输入'!$K3,"AAA",IF(J213&lt;='组合输入'!$L3,"AA",IF(J213&lt;='组合输入'!$M3,"A",IF(J213&lt;='组合输入'!$N3,"BBB",IF(J213&lt;='组合输入'!$O3,"BB",IF(J213&lt;='组合输入'!$P3,"B",IF(J213&lt;='组合输入'!$Q3,"CCC","D")))))))</f>
        <v/>
      </c>
      <c r="L213" s="12">
        <f>IF(K213="","",INDEX('状态价值'!$D3:$K3,MATCH(K213,'状态价值'!$D$1:$K$1,0)))</f>
        <v/>
      </c>
      <c r="M213" s="15">
        <f>NORM.S.INV(RAND())</f>
        <v/>
      </c>
      <c r="N213" s="15">
        <f>IF('组合输入'!$C4="","",'组合输入'!$H4*$B213+SQRT(1-'组合输入'!$H4^2)*M213)</f>
        <v/>
      </c>
      <c r="O213" s="7">
        <f>IF(N213="","",NORM.S.DIST(N213,TRUE))</f>
        <v/>
      </c>
      <c r="P213" s="13">
        <f>IF(O213="","",IF(O213&lt;='组合输入'!$K4,"AAA",IF(O213&lt;='组合输入'!$L4,"AA",IF(O213&lt;='组合输入'!$M4,"A",IF(O213&lt;='组合输入'!$N4,"BBB",IF(O213&lt;='组合输入'!$O4,"BB",IF(O213&lt;='组合输入'!$P4,"B",IF(O213&lt;='组合输入'!$Q4,"CCC","D")))))))</f>
        <v/>
      </c>
      <c r="Q213" s="12">
        <f>IF(P213="","",INDEX('状态价值'!$D4:$K4,MATCH(P213,'状态价值'!$D$1:$K$1,0)))</f>
        <v/>
      </c>
      <c r="R213" s="15">
        <f>NORM.S.INV(RAND())</f>
        <v/>
      </c>
      <c r="S213" s="15">
        <f>IF('组合输入'!$C5="","",'组合输入'!$H5*$B213+SQRT(1-'组合输入'!$H5^2)*R213)</f>
        <v/>
      </c>
      <c r="T213" s="7">
        <f>IF(S213="","",NORM.S.DIST(S213,TRUE))</f>
        <v/>
      </c>
      <c r="U213" s="13">
        <f>IF(T213="","",IF(T213&lt;='组合输入'!$K5,"AAA",IF(T213&lt;='组合输入'!$L5,"AA",IF(T213&lt;='组合输入'!$M5,"A",IF(T213&lt;='组合输入'!$N5,"BBB",IF(T213&lt;='组合输入'!$O5,"BB",IF(T213&lt;='组合输入'!$P5,"B",IF(T213&lt;='组合输入'!$Q5,"CCC","D")))))))</f>
        <v/>
      </c>
      <c r="V213" s="12">
        <f>IF(U213="","",INDEX('状态价值'!$D5:$K5,MATCH(U213,'状态价值'!$D$1:$K$1,0)))</f>
        <v/>
      </c>
      <c r="W213" s="15">
        <f>NORM.S.INV(RAND())</f>
        <v/>
      </c>
      <c r="X213" s="15">
        <f>IF('组合输入'!$C6="","",'组合输入'!$H6*$B213+SQRT(1-'组合输入'!$H6^2)*W213)</f>
        <v/>
      </c>
      <c r="Y213" s="7">
        <f>IF(X213="","",NORM.S.DIST(X213,TRUE))</f>
        <v/>
      </c>
      <c r="Z213" s="13">
        <f>IF(Y213="","",IF(Y213&lt;='组合输入'!$K6,"AAA",IF(Y213&lt;='组合输入'!$L6,"AA",IF(Y213&lt;='组合输入'!$M6,"A",IF(Y213&lt;='组合输入'!$N6,"BBB",IF(Y213&lt;='组合输入'!$O6,"BB",IF(Y213&lt;='组合输入'!$P6,"B",IF(Y213&lt;='组合输入'!$Q6,"CCC","D")))))))</f>
        <v/>
      </c>
      <c r="AA213" s="12">
        <f>IF(Z213="","",INDEX('状态价值'!$D6:$K6,MATCH(Z213,'状态价值'!$D$1:$K$1,0)))</f>
        <v/>
      </c>
      <c r="AB213" s="15">
        <f>NORM.S.INV(RAND())</f>
        <v/>
      </c>
      <c r="AC213" s="15">
        <f>IF('组合输入'!$C7="","",'组合输入'!$H7*$B213+SQRT(1-'组合输入'!$H7^2)*AB213)</f>
        <v/>
      </c>
      <c r="AD213" s="7">
        <f>IF(AC213="","",NORM.S.DIST(AC213,TRUE))</f>
        <v/>
      </c>
      <c r="AE213" s="13">
        <f>IF(AD213="","",IF(AD213&lt;='组合输入'!$K7,"AAA",IF(AD213&lt;='组合输入'!$L7,"AA",IF(AD213&lt;='组合输入'!$M7,"A",IF(AD213&lt;='组合输入'!$N7,"BBB",IF(AD213&lt;='组合输入'!$O7,"BB",IF(AD213&lt;='组合输入'!$P7,"B",IF(AD213&lt;='组合输入'!$Q7,"CCC","D")))))))</f>
        <v/>
      </c>
      <c r="AF213" s="12">
        <f>IF(AE213="","",INDEX('状态价值'!$D7:$K7,MATCH(AE213,'状态价值'!$D$1:$K$1,0)))</f>
        <v/>
      </c>
      <c r="AG213" s="15">
        <f>NORM.S.INV(RAND())</f>
        <v/>
      </c>
      <c r="AH213" s="15">
        <f>IF('组合输入'!$C8="","",'组合输入'!$H8*$B213+SQRT(1-'组合输入'!$H8^2)*AG213)</f>
        <v/>
      </c>
      <c r="AI213" s="7">
        <f>IF(AH213="","",NORM.S.DIST(AH213,TRUE))</f>
        <v/>
      </c>
      <c r="AJ213" s="13">
        <f>IF(AI213="","",IF(AI213&lt;='组合输入'!$K8,"AAA",IF(AI213&lt;='组合输入'!$L8,"AA",IF(AI213&lt;='组合输入'!$M8,"A",IF(AI213&lt;='组合输入'!$N8,"BBB",IF(AI213&lt;='组合输入'!$O8,"BB",IF(AI213&lt;='组合输入'!$P8,"B",IF(AI213&lt;='组合输入'!$Q8,"CCC","D")))))))</f>
        <v/>
      </c>
      <c r="AK213" s="12">
        <f>IF(AJ213="","",INDEX('状态价值'!$D8:$K8,MATCH(AJ213,'状态价值'!$D$1:$K$1,0)))</f>
        <v/>
      </c>
      <c r="AL213" s="15">
        <f>NORM.S.INV(RAND())</f>
        <v/>
      </c>
      <c r="AM213" s="15">
        <f>IF('组合输入'!$C9="","",'组合输入'!$H9*$B213+SQRT(1-'组合输入'!$H9^2)*AL213)</f>
        <v/>
      </c>
      <c r="AN213" s="7">
        <f>IF(AM213="","",NORM.S.DIST(AM213,TRUE))</f>
        <v/>
      </c>
      <c r="AO213" s="13">
        <f>IF(AN213="","",IF(AN213&lt;='组合输入'!$K9,"AAA",IF(AN213&lt;='组合输入'!$L9,"AA",IF(AN213&lt;='组合输入'!$M9,"A",IF(AN213&lt;='组合输入'!$N9,"BBB",IF(AN213&lt;='组合输入'!$O9,"BB",IF(AN213&lt;='组合输入'!$P9,"B",IF(AN213&lt;='组合输入'!$Q9,"CCC","D")))))))</f>
        <v/>
      </c>
      <c r="AP213" s="12">
        <f>IF(AO213="","",INDEX('状态价值'!$D9:$K9,MATCH(AO213,'状态价值'!$D$1:$K$1,0)))</f>
        <v/>
      </c>
      <c r="AQ213" s="15">
        <f>NORM.S.INV(RAND())</f>
        <v/>
      </c>
      <c r="AR213" s="15">
        <f>IF('组合输入'!$C10="","",'组合输入'!$H10*$B213+SQRT(1-'组合输入'!$H10^2)*AQ213)</f>
        <v/>
      </c>
      <c r="AS213" s="7">
        <f>IF(AR213="","",NORM.S.DIST(AR213,TRUE))</f>
        <v/>
      </c>
      <c r="AT213" s="13">
        <f>IF(AS213="","",IF(AS213&lt;='组合输入'!$K10,"AAA",IF(AS213&lt;='组合输入'!$L10,"AA",IF(AS213&lt;='组合输入'!$M10,"A",IF(AS213&lt;='组合输入'!$N10,"BBB",IF(AS213&lt;='组合输入'!$O10,"BB",IF(AS213&lt;='组合输入'!$P10,"B",IF(AS213&lt;='组合输入'!$Q10,"CCC","D")))))))</f>
        <v/>
      </c>
      <c r="AU213" s="12">
        <f>IF(AT213="","",INDEX('状态价值'!$D10:$K10,MATCH(AT213,'状态价值'!$D$1:$K$1,0)))</f>
        <v/>
      </c>
      <c r="AV213" s="15">
        <f>NORM.S.INV(RAND())</f>
        <v/>
      </c>
      <c r="AW213" s="15">
        <f>IF('组合输入'!$C11="","",'组合输入'!$H11*$B213+SQRT(1-'组合输入'!$H11^2)*AV213)</f>
        <v/>
      </c>
      <c r="AX213" s="7">
        <f>IF(AW213="","",NORM.S.DIST(AW213,TRUE))</f>
        <v/>
      </c>
      <c r="AY213" s="13">
        <f>IF(AX213="","",IF(AX213&lt;='组合输入'!$K11,"AAA",IF(AX213&lt;='组合输入'!$L11,"AA",IF(AX213&lt;='组合输入'!$M11,"A",IF(AX213&lt;='组合输入'!$N11,"BBB",IF(AX213&lt;='组合输入'!$O11,"BB",IF(AX213&lt;='组合输入'!$P11,"B",IF(AX213&lt;='组合输入'!$Q11,"CCC","D")))))))</f>
        <v/>
      </c>
      <c r="AZ213" s="12">
        <f>IF(AY213="","",INDEX('状态价值'!$D11:$K11,MATCH(AY213,'状态价值'!$D$1:$K$1,0)))</f>
        <v/>
      </c>
      <c r="BA213" s="12">
        <f>G213+L213+Q213+V213+AA213+AF213+AK213+AP213+AU213+AZ213</f>
        <v/>
      </c>
      <c r="BB213" s="12">
        <f>SUM('组合输入'!$J$2:$J$11)-BA213</f>
        <v/>
      </c>
    </row>
    <row r="214">
      <c r="A214" s="11" t="n">
        <v>213</v>
      </c>
      <c r="B214" s="14">
        <f>NORM.S.INV(RAND())</f>
        <v/>
      </c>
      <c r="C214" s="14">
        <f>NORM.S.INV(RAND())</f>
        <v/>
      </c>
      <c r="D214" s="15">
        <f>IF('组合输入'!$C2="","",'组合输入'!$H2*$B214+SQRT(1-'组合输入'!$H2^2)*C214)</f>
        <v/>
      </c>
      <c r="E214" s="7">
        <f>IF(D214="","",NORM.S.DIST(D214,TRUE))</f>
        <v/>
      </c>
      <c r="F214" s="13">
        <f>IF(E214="","",IF(E214&lt;='组合输入'!$K2,"AAA",IF(E214&lt;='组合输入'!$L2,"AA",IF(E214&lt;='组合输入'!$M2,"A",IF(E214&lt;='组合输入'!$N2,"BBB",IF(E214&lt;='组合输入'!$O2,"BB",IF(E214&lt;='组合输入'!$P2,"B",IF(E214&lt;='组合输入'!$Q2,"CCC","D")))))))</f>
        <v/>
      </c>
      <c r="G214" s="12">
        <f>IF(F214="","",INDEX('状态价值'!$D2:$K2,MATCH(F214,'状态价值'!$D$1:$K$1,0)))</f>
        <v/>
      </c>
      <c r="H214" s="15">
        <f>NORM.S.INV(RAND())</f>
        <v/>
      </c>
      <c r="I214" s="15">
        <f>IF('组合输入'!$C3="","",'组合输入'!$H3*$B214+SQRT(1-'组合输入'!$H3^2)*H214)</f>
        <v/>
      </c>
      <c r="J214" s="7">
        <f>IF(I214="","",NORM.S.DIST(I214,TRUE))</f>
        <v/>
      </c>
      <c r="K214" s="13">
        <f>IF(J214="","",IF(J214&lt;='组合输入'!$K3,"AAA",IF(J214&lt;='组合输入'!$L3,"AA",IF(J214&lt;='组合输入'!$M3,"A",IF(J214&lt;='组合输入'!$N3,"BBB",IF(J214&lt;='组合输入'!$O3,"BB",IF(J214&lt;='组合输入'!$P3,"B",IF(J214&lt;='组合输入'!$Q3,"CCC","D")))))))</f>
        <v/>
      </c>
      <c r="L214" s="12">
        <f>IF(K214="","",INDEX('状态价值'!$D3:$K3,MATCH(K214,'状态价值'!$D$1:$K$1,0)))</f>
        <v/>
      </c>
      <c r="M214" s="15">
        <f>NORM.S.INV(RAND())</f>
        <v/>
      </c>
      <c r="N214" s="15">
        <f>IF('组合输入'!$C4="","",'组合输入'!$H4*$B214+SQRT(1-'组合输入'!$H4^2)*M214)</f>
        <v/>
      </c>
      <c r="O214" s="7">
        <f>IF(N214="","",NORM.S.DIST(N214,TRUE))</f>
        <v/>
      </c>
      <c r="P214" s="13">
        <f>IF(O214="","",IF(O214&lt;='组合输入'!$K4,"AAA",IF(O214&lt;='组合输入'!$L4,"AA",IF(O214&lt;='组合输入'!$M4,"A",IF(O214&lt;='组合输入'!$N4,"BBB",IF(O214&lt;='组合输入'!$O4,"BB",IF(O214&lt;='组合输入'!$P4,"B",IF(O214&lt;='组合输入'!$Q4,"CCC","D")))))))</f>
        <v/>
      </c>
      <c r="Q214" s="12">
        <f>IF(P214="","",INDEX('状态价值'!$D4:$K4,MATCH(P214,'状态价值'!$D$1:$K$1,0)))</f>
        <v/>
      </c>
      <c r="R214" s="15">
        <f>NORM.S.INV(RAND())</f>
        <v/>
      </c>
      <c r="S214" s="15">
        <f>IF('组合输入'!$C5="","",'组合输入'!$H5*$B214+SQRT(1-'组合输入'!$H5^2)*R214)</f>
        <v/>
      </c>
      <c r="T214" s="7">
        <f>IF(S214="","",NORM.S.DIST(S214,TRUE))</f>
        <v/>
      </c>
      <c r="U214" s="13">
        <f>IF(T214="","",IF(T214&lt;='组合输入'!$K5,"AAA",IF(T214&lt;='组合输入'!$L5,"AA",IF(T214&lt;='组合输入'!$M5,"A",IF(T214&lt;='组合输入'!$N5,"BBB",IF(T214&lt;='组合输入'!$O5,"BB",IF(T214&lt;='组合输入'!$P5,"B",IF(T214&lt;='组合输入'!$Q5,"CCC","D")))))))</f>
        <v/>
      </c>
      <c r="V214" s="12">
        <f>IF(U214="","",INDEX('状态价值'!$D5:$K5,MATCH(U214,'状态价值'!$D$1:$K$1,0)))</f>
        <v/>
      </c>
      <c r="W214" s="15">
        <f>NORM.S.INV(RAND())</f>
        <v/>
      </c>
      <c r="X214" s="15">
        <f>IF('组合输入'!$C6="","",'组合输入'!$H6*$B214+SQRT(1-'组合输入'!$H6^2)*W214)</f>
        <v/>
      </c>
      <c r="Y214" s="7">
        <f>IF(X214="","",NORM.S.DIST(X214,TRUE))</f>
        <v/>
      </c>
      <c r="Z214" s="13">
        <f>IF(Y214="","",IF(Y214&lt;='组合输入'!$K6,"AAA",IF(Y214&lt;='组合输入'!$L6,"AA",IF(Y214&lt;='组合输入'!$M6,"A",IF(Y214&lt;='组合输入'!$N6,"BBB",IF(Y214&lt;='组合输入'!$O6,"BB",IF(Y214&lt;='组合输入'!$P6,"B",IF(Y214&lt;='组合输入'!$Q6,"CCC","D")))))))</f>
        <v/>
      </c>
      <c r="AA214" s="12">
        <f>IF(Z214="","",INDEX('状态价值'!$D6:$K6,MATCH(Z214,'状态价值'!$D$1:$K$1,0)))</f>
        <v/>
      </c>
      <c r="AB214" s="15">
        <f>NORM.S.INV(RAND())</f>
        <v/>
      </c>
      <c r="AC214" s="15">
        <f>IF('组合输入'!$C7="","",'组合输入'!$H7*$B214+SQRT(1-'组合输入'!$H7^2)*AB214)</f>
        <v/>
      </c>
      <c r="AD214" s="7">
        <f>IF(AC214="","",NORM.S.DIST(AC214,TRUE))</f>
        <v/>
      </c>
      <c r="AE214" s="13">
        <f>IF(AD214="","",IF(AD214&lt;='组合输入'!$K7,"AAA",IF(AD214&lt;='组合输入'!$L7,"AA",IF(AD214&lt;='组合输入'!$M7,"A",IF(AD214&lt;='组合输入'!$N7,"BBB",IF(AD214&lt;='组合输入'!$O7,"BB",IF(AD214&lt;='组合输入'!$P7,"B",IF(AD214&lt;='组合输入'!$Q7,"CCC","D")))))))</f>
        <v/>
      </c>
      <c r="AF214" s="12">
        <f>IF(AE214="","",INDEX('状态价值'!$D7:$K7,MATCH(AE214,'状态价值'!$D$1:$K$1,0)))</f>
        <v/>
      </c>
      <c r="AG214" s="15">
        <f>NORM.S.INV(RAND())</f>
        <v/>
      </c>
      <c r="AH214" s="15">
        <f>IF('组合输入'!$C8="","",'组合输入'!$H8*$B214+SQRT(1-'组合输入'!$H8^2)*AG214)</f>
        <v/>
      </c>
      <c r="AI214" s="7">
        <f>IF(AH214="","",NORM.S.DIST(AH214,TRUE))</f>
        <v/>
      </c>
      <c r="AJ214" s="13">
        <f>IF(AI214="","",IF(AI214&lt;='组合输入'!$K8,"AAA",IF(AI214&lt;='组合输入'!$L8,"AA",IF(AI214&lt;='组合输入'!$M8,"A",IF(AI214&lt;='组合输入'!$N8,"BBB",IF(AI214&lt;='组合输入'!$O8,"BB",IF(AI214&lt;='组合输入'!$P8,"B",IF(AI214&lt;='组合输入'!$Q8,"CCC","D")))))))</f>
        <v/>
      </c>
      <c r="AK214" s="12">
        <f>IF(AJ214="","",INDEX('状态价值'!$D8:$K8,MATCH(AJ214,'状态价值'!$D$1:$K$1,0)))</f>
        <v/>
      </c>
      <c r="AL214" s="15">
        <f>NORM.S.INV(RAND())</f>
        <v/>
      </c>
      <c r="AM214" s="15">
        <f>IF('组合输入'!$C9="","",'组合输入'!$H9*$B214+SQRT(1-'组合输入'!$H9^2)*AL214)</f>
        <v/>
      </c>
      <c r="AN214" s="7">
        <f>IF(AM214="","",NORM.S.DIST(AM214,TRUE))</f>
        <v/>
      </c>
      <c r="AO214" s="13">
        <f>IF(AN214="","",IF(AN214&lt;='组合输入'!$K9,"AAA",IF(AN214&lt;='组合输入'!$L9,"AA",IF(AN214&lt;='组合输入'!$M9,"A",IF(AN214&lt;='组合输入'!$N9,"BBB",IF(AN214&lt;='组合输入'!$O9,"BB",IF(AN214&lt;='组合输入'!$P9,"B",IF(AN214&lt;='组合输入'!$Q9,"CCC","D")))))))</f>
        <v/>
      </c>
      <c r="AP214" s="12">
        <f>IF(AO214="","",INDEX('状态价值'!$D9:$K9,MATCH(AO214,'状态价值'!$D$1:$K$1,0)))</f>
        <v/>
      </c>
      <c r="AQ214" s="15">
        <f>NORM.S.INV(RAND())</f>
        <v/>
      </c>
      <c r="AR214" s="15">
        <f>IF('组合输入'!$C10="","",'组合输入'!$H10*$B214+SQRT(1-'组合输入'!$H10^2)*AQ214)</f>
        <v/>
      </c>
      <c r="AS214" s="7">
        <f>IF(AR214="","",NORM.S.DIST(AR214,TRUE))</f>
        <v/>
      </c>
      <c r="AT214" s="13">
        <f>IF(AS214="","",IF(AS214&lt;='组合输入'!$K10,"AAA",IF(AS214&lt;='组合输入'!$L10,"AA",IF(AS214&lt;='组合输入'!$M10,"A",IF(AS214&lt;='组合输入'!$N10,"BBB",IF(AS214&lt;='组合输入'!$O10,"BB",IF(AS214&lt;='组合输入'!$P10,"B",IF(AS214&lt;='组合输入'!$Q10,"CCC","D")))))))</f>
        <v/>
      </c>
      <c r="AU214" s="12">
        <f>IF(AT214="","",INDEX('状态价值'!$D10:$K10,MATCH(AT214,'状态价值'!$D$1:$K$1,0)))</f>
        <v/>
      </c>
      <c r="AV214" s="15">
        <f>NORM.S.INV(RAND())</f>
        <v/>
      </c>
      <c r="AW214" s="15">
        <f>IF('组合输入'!$C11="","",'组合输入'!$H11*$B214+SQRT(1-'组合输入'!$H11^2)*AV214)</f>
        <v/>
      </c>
      <c r="AX214" s="7">
        <f>IF(AW214="","",NORM.S.DIST(AW214,TRUE))</f>
        <v/>
      </c>
      <c r="AY214" s="13">
        <f>IF(AX214="","",IF(AX214&lt;='组合输入'!$K11,"AAA",IF(AX214&lt;='组合输入'!$L11,"AA",IF(AX214&lt;='组合输入'!$M11,"A",IF(AX214&lt;='组合输入'!$N11,"BBB",IF(AX214&lt;='组合输入'!$O11,"BB",IF(AX214&lt;='组合输入'!$P11,"B",IF(AX214&lt;='组合输入'!$Q11,"CCC","D")))))))</f>
        <v/>
      </c>
      <c r="AZ214" s="12">
        <f>IF(AY214="","",INDEX('状态价值'!$D11:$K11,MATCH(AY214,'状态价值'!$D$1:$K$1,0)))</f>
        <v/>
      </c>
      <c r="BA214" s="12">
        <f>G214+L214+Q214+V214+AA214+AF214+AK214+AP214+AU214+AZ214</f>
        <v/>
      </c>
      <c r="BB214" s="12">
        <f>SUM('组合输入'!$J$2:$J$11)-BA214</f>
        <v/>
      </c>
    </row>
    <row r="215">
      <c r="A215" s="11" t="n">
        <v>214</v>
      </c>
      <c r="B215" s="14">
        <f>NORM.S.INV(RAND())</f>
        <v/>
      </c>
      <c r="C215" s="14">
        <f>NORM.S.INV(RAND())</f>
        <v/>
      </c>
      <c r="D215" s="15">
        <f>IF('组合输入'!$C2="","",'组合输入'!$H2*$B215+SQRT(1-'组合输入'!$H2^2)*C215)</f>
        <v/>
      </c>
      <c r="E215" s="7">
        <f>IF(D215="","",NORM.S.DIST(D215,TRUE))</f>
        <v/>
      </c>
      <c r="F215" s="13">
        <f>IF(E215="","",IF(E215&lt;='组合输入'!$K2,"AAA",IF(E215&lt;='组合输入'!$L2,"AA",IF(E215&lt;='组合输入'!$M2,"A",IF(E215&lt;='组合输入'!$N2,"BBB",IF(E215&lt;='组合输入'!$O2,"BB",IF(E215&lt;='组合输入'!$P2,"B",IF(E215&lt;='组合输入'!$Q2,"CCC","D")))))))</f>
        <v/>
      </c>
      <c r="G215" s="12">
        <f>IF(F215="","",INDEX('状态价值'!$D2:$K2,MATCH(F215,'状态价值'!$D$1:$K$1,0)))</f>
        <v/>
      </c>
      <c r="H215" s="15">
        <f>NORM.S.INV(RAND())</f>
        <v/>
      </c>
      <c r="I215" s="15">
        <f>IF('组合输入'!$C3="","",'组合输入'!$H3*$B215+SQRT(1-'组合输入'!$H3^2)*H215)</f>
        <v/>
      </c>
      <c r="J215" s="7">
        <f>IF(I215="","",NORM.S.DIST(I215,TRUE))</f>
        <v/>
      </c>
      <c r="K215" s="13">
        <f>IF(J215="","",IF(J215&lt;='组合输入'!$K3,"AAA",IF(J215&lt;='组合输入'!$L3,"AA",IF(J215&lt;='组合输入'!$M3,"A",IF(J215&lt;='组合输入'!$N3,"BBB",IF(J215&lt;='组合输入'!$O3,"BB",IF(J215&lt;='组合输入'!$P3,"B",IF(J215&lt;='组合输入'!$Q3,"CCC","D")))))))</f>
        <v/>
      </c>
      <c r="L215" s="12">
        <f>IF(K215="","",INDEX('状态价值'!$D3:$K3,MATCH(K215,'状态价值'!$D$1:$K$1,0)))</f>
        <v/>
      </c>
      <c r="M215" s="15">
        <f>NORM.S.INV(RAND())</f>
        <v/>
      </c>
      <c r="N215" s="15">
        <f>IF('组合输入'!$C4="","",'组合输入'!$H4*$B215+SQRT(1-'组合输入'!$H4^2)*M215)</f>
        <v/>
      </c>
      <c r="O215" s="7">
        <f>IF(N215="","",NORM.S.DIST(N215,TRUE))</f>
        <v/>
      </c>
      <c r="P215" s="13">
        <f>IF(O215="","",IF(O215&lt;='组合输入'!$K4,"AAA",IF(O215&lt;='组合输入'!$L4,"AA",IF(O215&lt;='组合输入'!$M4,"A",IF(O215&lt;='组合输入'!$N4,"BBB",IF(O215&lt;='组合输入'!$O4,"BB",IF(O215&lt;='组合输入'!$P4,"B",IF(O215&lt;='组合输入'!$Q4,"CCC","D")))))))</f>
        <v/>
      </c>
      <c r="Q215" s="12">
        <f>IF(P215="","",INDEX('状态价值'!$D4:$K4,MATCH(P215,'状态价值'!$D$1:$K$1,0)))</f>
        <v/>
      </c>
      <c r="R215" s="15">
        <f>NORM.S.INV(RAND())</f>
        <v/>
      </c>
      <c r="S215" s="15">
        <f>IF('组合输入'!$C5="","",'组合输入'!$H5*$B215+SQRT(1-'组合输入'!$H5^2)*R215)</f>
        <v/>
      </c>
      <c r="T215" s="7">
        <f>IF(S215="","",NORM.S.DIST(S215,TRUE))</f>
        <v/>
      </c>
      <c r="U215" s="13">
        <f>IF(T215="","",IF(T215&lt;='组合输入'!$K5,"AAA",IF(T215&lt;='组合输入'!$L5,"AA",IF(T215&lt;='组合输入'!$M5,"A",IF(T215&lt;='组合输入'!$N5,"BBB",IF(T215&lt;='组合输入'!$O5,"BB",IF(T215&lt;='组合输入'!$P5,"B",IF(T215&lt;='组合输入'!$Q5,"CCC","D")))))))</f>
        <v/>
      </c>
      <c r="V215" s="12">
        <f>IF(U215="","",INDEX('状态价值'!$D5:$K5,MATCH(U215,'状态价值'!$D$1:$K$1,0)))</f>
        <v/>
      </c>
      <c r="W215" s="15">
        <f>NORM.S.INV(RAND())</f>
        <v/>
      </c>
      <c r="X215" s="15">
        <f>IF('组合输入'!$C6="","",'组合输入'!$H6*$B215+SQRT(1-'组合输入'!$H6^2)*W215)</f>
        <v/>
      </c>
      <c r="Y215" s="7">
        <f>IF(X215="","",NORM.S.DIST(X215,TRUE))</f>
        <v/>
      </c>
      <c r="Z215" s="13">
        <f>IF(Y215="","",IF(Y215&lt;='组合输入'!$K6,"AAA",IF(Y215&lt;='组合输入'!$L6,"AA",IF(Y215&lt;='组合输入'!$M6,"A",IF(Y215&lt;='组合输入'!$N6,"BBB",IF(Y215&lt;='组合输入'!$O6,"BB",IF(Y215&lt;='组合输入'!$P6,"B",IF(Y215&lt;='组合输入'!$Q6,"CCC","D")))))))</f>
        <v/>
      </c>
      <c r="AA215" s="12">
        <f>IF(Z215="","",INDEX('状态价值'!$D6:$K6,MATCH(Z215,'状态价值'!$D$1:$K$1,0)))</f>
        <v/>
      </c>
      <c r="AB215" s="15">
        <f>NORM.S.INV(RAND())</f>
        <v/>
      </c>
      <c r="AC215" s="15">
        <f>IF('组合输入'!$C7="","",'组合输入'!$H7*$B215+SQRT(1-'组合输入'!$H7^2)*AB215)</f>
        <v/>
      </c>
      <c r="AD215" s="7">
        <f>IF(AC215="","",NORM.S.DIST(AC215,TRUE))</f>
        <v/>
      </c>
      <c r="AE215" s="13">
        <f>IF(AD215="","",IF(AD215&lt;='组合输入'!$K7,"AAA",IF(AD215&lt;='组合输入'!$L7,"AA",IF(AD215&lt;='组合输入'!$M7,"A",IF(AD215&lt;='组合输入'!$N7,"BBB",IF(AD215&lt;='组合输入'!$O7,"BB",IF(AD215&lt;='组合输入'!$P7,"B",IF(AD215&lt;='组合输入'!$Q7,"CCC","D")))))))</f>
        <v/>
      </c>
      <c r="AF215" s="12">
        <f>IF(AE215="","",INDEX('状态价值'!$D7:$K7,MATCH(AE215,'状态价值'!$D$1:$K$1,0)))</f>
        <v/>
      </c>
      <c r="AG215" s="15">
        <f>NORM.S.INV(RAND())</f>
        <v/>
      </c>
      <c r="AH215" s="15">
        <f>IF('组合输入'!$C8="","",'组合输入'!$H8*$B215+SQRT(1-'组合输入'!$H8^2)*AG215)</f>
        <v/>
      </c>
      <c r="AI215" s="7">
        <f>IF(AH215="","",NORM.S.DIST(AH215,TRUE))</f>
        <v/>
      </c>
      <c r="AJ215" s="13">
        <f>IF(AI215="","",IF(AI215&lt;='组合输入'!$K8,"AAA",IF(AI215&lt;='组合输入'!$L8,"AA",IF(AI215&lt;='组合输入'!$M8,"A",IF(AI215&lt;='组合输入'!$N8,"BBB",IF(AI215&lt;='组合输入'!$O8,"BB",IF(AI215&lt;='组合输入'!$P8,"B",IF(AI215&lt;='组合输入'!$Q8,"CCC","D")))))))</f>
        <v/>
      </c>
      <c r="AK215" s="12">
        <f>IF(AJ215="","",INDEX('状态价值'!$D8:$K8,MATCH(AJ215,'状态价值'!$D$1:$K$1,0)))</f>
        <v/>
      </c>
      <c r="AL215" s="15">
        <f>NORM.S.INV(RAND())</f>
        <v/>
      </c>
      <c r="AM215" s="15">
        <f>IF('组合输入'!$C9="","",'组合输入'!$H9*$B215+SQRT(1-'组合输入'!$H9^2)*AL215)</f>
        <v/>
      </c>
      <c r="AN215" s="7">
        <f>IF(AM215="","",NORM.S.DIST(AM215,TRUE))</f>
        <v/>
      </c>
      <c r="AO215" s="13">
        <f>IF(AN215="","",IF(AN215&lt;='组合输入'!$K9,"AAA",IF(AN215&lt;='组合输入'!$L9,"AA",IF(AN215&lt;='组合输入'!$M9,"A",IF(AN215&lt;='组合输入'!$N9,"BBB",IF(AN215&lt;='组合输入'!$O9,"BB",IF(AN215&lt;='组合输入'!$P9,"B",IF(AN215&lt;='组合输入'!$Q9,"CCC","D")))))))</f>
        <v/>
      </c>
      <c r="AP215" s="12">
        <f>IF(AO215="","",INDEX('状态价值'!$D9:$K9,MATCH(AO215,'状态价值'!$D$1:$K$1,0)))</f>
        <v/>
      </c>
      <c r="AQ215" s="15">
        <f>NORM.S.INV(RAND())</f>
        <v/>
      </c>
      <c r="AR215" s="15">
        <f>IF('组合输入'!$C10="","",'组合输入'!$H10*$B215+SQRT(1-'组合输入'!$H10^2)*AQ215)</f>
        <v/>
      </c>
      <c r="AS215" s="7">
        <f>IF(AR215="","",NORM.S.DIST(AR215,TRUE))</f>
        <v/>
      </c>
      <c r="AT215" s="13">
        <f>IF(AS215="","",IF(AS215&lt;='组合输入'!$K10,"AAA",IF(AS215&lt;='组合输入'!$L10,"AA",IF(AS215&lt;='组合输入'!$M10,"A",IF(AS215&lt;='组合输入'!$N10,"BBB",IF(AS215&lt;='组合输入'!$O10,"BB",IF(AS215&lt;='组合输入'!$P10,"B",IF(AS215&lt;='组合输入'!$Q10,"CCC","D")))))))</f>
        <v/>
      </c>
      <c r="AU215" s="12">
        <f>IF(AT215="","",INDEX('状态价值'!$D10:$K10,MATCH(AT215,'状态价值'!$D$1:$K$1,0)))</f>
        <v/>
      </c>
      <c r="AV215" s="15">
        <f>NORM.S.INV(RAND())</f>
        <v/>
      </c>
      <c r="AW215" s="15">
        <f>IF('组合输入'!$C11="","",'组合输入'!$H11*$B215+SQRT(1-'组合输入'!$H11^2)*AV215)</f>
        <v/>
      </c>
      <c r="AX215" s="7">
        <f>IF(AW215="","",NORM.S.DIST(AW215,TRUE))</f>
        <v/>
      </c>
      <c r="AY215" s="13">
        <f>IF(AX215="","",IF(AX215&lt;='组合输入'!$K11,"AAA",IF(AX215&lt;='组合输入'!$L11,"AA",IF(AX215&lt;='组合输入'!$M11,"A",IF(AX215&lt;='组合输入'!$N11,"BBB",IF(AX215&lt;='组合输入'!$O11,"BB",IF(AX215&lt;='组合输入'!$P11,"B",IF(AX215&lt;='组合输入'!$Q11,"CCC","D")))))))</f>
        <v/>
      </c>
      <c r="AZ215" s="12">
        <f>IF(AY215="","",INDEX('状态价值'!$D11:$K11,MATCH(AY215,'状态价值'!$D$1:$K$1,0)))</f>
        <v/>
      </c>
      <c r="BA215" s="12">
        <f>G215+L215+Q215+V215+AA215+AF215+AK215+AP215+AU215+AZ215</f>
        <v/>
      </c>
      <c r="BB215" s="12">
        <f>SUM('组合输入'!$J$2:$J$11)-BA215</f>
        <v/>
      </c>
    </row>
    <row r="216">
      <c r="A216" s="11" t="n">
        <v>215</v>
      </c>
      <c r="B216" s="14">
        <f>NORM.S.INV(RAND())</f>
        <v/>
      </c>
      <c r="C216" s="14">
        <f>NORM.S.INV(RAND())</f>
        <v/>
      </c>
      <c r="D216" s="15">
        <f>IF('组合输入'!$C2="","",'组合输入'!$H2*$B216+SQRT(1-'组合输入'!$H2^2)*C216)</f>
        <v/>
      </c>
      <c r="E216" s="7">
        <f>IF(D216="","",NORM.S.DIST(D216,TRUE))</f>
        <v/>
      </c>
      <c r="F216" s="13">
        <f>IF(E216="","",IF(E216&lt;='组合输入'!$K2,"AAA",IF(E216&lt;='组合输入'!$L2,"AA",IF(E216&lt;='组合输入'!$M2,"A",IF(E216&lt;='组合输入'!$N2,"BBB",IF(E216&lt;='组合输入'!$O2,"BB",IF(E216&lt;='组合输入'!$P2,"B",IF(E216&lt;='组合输入'!$Q2,"CCC","D")))))))</f>
        <v/>
      </c>
      <c r="G216" s="12">
        <f>IF(F216="","",INDEX('状态价值'!$D2:$K2,MATCH(F216,'状态价值'!$D$1:$K$1,0)))</f>
        <v/>
      </c>
      <c r="H216" s="15">
        <f>NORM.S.INV(RAND())</f>
        <v/>
      </c>
      <c r="I216" s="15">
        <f>IF('组合输入'!$C3="","",'组合输入'!$H3*$B216+SQRT(1-'组合输入'!$H3^2)*H216)</f>
        <v/>
      </c>
      <c r="J216" s="7">
        <f>IF(I216="","",NORM.S.DIST(I216,TRUE))</f>
        <v/>
      </c>
      <c r="K216" s="13">
        <f>IF(J216="","",IF(J216&lt;='组合输入'!$K3,"AAA",IF(J216&lt;='组合输入'!$L3,"AA",IF(J216&lt;='组合输入'!$M3,"A",IF(J216&lt;='组合输入'!$N3,"BBB",IF(J216&lt;='组合输入'!$O3,"BB",IF(J216&lt;='组合输入'!$P3,"B",IF(J216&lt;='组合输入'!$Q3,"CCC","D")))))))</f>
        <v/>
      </c>
      <c r="L216" s="12">
        <f>IF(K216="","",INDEX('状态价值'!$D3:$K3,MATCH(K216,'状态价值'!$D$1:$K$1,0)))</f>
        <v/>
      </c>
      <c r="M216" s="15">
        <f>NORM.S.INV(RAND())</f>
        <v/>
      </c>
      <c r="N216" s="15">
        <f>IF('组合输入'!$C4="","",'组合输入'!$H4*$B216+SQRT(1-'组合输入'!$H4^2)*M216)</f>
        <v/>
      </c>
      <c r="O216" s="7">
        <f>IF(N216="","",NORM.S.DIST(N216,TRUE))</f>
        <v/>
      </c>
      <c r="P216" s="13">
        <f>IF(O216="","",IF(O216&lt;='组合输入'!$K4,"AAA",IF(O216&lt;='组合输入'!$L4,"AA",IF(O216&lt;='组合输入'!$M4,"A",IF(O216&lt;='组合输入'!$N4,"BBB",IF(O216&lt;='组合输入'!$O4,"BB",IF(O216&lt;='组合输入'!$P4,"B",IF(O216&lt;='组合输入'!$Q4,"CCC","D")))))))</f>
        <v/>
      </c>
      <c r="Q216" s="12">
        <f>IF(P216="","",INDEX('状态价值'!$D4:$K4,MATCH(P216,'状态价值'!$D$1:$K$1,0)))</f>
        <v/>
      </c>
      <c r="R216" s="15">
        <f>NORM.S.INV(RAND())</f>
        <v/>
      </c>
      <c r="S216" s="15">
        <f>IF('组合输入'!$C5="","",'组合输入'!$H5*$B216+SQRT(1-'组合输入'!$H5^2)*R216)</f>
        <v/>
      </c>
      <c r="T216" s="7">
        <f>IF(S216="","",NORM.S.DIST(S216,TRUE))</f>
        <v/>
      </c>
      <c r="U216" s="13">
        <f>IF(T216="","",IF(T216&lt;='组合输入'!$K5,"AAA",IF(T216&lt;='组合输入'!$L5,"AA",IF(T216&lt;='组合输入'!$M5,"A",IF(T216&lt;='组合输入'!$N5,"BBB",IF(T216&lt;='组合输入'!$O5,"BB",IF(T216&lt;='组合输入'!$P5,"B",IF(T216&lt;='组合输入'!$Q5,"CCC","D")))))))</f>
        <v/>
      </c>
      <c r="V216" s="12">
        <f>IF(U216="","",INDEX('状态价值'!$D5:$K5,MATCH(U216,'状态价值'!$D$1:$K$1,0)))</f>
        <v/>
      </c>
      <c r="W216" s="15">
        <f>NORM.S.INV(RAND())</f>
        <v/>
      </c>
      <c r="X216" s="15">
        <f>IF('组合输入'!$C6="","",'组合输入'!$H6*$B216+SQRT(1-'组合输入'!$H6^2)*W216)</f>
        <v/>
      </c>
      <c r="Y216" s="7">
        <f>IF(X216="","",NORM.S.DIST(X216,TRUE))</f>
        <v/>
      </c>
      <c r="Z216" s="13">
        <f>IF(Y216="","",IF(Y216&lt;='组合输入'!$K6,"AAA",IF(Y216&lt;='组合输入'!$L6,"AA",IF(Y216&lt;='组合输入'!$M6,"A",IF(Y216&lt;='组合输入'!$N6,"BBB",IF(Y216&lt;='组合输入'!$O6,"BB",IF(Y216&lt;='组合输入'!$P6,"B",IF(Y216&lt;='组合输入'!$Q6,"CCC","D")))))))</f>
        <v/>
      </c>
      <c r="AA216" s="12">
        <f>IF(Z216="","",INDEX('状态价值'!$D6:$K6,MATCH(Z216,'状态价值'!$D$1:$K$1,0)))</f>
        <v/>
      </c>
      <c r="AB216" s="15">
        <f>NORM.S.INV(RAND())</f>
        <v/>
      </c>
      <c r="AC216" s="15">
        <f>IF('组合输入'!$C7="","",'组合输入'!$H7*$B216+SQRT(1-'组合输入'!$H7^2)*AB216)</f>
        <v/>
      </c>
      <c r="AD216" s="7">
        <f>IF(AC216="","",NORM.S.DIST(AC216,TRUE))</f>
        <v/>
      </c>
      <c r="AE216" s="13">
        <f>IF(AD216="","",IF(AD216&lt;='组合输入'!$K7,"AAA",IF(AD216&lt;='组合输入'!$L7,"AA",IF(AD216&lt;='组合输入'!$M7,"A",IF(AD216&lt;='组合输入'!$N7,"BBB",IF(AD216&lt;='组合输入'!$O7,"BB",IF(AD216&lt;='组合输入'!$P7,"B",IF(AD216&lt;='组合输入'!$Q7,"CCC","D")))))))</f>
        <v/>
      </c>
      <c r="AF216" s="12">
        <f>IF(AE216="","",INDEX('状态价值'!$D7:$K7,MATCH(AE216,'状态价值'!$D$1:$K$1,0)))</f>
        <v/>
      </c>
      <c r="AG216" s="15">
        <f>NORM.S.INV(RAND())</f>
        <v/>
      </c>
      <c r="AH216" s="15">
        <f>IF('组合输入'!$C8="","",'组合输入'!$H8*$B216+SQRT(1-'组合输入'!$H8^2)*AG216)</f>
        <v/>
      </c>
      <c r="AI216" s="7">
        <f>IF(AH216="","",NORM.S.DIST(AH216,TRUE))</f>
        <v/>
      </c>
      <c r="AJ216" s="13">
        <f>IF(AI216="","",IF(AI216&lt;='组合输入'!$K8,"AAA",IF(AI216&lt;='组合输入'!$L8,"AA",IF(AI216&lt;='组合输入'!$M8,"A",IF(AI216&lt;='组合输入'!$N8,"BBB",IF(AI216&lt;='组合输入'!$O8,"BB",IF(AI216&lt;='组合输入'!$P8,"B",IF(AI216&lt;='组合输入'!$Q8,"CCC","D")))))))</f>
        <v/>
      </c>
      <c r="AK216" s="12">
        <f>IF(AJ216="","",INDEX('状态价值'!$D8:$K8,MATCH(AJ216,'状态价值'!$D$1:$K$1,0)))</f>
        <v/>
      </c>
      <c r="AL216" s="15">
        <f>NORM.S.INV(RAND())</f>
        <v/>
      </c>
      <c r="AM216" s="15">
        <f>IF('组合输入'!$C9="","",'组合输入'!$H9*$B216+SQRT(1-'组合输入'!$H9^2)*AL216)</f>
        <v/>
      </c>
      <c r="AN216" s="7">
        <f>IF(AM216="","",NORM.S.DIST(AM216,TRUE))</f>
        <v/>
      </c>
      <c r="AO216" s="13">
        <f>IF(AN216="","",IF(AN216&lt;='组合输入'!$K9,"AAA",IF(AN216&lt;='组合输入'!$L9,"AA",IF(AN216&lt;='组合输入'!$M9,"A",IF(AN216&lt;='组合输入'!$N9,"BBB",IF(AN216&lt;='组合输入'!$O9,"BB",IF(AN216&lt;='组合输入'!$P9,"B",IF(AN216&lt;='组合输入'!$Q9,"CCC","D")))))))</f>
        <v/>
      </c>
      <c r="AP216" s="12">
        <f>IF(AO216="","",INDEX('状态价值'!$D9:$K9,MATCH(AO216,'状态价值'!$D$1:$K$1,0)))</f>
        <v/>
      </c>
      <c r="AQ216" s="15">
        <f>NORM.S.INV(RAND())</f>
        <v/>
      </c>
      <c r="AR216" s="15">
        <f>IF('组合输入'!$C10="","",'组合输入'!$H10*$B216+SQRT(1-'组合输入'!$H10^2)*AQ216)</f>
        <v/>
      </c>
      <c r="AS216" s="7">
        <f>IF(AR216="","",NORM.S.DIST(AR216,TRUE))</f>
        <v/>
      </c>
      <c r="AT216" s="13">
        <f>IF(AS216="","",IF(AS216&lt;='组合输入'!$K10,"AAA",IF(AS216&lt;='组合输入'!$L10,"AA",IF(AS216&lt;='组合输入'!$M10,"A",IF(AS216&lt;='组合输入'!$N10,"BBB",IF(AS216&lt;='组合输入'!$O10,"BB",IF(AS216&lt;='组合输入'!$P10,"B",IF(AS216&lt;='组合输入'!$Q10,"CCC","D")))))))</f>
        <v/>
      </c>
      <c r="AU216" s="12">
        <f>IF(AT216="","",INDEX('状态价值'!$D10:$K10,MATCH(AT216,'状态价值'!$D$1:$K$1,0)))</f>
        <v/>
      </c>
      <c r="AV216" s="15">
        <f>NORM.S.INV(RAND())</f>
        <v/>
      </c>
      <c r="AW216" s="15">
        <f>IF('组合输入'!$C11="","",'组合输入'!$H11*$B216+SQRT(1-'组合输入'!$H11^2)*AV216)</f>
        <v/>
      </c>
      <c r="AX216" s="7">
        <f>IF(AW216="","",NORM.S.DIST(AW216,TRUE))</f>
        <v/>
      </c>
      <c r="AY216" s="13">
        <f>IF(AX216="","",IF(AX216&lt;='组合输入'!$K11,"AAA",IF(AX216&lt;='组合输入'!$L11,"AA",IF(AX216&lt;='组合输入'!$M11,"A",IF(AX216&lt;='组合输入'!$N11,"BBB",IF(AX216&lt;='组合输入'!$O11,"BB",IF(AX216&lt;='组合输入'!$P11,"B",IF(AX216&lt;='组合输入'!$Q11,"CCC","D")))))))</f>
        <v/>
      </c>
      <c r="AZ216" s="12">
        <f>IF(AY216="","",INDEX('状态价值'!$D11:$K11,MATCH(AY216,'状态价值'!$D$1:$K$1,0)))</f>
        <v/>
      </c>
      <c r="BA216" s="12">
        <f>G216+L216+Q216+V216+AA216+AF216+AK216+AP216+AU216+AZ216</f>
        <v/>
      </c>
      <c r="BB216" s="12">
        <f>SUM('组合输入'!$J$2:$J$11)-BA216</f>
        <v/>
      </c>
    </row>
    <row r="217">
      <c r="A217" s="11" t="n">
        <v>216</v>
      </c>
      <c r="B217" s="14">
        <f>NORM.S.INV(RAND())</f>
        <v/>
      </c>
      <c r="C217" s="14">
        <f>NORM.S.INV(RAND())</f>
        <v/>
      </c>
      <c r="D217" s="15">
        <f>IF('组合输入'!$C2="","",'组合输入'!$H2*$B217+SQRT(1-'组合输入'!$H2^2)*C217)</f>
        <v/>
      </c>
      <c r="E217" s="7">
        <f>IF(D217="","",NORM.S.DIST(D217,TRUE))</f>
        <v/>
      </c>
      <c r="F217" s="13">
        <f>IF(E217="","",IF(E217&lt;='组合输入'!$K2,"AAA",IF(E217&lt;='组合输入'!$L2,"AA",IF(E217&lt;='组合输入'!$M2,"A",IF(E217&lt;='组合输入'!$N2,"BBB",IF(E217&lt;='组合输入'!$O2,"BB",IF(E217&lt;='组合输入'!$P2,"B",IF(E217&lt;='组合输入'!$Q2,"CCC","D")))))))</f>
        <v/>
      </c>
      <c r="G217" s="12">
        <f>IF(F217="","",INDEX('状态价值'!$D2:$K2,MATCH(F217,'状态价值'!$D$1:$K$1,0)))</f>
        <v/>
      </c>
      <c r="H217" s="15">
        <f>NORM.S.INV(RAND())</f>
        <v/>
      </c>
      <c r="I217" s="15">
        <f>IF('组合输入'!$C3="","",'组合输入'!$H3*$B217+SQRT(1-'组合输入'!$H3^2)*H217)</f>
        <v/>
      </c>
      <c r="J217" s="7">
        <f>IF(I217="","",NORM.S.DIST(I217,TRUE))</f>
        <v/>
      </c>
      <c r="K217" s="13">
        <f>IF(J217="","",IF(J217&lt;='组合输入'!$K3,"AAA",IF(J217&lt;='组合输入'!$L3,"AA",IF(J217&lt;='组合输入'!$M3,"A",IF(J217&lt;='组合输入'!$N3,"BBB",IF(J217&lt;='组合输入'!$O3,"BB",IF(J217&lt;='组合输入'!$P3,"B",IF(J217&lt;='组合输入'!$Q3,"CCC","D")))))))</f>
        <v/>
      </c>
      <c r="L217" s="12">
        <f>IF(K217="","",INDEX('状态价值'!$D3:$K3,MATCH(K217,'状态价值'!$D$1:$K$1,0)))</f>
        <v/>
      </c>
      <c r="M217" s="15">
        <f>NORM.S.INV(RAND())</f>
        <v/>
      </c>
      <c r="N217" s="15">
        <f>IF('组合输入'!$C4="","",'组合输入'!$H4*$B217+SQRT(1-'组合输入'!$H4^2)*M217)</f>
        <v/>
      </c>
      <c r="O217" s="7">
        <f>IF(N217="","",NORM.S.DIST(N217,TRUE))</f>
        <v/>
      </c>
      <c r="P217" s="13">
        <f>IF(O217="","",IF(O217&lt;='组合输入'!$K4,"AAA",IF(O217&lt;='组合输入'!$L4,"AA",IF(O217&lt;='组合输入'!$M4,"A",IF(O217&lt;='组合输入'!$N4,"BBB",IF(O217&lt;='组合输入'!$O4,"BB",IF(O217&lt;='组合输入'!$P4,"B",IF(O217&lt;='组合输入'!$Q4,"CCC","D")))))))</f>
        <v/>
      </c>
      <c r="Q217" s="12">
        <f>IF(P217="","",INDEX('状态价值'!$D4:$K4,MATCH(P217,'状态价值'!$D$1:$K$1,0)))</f>
        <v/>
      </c>
      <c r="R217" s="15">
        <f>NORM.S.INV(RAND())</f>
        <v/>
      </c>
      <c r="S217" s="15">
        <f>IF('组合输入'!$C5="","",'组合输入'!$H5*$B217+SQRT(1-'组合输入'!$H5^2)*R217)</f>
        <v/>
      </c>
      <c r="T217" s="7">
        <f>IF(S217="","",NORM.S.DIST(S217,TRUE))</f>
        <v/>
      </c>
      <c r="U217" s="13">
        <f>IF(T217="","",IF(T217&lt;='组合输入'!$K5,"AAA",IF(T217&lt;='组合输入'!$L5,"AA",IF(T217&lt;='组合输入'!$M5,"A",IF(T217&lt;='组合输入'!$N5,"BBB",IF(T217&lt;='组合输入'!$O5,"BB",IF(T217&lt;='组合输入'!$P5,"B",IF(T217&lt;='组合输入'!$Q5,"CCC","D")))))))</f>
        <v/>
      </c>
      <c r="V217" s="12">
        <f>IF(U217="","",INDEX('状态价值'!$D5:$K5,MATCH(U217,'状态价值'!$D$1:$K$1,0)))</f>
        <v/>
      </c>
      <c r="W217" s="15">
        <f>NORM.S.INV(RAND())</f>
        <v/>
      </c>
      <c r="X217" s="15">
        <f>IF('组合输入'!$C6="","",'组合输入'!$H6*$B217+SQRT(1-'组合输入'!$H6^2)*W217)</f>
        <v/>
      </c>
      <c r="Y217" s="7">
        <f>IF(X217="","",NORM.S.DIST(X217,TRUE))</f>
        <v/>
      </c>
      <c r="Z217" s="13">
        <f>IF(Y217="","",IF(Y217&lt;='组合输入'!$K6,"AAA",IF(Y217&lt;='组合输入'!$L6,"AA",IF(Y217&lt;='组合输入'!$M6,"A",IF(Y217&lt;='组合输入'!$N6,"BBB",IF(Y217&lt;='组合输入'!$O6,"BB",IF(Y217&lt;='组合输入'!$P6,"B",IF(Y217&lt;='组合输入'!$Q6,"CCC","D")))))))</f>
        <v/>
      </c>
      <c r="AA217" s="12">
        <f>IF(Z217="","",INDEX('状态价值'!$D6:$K6,MATCH(Z217,'状态价值'!$D$1:$K$1,0)))</f>
        <v/>
      </c>
      <c r="AB217" s="15">
        <f>NORM.S.INV(RAND())</f>
        <v/>
      </c>
      <c r="AC217" s="15">
        <f>IF('组合输入'!$C7="","",'组合输入'!$H7*$B217+SQRT(1-'组合输入'!$H7^2)*AB217)</f>
        <v/>
      </c>
      <c r="AD217" s="7">
        <f>IF(AC217="","",NORM.S.DIST(AC217,TRUE))</f>
        <v/>
      </c>
      <c r="AE217" s="13">
        <f>IF(AD217="","",IF(AD217&lt;='组合输入'!$K7,"AAA",IF(AD217&lt;='组合输入'!$L7,"AA",IF(AD217&lt;='组合输入'!$M7,"A",IF(AD217&lt;='组合输入'!$N7,"BBB",IF(AD217&lt;='组合输入'!$O7,"BB",IF(AD217&lt;='组合输入'!$P7,"B",IF(AD217&lt;='组合输入'!$Q7,"CCC","D")))))))</f>
        <v/>
      </c>
      <c r="AF217" s="12">
        <f>IF(AE217="","",INDEX('状态价值'!$D7:$K7,MATCH(AE217,'状态价值'!$D$1:$K$1,0)))</f>
        <v/>
      </c>
      <c r="AG217" s="15">
        <f>NORM.S.INV(RAND())</f>
        <v/>
      </c>
      <c r="AH217" s="15">
        <f>IF('组合输入'!$C8="","",'组合输入'!$H8*$B217+SQRT(1-'组合输入'!$H8^2)*AG217)</f>
        <v/>
      </c>
      <c r="AI217" s="7">
        <f>IF(AH217="","",NORM.S.DIST(AH217,TRUE))</f>
        <v/>
      </c>
      <c r="AJ217" s="13">
        <f>IF(AI217="","",IF(AI217&lt;='组合输入'!$K8,"AAA",IF(AI217&lt;='组合输入'!$L8,"AA",IF(AI217&lt;='组合输入'!$M8,"A",IF(AI217&lt;='组合输入'!$N8,"BBB",IF(AI217&lt;='组合输入'!$O8,"BB",IF(AI217&lt;='组合输入'!$P8,"B",IF(AI217&lt;='组合输入'!$Q8,"CCC","D")))))))</f>
        <v/>
      </c>
      <c r="AK217" s="12">
        <f>IF(AJ217="","",INDEX('状态价值'!$D8:$K8,MATCH(AJ217,'状态价值'!$D$1:$K$1,0)))</f>
        <v/>
      </c>
      <c r="AL217" s="15">
        <f>NORM.S.INV(RAND())</f>
        <v/>
      </c>
      <c r="AM217" s="15">
        <f>IF('组合输入'!$C9="","",'组合输入'!$H9*$B217+SQRT(1-'组合输入'!$H9^2)*AL217)</f>
        <v/>
      </c>
      <c r="AN217" s="7">
        <f>IF(AM217="","",NORM.S.DIST(AM217,TRUE))</f>
        <v/>
      </c>
      <c r="AO217" s="13">
        <f>IF(AN217="","",IF(AN217&lt;='组合输入'!$K9,"AAA",IF(AN217&lt;='组合输入'!$L9,"AA",IF(AN217&lt;='组合输入'!$M9,"A",IF(AN217&lt;='组合输入'!$N9,"BBB",IF(AN217&lt;='组合输入'!$O9,"BB",IF(AN217&lt;='组合输入'!$P9,"B",IF(AN217&lt;='组合输入'!$Q9,"CCC","D")))))))</f>
        <v/>
      </c>
      <c r="AP217" s="12">
        <f>IF(AO217="","",INDEX('状态价值'!$D9:$K9,MATCH(AO217,'状态价值'!$D$1:$K$1,0)))</f>
        <v/>
      </c>
      <c r="AQ217" s="15">
        <f>NORM.S.INV(RAND())</f>
        <v/>
      </c>
      <c r="AR217" s="15">
        <f>IF('组合输入'!$C10="","",'组合输入'!$H10*$B217+SQRT(1-'组合输入'!$H10^2)*AQ217)</f>
        <v/>
      </c>
      <c r="AS217" s="7">
        <f>IF(AR217="","",NORM.S.DIST(AR217,TRUE))</f>
        <v/>
      </c>
      <c r="AT217" s="13">
        <f>IF(AS217="","",IF(AS217&lt;='组合输入'!$K10,"AAA",IF(AS217&lt;='组合输入'!$L10,"AA",IF(AS217&lt;='组合输入'!$M10,"A",IF(AS217&lt;='组合输入'!$N10,"BBB",IF(AS217&lt;='组合输入'!$O10,"BB",IF(AS217&lt;='组合输入'!$P10,"B",IF(AS217&lt;='组合输入'!$Q10,"CCC","D")))))))</f>
        <v/>
      </c>
      <c r="AU217" s="12">
        <f>IF(AT217="","",INDEX('状态价值'!$D10:$K10,MATCH(AT217,'状态价值'!$D$1:$K$1,0)))</f>
        <v/>
      </c>
      <c r="AV217" s="15">
        <f>NORM.S.INV(RAND())</f>
        <v/>
      </c>
      <c r="AW217" s="15">
        <f>IF('组合输入'!$C11="","",'组合输入'!$H11*$B217+SQRT(1-'组合输入'!$H11^2)*AV217)</f>
        <v/>
      </c>
      <c r="AX217" s="7">
        <f>IF(AW217="","",NORM.S.DIST(AW217,TRUE))</f>
        <v/>
      </c>
      <c r="AY217" s="13">
        <f>IF(AX217="","",IF(AX217&lt;='组合输入'!$K11,"AAA",IF(AX217&lt;='组合输入'!$L11,"AA",IF(AX217&lt;='组合输入'!$M11,"A",IF(AX217&lt;='组合输入'!$N11,"BBB",IF(AX217&lt;='组合输入'!$O11,"BB",IF(AX217&lt;='组合输入'!$P11,"B",IF(AX217&lt;='组合输入'!$Q11,"CCC","D")))))))</f>
        <v/>
      </c>
      <c r="AZ217" s="12">
        <f>IF(AY217="","",INDEX('状态价值'!$D11:$K11,MATCH(AY217,'状态价值'!$D$1:$K$1,0)))</f>
        <v/>
      </c>
      <c r="BA217" s="12">
        <f>G217+L217+Q217+V217+AA217+AF217+AK217+AP217+AU217+AZ217</f>
        <v/>
      </c>
      <c r="BB217" s="12">
        <f>SUM('组合输入'!$J$2:$J$11)-BA217</f>
        <v/>
      </c>
    </row>
    <row r="218">
      <c r="A218" s="11" t="n">
        <v>217</v>
      </c>
      <c r="B218" s="14">
        <f>NORM.S.INV(RAND())</f>
        <v/>
      </c>
      <c r="C218" s="14">
        <f>NORM.S.INV(RAND())</f>
        <v/>
      </c>
      <c r="D218" s="15">
        <f>IF('组合输入'!$C2="","",'组合输入'!$H2*$B218+SQRT(1-'组合输入'!$H2^2)*C218)</f>
        <v/>
      </c>
      <c r="E218" s="7">
        <f>IF(D218="","",NORM.S.DIST(D218,TRUE))</f>
        <v/>
      </c>
      <c r="F218" s="13">
        <f>IF(E218="","",IF(E218&lt;='组合输入'!$K2,"AAA",IF(E218&lt;='组合输入'!$L2,"AA",IF(E218&lt;='组合输入'!$M2,"A",IF(E218&lt;='组合输入'!$N2,"BBB",IF(E218&lt;='组合输入'!$O2,"BB",IF(E218&lt;='组合输入'!$P2,"B",IF(E218&lt;='组合输入'!$Q2,"CCC","D")))))))</f>
        <v/>
      </c>
      <c r="G218" s="12">
        <f>IF(F218="","",INDEX('状态价值'!$D2:$K2,MATCH(F218,'状态价值'!$D$1:$K$1,0)))</f>
        <v/>
      </c>
      <c r="H218" s="15">
        <f>NORM.S.INV(RAND())</f>
        <v/>
      </c>
      <c r="I218" s="15">
        <f>IF('组合输入'!$C3="","",'组合输入'!$H3*$B218+SQRT(1-'组合输入'!$H3^2)*H218)</f>
        <v/>
      </c>
      <c r="J218" s="7">
        <f>IF(I218="","",NORM.S.DIST(I218,TRUE))</f>
        <v/>
      </c>
      <c r="K218" s="13">
        <f>IF(J218="","",IF(J218&lt;='组合输入'!$K3,"AAA",IF(J218&lt;='组合输入'!$L3,"AA",IF(J218&lt;='组合输入'!$M3,"A",IF(J218&lt;='组合输入'!$N3,"BBB",IF(J218&lt;='组合输入'!$O3,"BB",IF(J218&lt;='组合输入'!$P3,"B",IF(J218&lt;='组合输入'!$Q3,"CCC","D")))))))</f>
        <v/>
      </c>
      <c r="L218" s="12">
        <f>IF(K218="","",INDEX('状态价值'!$D3:$K3,MATCH(K218,'状态价值'!$D$1:$K$1,0)))</f>
        <v/>
      </c>
      <c r="M218" s="15">
        <f>NORM.S.INV(RAND())</f>
        <v/>
      </c>
      <c r="N218" s="15">
        <f>IF('组合输入'!$C4="","",'组合输入'!$H4*$B218+SQRT(1-'组合输入'!$H4^2)*M218)</f>
        <v/>
      </c>
      <c r="O218" s="7">
        <f>IF(N218="","",NORM.S.DIST(N218,TRUE))</f>
        <v/>
      </c>
      <c r="P218" s="13">
        <f>IF(O218="","",IF(O218&lt;='组合输入'!$K4,"AAA",IF(O218&lt;='组合输入'!$L4,"AA",IF(O218&lt;='组合输入'!$M4,"A",IF(O218&lt;='组合输入'!$N4,"BBB",IF(O218&lt;='组合输入'!$O4,"BB",IF(O218&lt;='组合输入'!$P4,"B",IF(O218&lt;='组合输入'!$Q4,"CCC","D")))))))</f>
        <v/>
      </c>
      <c r="Q218" s="12">
        <f>IF(P218="","",INDEX('状态价值'!$D4:$K4,MATCH(P218,'状态价值'!$D$1:$K$1,0)))</f>
        <v/>
      </c>
      <c r="R218" s="15">
        <f>NORM.S.INV(RAND())</f>
        <v/>
      </c>
      <c r="S218" s="15">
        <f>IF('组合输入'!$C5="","",'组合输入'!$H5*$B218+SQRT(1-'组合输入'!$H5^2)*R218)</f>
        <v/>
      </c>
      <c r="T218" s="7">
        <f>IF(S218="","",NORM.S.DIST(S218,TRUE))</f>
        <v/>
      </c>
      <c r="U218" s="13">
        <f>IF(T218="","",IF(T218&lt;='组合输入'!$K5,"AAA",IF(T218&lt;='组合输入'!$L5,"AA",IF(T218&lt;='组合输入'!$M5,"A",IF(T218&lt;='组合输入'!$N5,"BBB",IF(T218&lt;='组合输入'!$O5,"BB",IF(T218&lt;='组合输入'!$P5,"B",IF(T218&lt;='组合输入'!$Q5,"CCC","D")))))))</f>
        <v/>
      </c>
      <c r="V218" s="12">
        <f>IF(U218="","",INDEX('状态价值'!$D5:$K5,MATCH(U218,'状态价值'!$D$1:$K$1,0)))</f>
        <v/>
      </c>
      <c r="W218" s="15">
        <f>NORM.S.INV(RAND())</f>
        <v/>
      </c>
      <c r="X218" s="15">
        <f>IF('组合输入'!$C6="","",'组合输入'!$H6*$B218+SQRT(1-'组合输入'!$H6^2)*W218)</f>
        <v/>
      </c>
      <c r="Y218" s="7">
        <f>IF(X218="","",NORM.S.DIST(X218,TRUE))</f>
        <v/>
      </c>
      <c r="Z218" s="13">
        <f>IF(Y218="","",IF(Y218&lt;='组合输入'!$K6,"AAA",IF(Y218&lt;='组合输入'!$L6,"AA",IF(Y218&lt;='组合输入'!$M6,"A",IF(Y218&lt;='组合输入'!$N6,"BBB",IF(Y218&lt;='组合输入'!$O6,"BB",IF(Y218&lt;='组合输入'!$P6,"B",IF(Y218&lt;='组合输入'!$Q6,"CCC","D")))))))</f>
        <v/>
      </c>
      <c r="AA218" s="12">
        <f>IF(Z218="","",INDEX('状态价值'!$D6:$K6,MATCH(Z218,'状态价值'!$D$1:$K$1,0)))</f>
        <v/>
      </c>
      <c r="AB218" s="15">
        <f>NORM.S.INV(RAND())</f>
        <v/>
      </c>
      <c r="AC218" s="15">
        <f>IF('组合输入'!$C7="","",'组合输入'!$H7*$B218+SQRT(1-'组合输入'!$H7^2)*AB218)</f>
        <v/>
      </c>
      <c r="AD218" s="7">
        <f>IF(AC218="","",NORM.S.DIST(AC218,TRUE))</f>
        <v/>
      </c>
      <c r="AE218" s="13">
        <f>IF(AD218="","",IF(AD218&lt;='组合输入'!$K7,"AAA",IF(AD218&lt;='组合输入'!$L7,"AA",IF(AD218&lt;='组合输入'!$M7,"A",IF(AD218&lt;='组合输入'!$N7,"BBB",IF(AD218&lt;='组合输入'!$O7,"BB",IF(AD218&lt;='组合输入'!$P7,"B",IF(AD218&lt;='组合输入'!$Q7,"CCC","D")))))))</f>
        <v/>
      </c>
      <c r="AF218" s="12">
        <f>IF(AE218="","",INDEX('状态价值'!$D7:$K7,MATCH(AE218,'状态价值'!$D$1:$K$1,0)))</f>
        <v/>
      </c>
      <c r="AG218" s="15">
        <f>NORM.S.INV(RAND())</f>
        <v/>
      </c>
      <c r="AH218" s="15">
        <f>IF('组合输入'!$C8="","",'组合输入'!$H8*$B218+SQRT(1-'组合输入'!$H8^2)*AG218)</f>
        <v/>
      </c>
      <c r="AI218" s="7">
        <f>IF(AH218="","",NORM.S.DIST(AH218,TRUE))</f>
        <v/>
      </c>
      <c r="AJ218" s="13">
        <f>IF(AI218="","",IF(AI218&lt;='组合输入'!$K8,"AAA",IF(AI218&lt;='组合输入'!$L8,"AA",IF(AI218&lt;='组合输入'!$M8,"A",IF(AI218&lt;='组合输入'!$N8,"BBB",IF(AI218&lt;='组合输入'!$O8,"BB",IF(AI218&lt;='组合输入'!$P8,"B",IF(AI218&lt;='组合输入'!$Q8,"CCC","D")))))))</f>
        <v/>
      </c>
      <c r="AK218" s="12">
        <f>IF(AJ218="","",INDEX('状态价值'!$D8:$K8,MATCH(AJ218,'状态价值'!$D$1:$K$1,0)))</f>
        <v/>
      </c>
      <c r="AL218" s="15">
        <f>NORM.S.INV(RAND())</f>
        <v/>
      </c>
      <c r="AM218" s="15">
        <f>IF('组合输入'!$C9="","",'组合输入'!$H9*$B218+SQRT(1-'组合输入'!$H9^2)*AL218)</f>
        <v/>
      </c>
      <c r="AN218" s="7">
        <f>IF(AM218="","",NORM.S.DIST(AM218,TRUE))</f>
        <v/>
      </c>
      <c r="AO218" s="13">
        <f>IF(AN218="","",IF(AN218&lt;='组合输入'!$K9,"AAA",IF(AN218&lt;='组合输入'!$L9,"AA",IF(AN218&lt;='组合输入'!$M9,"A",IF(AN218&lt;='组合输入'!$N9,"BBB",IF(AN218&lt;='组合输入'!$O9,"BB",IF(AN218&lt;='组合输入'!$P9,"B",IF(AN218&lt;='组合输入'!$Q9,"CCC","D")))))))</f>
        <v/>
      </c>
      <c r="AP218" s="12">
        <f>IF(AO218="","",INDEX('状态价值'!$D9:$K9,MATCH(AO218,'状态价值'!$D$1:$K$1,0)))</f>
        <v/>
      </c>
      <c r="AQ218" s="15">
        <f>NORM.S.INV(RAND())</f>
        <v/>
      </c>
      <c r="AR218" s="15">
        <f>IF('组合输入'!$C10="","",'组合输入'!$H10*$B218+SQRT(1-'组合输入'!$H10^2)*AQ218)</f>
        <v/>
      </c>
      <c r="AS218" s="7">
        <f>IF(AR218="","",NORM.S.DIST(AR218,TRUE))</f>
        <v/>
      </c>
      <c r="AT218" s="13">
        <f>IF(AS218="","",IF(AS218&lt;='组合输入'!$K10,"AAA",IF(AS218&lt;='组合输入'!$L10,"AA",IF(AS218&lt;='组合输入'!$M10,"A",IF(AS218&lt;='组合输入'!$N10,"BBB",IF(AS218&lt;='组合输入'!$O10,"BB",IF(AS218&lt;='组合输入'!$P10,"B",IF(AS218&lt;='组合输入'!$Q10,"CCC","D")))))))</f>
        <v/>
      </c>
      <c r="AU218" s="12">
        <f>IF(AT218="","",INDEX('状态价值'!$D10:$K10,MATCH(AT218,'状态价值'!$D$1:$K$1,0)))</f>
        <v/>
      </c>
      <c r="AV218" s="15">
        <f>NORM.S.INV(RAND())</f>
        <v/>
      </c>
      <c r="AW218" s="15">
        <f>IF('组合输入'!$C11="","",'组合输入'!$H11*$B218+SQRT(1-'组合输入'!$H11^2)*AV218)</f>
        <v/>
      </c>
      <c r="AX218" s="7">
        <f>IF(AW218="","",NORM.S.DIST(AW218,TRUE))</f>
        <v/>
      </c>
      <c r="AY218" s="13">
        <f>IF(AX218="","",IF(AX218&lt;='组合输入'!$K11,"AAA",IF(AX218&lt;='组合输入'!$L11,"AA",IF(AX218&lt;='组合输入'!$M11,"A",IF(AX218&lt;='组合输入'!$N11,"BBB",IF(AX218&lt;='组合输入'!$O11,"BB",IF(AX218&lt;='组合输入'!$P11,"B",IF(AX218&lt;='组合输入'!$Q11,"CCC","D")))))))</f>
        <v/>
      </c>
      <c r="AZ218" s="12">
        <f>IF(AY218="","",INDEX('状态价值'!$D11:$K11,MATCH(AY218,'状态价值'!$D$1:$K$1,0)))</f>
        <v/>
      </c>
      <c r="BA218" s="12">
        <f>G218+L218+Q218+V218+AA218+AF218+AK218+AP218+AU218+AZ218</f>
        <v/>
      </c>
      <c r="BB218" s="12">
        <f>SUM('组合输入'!$J$2:$J$11)-BA218</f>
        <v/>
      </c>
    </row>
    <row r="219">
      <c r="A219" s="11" t="n">
        <v>218</v>
      </c>
      <c r="B219" s="14">
        <f>NORM.S.INV(RAND())</f>
        <v/>
      </c>
      <c r="C219" s="14">
        <f>NORM.S.INV(RAND())</f>
        <v/>
      </c>
      <c r="D219" s="15">
        <f>IF('组合输入'!$C2="","",'组合输入'!$H2*$B219+SQRT(1-'组合输入'!$H2^2)*C219)</f>
        <v/>
      </c>
      <c r="E219" s="7">
        <f>IF(D219="","",NORM.S.DIST(D219,TRUE))</f>
        <v/>
      </c>
      <c r="F219" s="13">
        <f>IF(E219="","",IF(E219&lt;='组合输入'!$K2,"AAA",IF(E219&lt;='组合输入'!$L2,"AA",IF(E219&lt;='组合输入'!$M2,"A",IF(E219&lt;='组合输入'!$N2,"BBB",IF(E219&lt;='组合输入'!$O2,"BB",IF(E219&lt;='组合输入'!$P2,"B",IF(E219&lt;='组合输入'!$Q2,"CCC","D")))))))</f>
        <v/>
      </c>
      <c r="G219" s="12">
        <f>IF(F219="","",INDEX('状态价值'!$D2:$K2,MATCH(F219,'状态价值'!$D$1:$K$1,0)))</f>
        <v/>
      </c>
      <c r="H219" s="15">
        <f>NORM.S.INV(RAND())</f>
        <v/>
      </c>
      <c r="I219" s="15">
        <f>IF('组合输入'!$C3="","",'组合输入'!$H3*$B219+SQRT(1-'组合输入'!$H3^2)*H219)</f>
        <v/>
      </c>
      <c r="J219" s="7">
        <f>IF(I219="","",NORM.S.DIST(I219,TRUE))</f>
        <v/>
      </c>
      <c r="K219" s="13">
        <f>IF(J219="","",IF(J219&lt;='组合输入'!$K3,"AAA",IF(J219&lt;='组合输入'!$L3,"AA",IF(J219&lt;='组合输入'!$M3,"A",IF(J219&lt;='组合输入'!$N3,"BBB",IF(J219&lt;='组合输入'!$O3,"BB",IF(J219&lt;='组合输入'!$P3,"B",IF(J219&lt;='组合输入'!$Q3,"CCC","D")))))))</f>
        <v/>
      </c>
      <c r="L219" s="12">
        <f>IF(K219="","",INDEX('状态价值'!$D3:$K3,MATCH(K219,'状态价值'!$D$1:$K$1,0)))</f>
        <v/>
      </c>
      <c r="M219" s="15">
        <f>NORM.S.INV(RAND())</f>
        <v/>
      </c>
      <c r="N219" s="15">
        <f>IF('组合输入'!$C4="","",'组合输入'!$H4*$B219+SQRT(1-'组合输入'!$H4^2)*M219)</f>
        <v/>
      </c>
      <c r="O219" s="7">
        <f>IF(N219="","",NORM.S.DIST(N219,TRUE))</f>
        <v/>
      </c>
      <c r="P219" s="13">
        <f>IF(O219="","",IF(O219&lt;='组合输入'!$K4,"AAA",IF(O219&lt;='组合输入'!$L4,"AA",IF(O219&lt;='组合输入'!$M4,"A",IF(O219&lt;='组合输入'!$N4,"BBB",IF(O219&lt;='组合输入'!$O4,"BB",IF(O219&lt;='组合输入'!$P4,"B",IF(O219&lt;='组合输入'!$Q4,"CCC","D")))))))</f>
        <v/>
      </c>
      <c r="Q219" s="12">
        <f>IF(P219="","",INDEX('状态价值'!$D4:$K4,MATCH(P219,'状态价值'!$D$1:$K$1,0)))</f>
        <v/>
      </c>
      <c r="R219" s="15">
        <f>NORM.S.INV(RAND())</f>
        <v/>
      </c>
      <c r="S219" s="15">
        <f>IF('组合输入'!$C5="","",'组合输入'!$H5*$B219+SQRT(1-'组合输入'!$H5^2)*R219)</f>
        <v/>
      </c>
      <c r="T219" s="7">
        <f>IF(S219="","",NORM.S.DIST(S219,TRUE))</f>
        <v/>
      </c>
      <c r="U219" s="13">
        <f>IF(T219="","",IF(T219&lt;='组合输入'!$K5,"AAA",IF(T219&lt;='组合输入'!$L5,"AA",IF(T219&lt;='组合输入'!$M5,"A",IF(T219&lt;='组合输入'!$N5,"BBB",IF(T219&lt;='组合输入'!$O5,"BB",IF(T219&lt;='组合输入'!$P5,"B",IF(T219&lt;='组合输入'!$Q5,"CCC","D")))))))</f>
        <v/>
      </c>
      <c r="V219" s="12">
        <f>IF(U219="","",INDEX('状态价值'!$D5:$K5,MATCH(U219,'状态价值'!$D$1:$K$1,0)))</f>
        <v/>
      </c>
      <c r="W219" s="15">
        <f>NORM.S.INV(RAND())</f>
        <v/>
      </c>
      <c r="X219" s="15">
        <f>IF('组合输入'!$C6="","",'组合输入'!$H6*$B219+SQRT(1-'组合输入'!$H6^2)*W219)</f>
        <v/>
      </c>
      <c r="Y219" s="7">
        <f>IF(X219="","",NORM.S.DIST(X219,TRUE))</f>
        <v/>
      </c>
      <c r="Z219" s="13">
        <f>IF(Y219="","",IF(Y219&lt;='组合输入'!$K6,"AAA",IF(Y219&lt;='组合输入'!$L6,"AA",IF(Y219&lt;='组合输入'!$M6,"A",IF(Y219&lt;='组合输入'!$N6,"BBB",IF(Y219&lt;='组合输入'!$O6,"BB",IF(Y219&lt;='组合输入'!$P6,"B",IF(Y219&lt;='组合输入'!$Q6,"CCC","D")))))))</f>
        <v/>
      </c>
      <c r="AA219" s="12">
        <f>IF(Z219="","",INDEX('状态价值'!$D6:$K6,MATCH(Z219,'状态价值'!$D$1:$K$1,0)))</f>
        <v/>
      </c>
      <c r="AB219" s="15">
        <f>NORM.S.INV(RAND())</f>
        <v/>
      </c>
      <c r="AC219" s="15">
        <f>IF('组合输入'!$C7="","",'组合输入'!$H7*$B219+SQRT(1-'组合输入'!$H7^2)*AB219)</f>
        <v/>
      </c>
      <c r="AD219" s="7">
        <f>IF(AC219="","",NORM.S.DIST(AC219,TRUE))</f>
        <v/>
      </c>
      <c r="AE219" s="13">
        <f>IF(AD219="","",IF(AD219&lt;='组合输入'!$K7,"AAA",IF(AD219&lt;='组合输入'!$L7,"AA",IF(AD219&lt;='组合输入'!$M7,"A",IF(AD219&lt;='组合输入'!$N7,"BBB",IF(AD219&lt;='组合输入'!$O7,"BB",IF(AD219&lt;='组合输入'!$P7,"B",IF(AD219&lt;='组合输入'!$Q7,"CCC","D")))))))</f>
        <v/>
      </c>
      <c r="AF219" s="12">
        <f>IF(AE219="","",INDEX('状态价值'!$D7:$K7,MATCH(AE219,'状态价值'!$D$1:$K$1,0)))</f>
        <v/>
      </c>
      <c r="AG219" s="15">
        <f>NORM.S.INV(RAND())</f>
        <v/>
      </c>
      <c r="AH219" s="15">
        <f>IF('组合输入'!$C8="","",'组合输入'!$H8*$B219+SQRT(1-'组合输入'!$H8^2)*AG219)</f>
        <v/>
      </c>
      <c r="AI219" s="7">
        <f>IF(AH219="","",NORM.S.DIST(AH219,TRUE))</f>
        <v/>
      </c>
      <c r="AJ219" s="13">
        <f>IF(AI219="","",IF(AI219&lt;='组合输入'!$K8,"AAA",IF(AI219&lt;='组合输入'!$L8,"AA",IF(AI219&lt;='组合输入'!$M8,"A",IF(AI219&lt;='组合输入'!$N8,"BBB",IF(AI219&lt;='组合输入'!$O8,"BB",IF(AI219&lt;='组合输入'!$P8,"B",IF(AI219&lt;='组合输入'!$Q8,"CCC","D")))))))</f>
        <v/>
      </c>
      <c r="AK219" s="12">
        <f>IF(AJ219="","",INDEX('状态价值'!$D8:$K8,MATCH(AJ219,'状态价值'!$D$1:$K$1,0)))</f>
        <v/>
      </c>
      <c r="AL219" s="15">
        <f>NORM.S.INV(RAND())</f>
        <v/>
      </c>
      <c r="AM219" s="15">
        <f>IF('组合输入'!$C9="","",'组合输入'!$H9*$B219+SQRT(1-'组合输入'!$H9^2)*AL219)</f>
        <v/>
      </c>
      <c r="AN219" s="7">
        <f>IF(AM219="","",NORM.S.DIST(AM219,TRUE))</f>
        <v/>
      </c>
      <c r="AO219" s="13">
        <f>IF(AN219="","",IF(AN219&lt;='组合输入'!$K9,"AAA",IF(AN219&lt;='组合输入'!$L9,"AA",IF(AN219&lt;='组合输入'!$M9,"A",IF(AN219&lt;='组合输入'!$N9,"BBB",IF(AN219&lt;='组合输入'!$O9,"BB",IF(AN219&lt;='组合输入'!$P9,"B",IF(AN219&lt;='组合输入'!$Q9,"CCC","D")))))))</f>
        <v/>
      </c>
      <c r="AP219" s="12">
        <f>IF(AO219="","",INDEX('状态价值'!$D9:$K9,MATCH(AO219,'状态价值'!$D$1:$K$1,0)))</f>
        <v/>
      </c>
      <c r="AQ219" s="15">
        <f>NORM.S.INV(RAND())</f>
        <v/>
      </c>
      <c r="AR219" s="15">
        <f>IF('组合输入'!$C10="","",'组合输入'!$H10*$B219+SQRT(1-'组合输入'!$H10^2)*AQ219)</f>
        <v/>
      </c>
      <c r="AS219" s="7">
        <f>IF(AR219="","",NORM.S.DIST(AR219,TRUE))</f>
        <v/>
      </c>
      <c r="AT219" s="13">
        <f>IF(AS219="","",IF(AS219&lt;='组合输入'!$K10,"AAA",IF(AS219&lt;='组合输入'!$L10,"AA",IF(AS219&lt;='组合输入'!$M10,"A",IF(AS219&lt;='组合输入'!$N10,"BBB",IF(AS219&lt;='组合输入'!$O10,"BB",IF(AS219&lt;='组合输入'!$P10,"B",IF(AS219&lt;='组合输入'!$Q10,"CCC","D")))))))</f>
        <v/>
      </c>
      <c r="AU219" s="12">
        <f>IF(AT219="","",INDEX('状态价值'!$D10:$K10,MATCH(AT219,'状态价值'!$D$1:$K$1,0)))</f>
        <v/>
      </c>
      <c r="AV219" s="15">
        <f>NORM.S.INV(RAND())</f>
        <v/>
      </c>
      <c r="AW219" s="15">
        <f>IF('组合输入'!$C11="","",'组合输入'!$H11*$B219+SQRT(1-'组合输入'!$H11^2)*AV219)</f>
        <v/>
      </c>
      <c r="AX219" s="7">
        <f>IF(AW219="","",NORM.S.DIST(AW219,TRUE))</f>
        <v/>
      </c>
      <c r="AY219" s="13">
        <f>IF(AX219="","",IF(AX219&lt;='组合输入'!$K11,"AAA",IF(AX219&lt;='组合输入'!$L11,"AA",IF(AX219&lt;='组合输入'!$M11,"A",IF(AX219&lt;='组合输入'!$N11,"BBB",IF(AX219&lt;='组合输入'!$O11,"BB",IF(AX219&lt;='组合输入'!$P11,"B",IF(AX219&lt;='组合输入'!$Q11,"CCC","D")))))))</f>
        <v/>
      </c>
      <c r="AZ219" s="12">
        <f>IF(AY219="","",INDEX('状态价值'!$D11:$K11,MATCH(AY219,'状态价值'!$D$1:$K$1,0)))</f>
        <v/>
      </c>
      <c r="BA219" s="12">
        <f>G219+L219+Q219+V219+AA219+AF219+AK219+AP219+AU219+AZ219</f>
        <v/>
      </c>
      <c r="BB219" s="12">
        <f>SUM('组合输入'!$J$2:$J$11)-BA219</f>
        <v/>
      </c>
    </row>
    <row r="220">
      <c r="A220" s="11" t="n">
        <v>219</v>
      </c>
      <c r="B220" s="14">
        <f>NORM.S.INV(RAND())</f>
        <v/>
      </c>
      <c r="C220" s="14">
        <f>NORM.S.INV(RAND())</f>
        <v/>
      </c>
      <c r="D220" s="15">
        <f>IF('组合输入'!$C2="","",'组合输入'!$H2*$B220+SQRT(1-'组合输入'!$H2^2)*C220)</f>
        <v/>
      </c>
      <c r="E220" s="7">
        <f>IF(D220="","",NORM.S.DIST(D220,TRUE))</f>
        <v/>
      </c>
      <c r="F220" s="13">
        <f>IF(E220="","",IF(E220&lt;='组合输入'!$K2,"AAA",IF(E220&lt;='组合输入'!$L2,"AA",IF(E220&lt;='组合输入'!$M2,"A",IF(E220&lt;='组合输入'!$N2,"BBB",IF(E220&lt;='组合输入'!$O2,"BB",IF(E220&lt;='组合输入'!$P2,"B",IF(E220&lt;='组合输入'!$Q2,"CCC","D")))))))</f>
        <v/>
      </c>
      <c r="G220" s="12">
        <f>IF(F220="","",INDEX('状态价值'!$D2:$K2,MATCH(F220,'状态价值'!$D$1:$K$1,0)))</f>
        <v/>
      </c>
      <c r="H220" s="15">
        <f>NORM.S.INV(RAND())</f>
        <v/>
      </c>
      <c r="I220" s="15">
        <f>IF('组合输入'!$C3="","",'组合输入'!$H3*$B220+SQRT(1-'组合输入'!$H3^2)*H220)</f>
        <v/>
      </c>
      <c r="J220" s="7">
        <f>IF(I220="","",NORM.S.DIST(I220,TRUE))</f>
        <v/>
      </c>
      <c r="K220" s="13">
        <f>IF(J220="","",IF(J220&lt;='组合输入'!$K3,"AAA",IF(J220&lt;='组合输入'!$L3,"AA",IF(J220&lt;='组合输入'!$M3,"A",IF(J220&lt;='组合输入'!$N3,"BBB",IF(J220&lt;='组合输入'!$O3,"BB",IF(J220&lt;='组合输入'!$P3,"B",IF(J220&lt;='组合输入'!$Q3,"CCC","D")))))))</f>
        <v/>
      </c>
      <c r="L220" s="12">
        <f>IF(K220="","",INDEX('状态价值'!$D3:$K3,MATCH(K220,'状态价值'!$D$1:$K$1,0)))</f>
        <v/>
      </c>
      <c r="M220" s="15">
        <f>NORM.S.INV(RAND())</f>
        <v/>
      </c>
      <c r="N220" s="15">
        <f>IF('组合输入'!$C4="","",'组合输入'!$H4*$B220+SQRT(1-'组合输入'!$H4^2)*M220)</f>
        <v/>
      </c>
      <c r="O220" s="7">
        <f>IF(N220="","",NORM.S.DIST(N220,TRUE))</f>
        <v/>
      </c>
      <c r="P220" s="13">
        <f>IF(O220="","",IF(O220&lt;='组合输入'!$K4,"AAA",IF(O220&lt;='组合输入'!$L4,"AA",IF(O220&lt;='组合输入'!$M4,"A",IF(O220&lt;='组合输入'!$N4,"BBB",IF(O220&lt;='组合输入'!$O4,"BB",IF(O220&lt;='组合输入'!$P4,"B",IF(O220&lt;='组合输入'!$Q4,"CCC","D")))))))</f>
        <v/>
      </c>
      <c r="Q220" s="12">
        <f>IF(P220="","",INDEX('状态价值'!$D4:$K4,MATCH(P220,'状态价值'!$D$1:$K$1,0)))</f>
        <v/>
      </c>
      <c r="R220" s="15">
        <f>NORM.S.INV(RAND())</f>
        <v/>
      </c>
      <c r="S220" s="15">
        <f>IF('组合输入'!$C5="","",'组合输入'!$H5*$B220+SQRT(1-'组合输入'!$H5^2)*R220)</f>
        <v/>
      </c>
      <c r="T220" s="7">
        <f>IF(S220="","",NORM.S.DIST(S220,TRUE))</f>
        <v/>
      </c>
      <c r="U220" s="13">
        <f>IF(T220="","",IF(T220&lt;='组合输入'!$K5,"AAA",IF(T220&lt;='组合输入'!$L5,"AA",IF(T220&lt;='组合输入'!$M5,"A",IF(T220&lt;='组合输入'!$N5,"BBB",IF(T220&lt;='组合输入'!$O5,"BB",IF(T220&lt;='组合输入'!$P5,"B",IF(T220&lt;='组合输入'!$Q5,"CCC","D")))))))</f>
        <v/>
      </c>
      <c r="V220" s="12">
        <f>IF(U220="","",INDEX('状态价值'!$D5:$K5,MATCH(U220,'状态价值'!$D$1:$K$1,0)))</f>
        <v/>
      </c>
      <c r="W220" s="15">
        <f>NORM.S.INV(RAND())</f>
        <v/>
      </c>
      <c r="X220" s="15">
        <f>IF('组合输入'!$C6="","",'组合输入'!$H6*$B220+SQRT(1-'组合输入'!$H6^2)*W220)</f>
        <v/>
      </c>
      <c r="Y220" s="7">
        <f>IF(X220="","",NORM.S.DIST(X220,TRUE))</f>
        <v/>
      </c>
      <c r="Z220" s="13">
        <f>IF(Y220="","",IF(Y220&lt;='组合输入'!$K6,"AAA",IF(Y220&lt;='组合输入'!$L6,"AA",IF(Y220&lt;='组合输入'!$M6,"A",IF(Y220&lt;='组合输入'!$N6,"BBB",IF(Y220&lt;='组合输入'!$O6,"BB",IF(Y220&lt;='组合输入'!$P6,"B",IF(Y220&lt;='组合输入'!$Q6,"CCC","D")))))))</f>
        <v/>
      </c>
      <c r="AA220" s="12">
        <f>IF(Z220="","",INDEX('状态价值'!$D6:$K6,MATCH(Z220,'状态价值'!$D$1:$K$1,0)))</f>
        <v/>
      </c>
      <c r="AB220" s="15">
        <f>NORM.S.INV(RAND())</f>
        <v/>
      </c>
      <c r="AC220" s="15">
        <f>IF('组合输入'!$C7="","",'组合输入'!$H7*$B220+SQRT(1-'组合输入'!$H7^2)*AB220)</f>
        <v/>
      </c>
      <c r="AD220" s="7">
        <f>IF(AC220="","",NORM.S.DIST(AC220,TRUE))</f>
        <v/>
      </c>
      <c r="AE220" s="13">
        <f>IF(AD220="","",IF(AD220&lt;='组合输入'!$K7,"AAA",IF(AD220&lt;='组合输入'!$L7,"AA",IF(AD220&lt;='组合输入'!$M7,"A",IF(AD220&lt;='组合输入'!$N7,"BBB",IF(AD220&lt;='组合输入'!$O7,"BB",IF(AD220&lt;='组合输入'!$P7,"B",IF(AD220&lt;='组合输入'!$Q7,"CCC","D")))))))</f>
        <v/>
      </c>
      <c r="AF220" s="12">
        <f>IF(AE220="","",INDEX('状态价值'!$D7:$K7,MATCH(AE220,'状态价值'!$D$1:$K$1,0)))</f>
        <v/>
      </c>
      <c r="AG220" s="15">
        <f>NORM.S.INV(RAND())</f>
        <v/>
      </c>
      <c r="AH220" s="15">
        <f>IF('组合输入'!$C8="","",'组合输入'!$H8*$B220+SQRT(1-'组合输入'!$H8^2)*AG220)</f>
        <v/>
      </c>
      <c r="AI220" s="7">
        <f>IF(AH220="","",NORM.S.DIST(AH220,TRUE))</f>
        <v/>
      </c>
      <c r="AJ220" s="13">
        <f>IF(AI220="","",IF(AI220&lt;='组合输入'!$K8,"AAA",IF(AI220&lt;='组合输入'!$L8,"AA",IF(AI220&lt;='组合输入'!$M8,"A",IF(AI220&lt;='组合输入'!$N8,"BBB",IF(AI220&lt;='组合输入'!$O8,"BB",IF(AI220&lt;='组合输入'!$P8,"B",IF(AI220&lt;='组合输入'!$Q8,"CCC","D")))))))</f>
        <v/>
      </c>
      <c r="AK220" s="12">
        <f>IF(AJ220="","",INDEX('状态价值'!$D8:$K8,MATCH(AJ220,'状态价值'!$D$1:$K$1,0)))</f>
        <v/>
      </c>
      <c r="AL220" s="15">
        <f>NORM.S.INV(RAND())</f>
        <v/>
      </c>
      <c r="AM220" s="15">
        <f>IF('组合输入'!$C9="","",'组合输入'!$H9*$B220+SQRT(1-'组合输入'!$H9^2)*AL220)</f>
        <v/>
      </c>
      <c r="AN220" s="7">
        <f>IF(AM220="","",NORM.S.DIST(AM220,TRUE))</f>
        <v/>
      </c>
      <c r="AO220" s="13">
        <f>IF(AN220="","",IF(AN220&lt;='组合输入'!$K9,"AAA",IF(AN220&lt;='组合输入'!$L9,"AA",IF(AN220&lt;='组合输入'!$M9,"A",IF(AN220&lt;='组合输入'!$N9,"BBB",IF(AN220&lt;='组合输入'!$O9,"BB",IF(AN220&lt;='组合输入'!$P9,"B",IF(AN220&lt;='组合输入'!$Q9,"CCC","D")))))))</f>
        <v/>
      </c>
      <c r="AP220" s="12">
        <f>IF(AO220="","",INDEX('状态价值'!$D9:$K9,MATCH(AO220,'状态价值'!$D$1:$K$1,0)))</f>
        <v/>
      </c>
      <c r="AQ220" s="15">
        <f>NORM.S.INV(RAND())</f>
        <v/>
      </c>
      <c r="AR220" s="15">
        <f>IF('组合输入'!$C10="","",'组合输入'!$H10*$B220+SQRT(1-'组合输入'!$H10^2)*AQ220)</f>
        <v/>
      </c>
      <c r="AS220" s="7">
        <f>IF(AR220="","",NORM.S.DIST(AR220,TRUE))</f>
        <v/>
      </c>
      <c r="AT220" s="13">
        <f>IF(AS220="","",IF(AS220&lt;='组合输入'!$K10,"AAA",IF(AS220&lt;='组合输入'!$L10,"AA",IF(AS220&lt;='组合输入'!$M10,"A",IF(AS220&lt;='组合输入'!$N10,"BBB",IF(AS220&lt;='组合输入'!$O10,"BB",IF(AS220&lt;='组合输入'!$P10,"B",IF(AS220&lt;='组合输入'!$Q10,"CCC","D")))))))</f>
        <v/>
      </c>
      <c r="AU220" s="12">
        <f>IF(AT220="","",INDEX('状态价值'!$D10:$K10,MATCH(AT220,'状态价值'!$D$1:$K$1,0)))</f>
        <v/>
      </c>
      <c r="AV220" s="15">
        <f>NORM.S.INV(RAND())</f>
        <v/>
      </c>
      <c r="AW220" s="15">
        <f>IF('组合输入'!$C11="","",'组合输入'!$H11*$B220+SQRT(1-'组合输入'!$H11^2)*AV220)</f>
        <v/>
      </c>
      <c r="AX220" s="7">
        <f>IF(AW220="","",NORM.S.DIST(AW220,TRUE))</f>
        <v/>
      </c>
      <c r="AY220" s="13">
        <f>IF(AX220="","",IF(AX220&lt;='组合输入'!$K11,"AAA",IF(AX220&lt;='组合输入'!$L11,"AA",IF(AX220&lt;='组合输入'!$M11,"A",IF(AX220&lt;='组合输入'!$N11,"BBB",IF(AX220&lt;='组合输入'!$O11,"BB",IF(AX220&lt;='组合输入'!$P11,"B",IF(AX220&lt;='组合输入'!$Q11,"CCC","D")))))))</f>
        <v/>
      </c>
      <c r="AZ220" s="12">
        <f>IF(AY220="","",INDEX('状态价值'!$D11:$K11,MATCH(AY220,'状态价值'!$D$1:$K$1,0)))</f>
        <v/>
      </c>
      <c r="BA220" s="12">
        <f>G220+L220+Q220+V220+AA220+AF220+AK220+AP220+AU220+AZ220</f>
        <v/>
      </c>
      <c r="BB220" s="12">
        <f>SUM('组合输入'!$J$2:$J$11)-BA220</f>
        <v/>
      </c>
    </row>
    <row r="221">
      <c r="A221" s="11" t="n">
        <v>220</v>
      </c>
      <c r="B221" s="14">
        <f>NORM.S.INV(RAND())</f>
        <v/>
      </c>
      <c r="C221" s="14">
        <f>NORM.S.INV(RAND())</f>
        <v/>
      </c>
      <c r="D221" s="15">
        <f>IF('组合输入'!$C2="","",'组合输入'!$H2*$B221+SQRT(1-'组合输入'!$H2^2)*C221)</f>
        <v/>
      </c>
      <c r="E221" s="7">
        <f>IF(D221="","",NORM.S.DIST(D221,TRUE))</f>
        <v/>
      </c>
      <c r="F221" s="13">
        <f>IF(E221="","",IF(E221&lt;='组合输入'!$K2,"AAA",IF(E221&lt;='组合输入'!$L2,"AA",IF(E221&lt;='组合输入'!$M2,"A",IF(E221&lt;='组合输入'!$N2,"BBB",IF(E221&lt;='组合输入'!$O2,"BB",IF(E221&lt;='组合输入'!$P2,"B",IF(E221&lt;='组合输入'!$Q2,"CCC","D")))))))</f>
        <v/>
      </c>
      <c r="G221" s="12">
        <f>IF(F221="","",INDEX('状态价值'!$D2:$K2,MATCH(F221,'状态价值'!$D$1:$K$1,0)))</f>
        <v/>
      </c>
      <c r="H221" s="15">
        <f>NORM.S.INV(RAND())</f>
        <v/>
      </c>
      <c r="I221" s="15">
        <f>IF('组合输入'!$C3="","",'组合输入'!$H3*$B221+SQRT(1-'组合输入'!$H3^2)*H221)</f>
        <v/>
      </c>
      <c r="J221" s="7">
        <f>IF(I221="","",NORM.S.DIST(I221,TRUE))</f>
        <v/>
      </c>
      <c r="K221" s="13">
        <f>IF(J221="","",IF(J221&lt;='组合输入'!$K3,"AAA",IF(J221&lt;='组合输入'!$L3,"AA",IF(J221&lt;='组合输入'!$M3,"A",IF(J221&lt;='组合输入'!$N3,"BBB",IF(J221&lt;='组合输入'!$O3,"BB",IF(J221&lt;='组合输入'!$P3,"B",IF(J221&lt;='组合输入'!$Q3,"CCC","D")))))))</f>
        <v/>
      </c>
      <c r="L221" s="12">
        <f>IF(K221="","",INDEX('状态价值'!$D3:$K3,MATCH(K221,'状态价值'!$D$1:$K$1,0)))</f>
        <v/>
      </c>
      <c r="M221" s="15">
        <f>NORM.S.INV(RAND())</f>
        <v/>
      </c>
      <c r="N221" s="15">
        <f>IF('组合输入'!$C4="","",'组合输入'!$H4*$B221+SQRT(1-'组合输入'!$H4^2)*M221)</f>
        <v/>
      </c>
      <c r="O221" s="7">
        <f>IF(N221="","",NORM.S.DIST(N221,TRUE))</f>
        <v/>
      </c>
      <c r="P221" s="13">
        <f>IF(O221="","",IF(O221&lt;='组合输入'!$K4,"AAA",IF(O221&lt;='组合输入'!$L4,"AA",IF(O221&lt;='组合输入'!$M4,"A",IF(O221&lt;='组合输入'!$N4,"BBB",IF(O221&lt;='组合输入'!$O4,"BB",IF(O221&lt;='组合输入'!$P4,"B",IF(O221&lt;='组合输入'!$Q4,"CCC","D")))))))</f>
        <v/>
      </c>
      <c r="Q221" s="12">
        <f>IF(P221="","",INDEX('状态价值'!$D4:$K4,MATCH(P221,'状态价值'!$D$1:$K$1,0)))</f>
        <v/>
      </c>
      <c r="R221" s="15">
        <f>NORM.S.INV(RAND())</f>
        <v/>
      </c>
      <c r="S221" s="15">
        <f>IF('组合输入'!$C5="","",'组合输入'!$H5*$B221+SQRT(1-'组合输入'!$H5^2)*R221)</f>
        <v/>
      </c>
      <c r="T221" s="7">
        <f>IF(S221="","",NORM.S.DIST(S221,TRUE))</f>
        <v/>
      </c>
      <c r="U221" s="13">
        <f>IF(T221="","",IF(T221&lt;='组合输入'!$K5,"AAA",IF(T221&lt;='组合输入'!$L5,"AA",IF(T221&lt;='组合输入'!$M5,"A",IF(T221&lt;='组合输入'!$N5,"BBB",IF(T221&lt;='组合输入'!$O5,"BB",IF(T221&lt;='组合输入'!$P5,"B",IF(T221&lt;='组合输入'!$Q5,"CCC","D")))))))</f>
        <v/>
      </c>
      <c r="V221" s="12">
        <f>IF(U221="","",INDEX('状态价值'!$D5:$K5,MATCH(U221,'状态价值'!$D$1:$K$1,0)))</f>
        <v/>
      </c>
      <c r="W221" s="15">
        <f>NORM.S.INV(RAND())</f>
        <v/>
      </c>
      <c r="X221" s="15">
        <f>IF('组合输入'!$C6="","",'组合输入'!$H6*$B221+SQRT(1-'组合输入'!$H6^2)*W221)</f>
        <v/>
      </c>
      <c r="Y221" s="7">
        <f>IF(X221="","",NORM.S.DIST(X221,TRUE))</f>
        <v/>
      </c>
      <c r="Z221" s="13">
        <f>IF(Y221="","",IF(Y221&lt;='组合输入'!$K6,"AAA",IF(Y221&lt;='组合输入'!$L6,"AA",IF(Y221&lt;='组合输入'!$M6,"A",IF(Y221&lt;='组合输入'!$N6,"BBB",IF(Y221&lt;='组合输入'!$O6,"BB",IF(Y221&lt;='组合输入'!$P6,"B",IF(Y221&lt;='组合输入'!$Q6,"CCC","D")))))))</f>
        <v/>
      </c>
      <c r="AA221" s="12">
        <f>IF(Z221="","",INDEX('状态价值'!$D6:$K6,MATCH(Z221,'状态价值'!$D$1:$K$1,0)))</f>
        <v/>
      </c>
      <c r="AB221" s="15">
        <f>NORM.S.INV(RAND())</f>
        <v/>
      </c>
      <c r="AC221" s="15">
        <f>IF('组合输入'!$C7="","",'组合输入'!$H7*$B221+SQRT(1-'组合输入'!$H7^2)*AB221)</f>
        <v/>
      </c>
      <c r="AD221" s="7">
        <f>IF(AC221="","",NORM.S.DIST(AC221,TRUE))</f>
        <v/>
      </c>
      <c r="AE221" s="13">
        <f>IF(AD221="","",IF(AD221&lt;='组合输入'!$K7,"AAA",IF(AD221&lt;='组合输入'!$L7,"AA",IF(AD221&lt;='组合输入'!$M7,"A",IF(AD221&lt;='组合输入'!$N7,"BBB",IF(AD221&lt;='组合输入'!$O7,"BB",IF(AD221&lt;='组合输入'!$P7,"B",IF(AD221&lt;='组合输入'!$Q7,"CCC","D")))))))</f>
        <v/>
      </c>
      <c r="AF221" s="12">
        <f>IF(AE221="","",INDEX('状态价值'!$D7:$K7,MATCH(AE221,'状态价值'!$D$1:$K$1,0)))</f>
        <v/>
      </c>
      <c r="AG221" s="15">
        <f>NORM.S.INV(RAND())</f>
        <v/>
      </c>
      <c r="AH221" s="15">
        <f>IF('组合输入'!$C8="","",'组合输入'!$H8*$B221+SQRT(1-'组合输入'!$H8^2)*AG221)</f>
        <v/>
      </c>
      <c r="AI221" s="7">
        <f>IF(AH221="","",NORM.S.DIST(AH221,TRUE))</f>
        <v/>
      </c>
      <c r="AJ221" s="13">
        <f>IF(AI221="","",IF(AI221&lt;='组合输入'!$K8,"AAA",IF(AI221&lt;='组合输入'!$L8,"AA",IF(AI221&lt;='组合输入'!$M8,"A",IF(AI221&lt;='组合输入'!$N8,"BBB",IF(AI221&lt;='组合输入'!$O8,"BB",IF(AI221&lt;='组合输入'!$P8,"B",IF(AI221&lt;='组合输入'!$Q8,"CCC","D")))))))</f>
        <v/>
      </c>
      <c r="AK221" s="12">
        <f>IF(AJ221="","",INDEX('状态价值'!$D8:$K8,MATCH(AJ221,'状态价值'!$D$1:$K$1,0)))</f>
        <v/>
      </c>
      <c r="AL221" s="15">
        <f>NORM.S.INV(RAND())</f>
        <v/>
      </c>
      <c r="AM221" s="15">
        <f>IF('组合输入'!$C9="","",'组合输入'!$H9*$B221+SQRT(1-'组合输入'!$H9^2)*AL221)</f>
        <v/>
      </c>
      <c r="AN221" s="7">
        <f>IF(AM221="","",NORM.S.DIST(AM221,TRUE))</f>
        <v/>
      </c>
      <c r="AO221" s="13">
        <f>IF(AN221="","",IF(AN221&lt;='组合输入'!$K9,"AAA",IF(AN221&lt;='组合输入'!$L9,"AA",IF(AN221&lt;='组合输入'!$M9,"A",IF(AN221&lt;='组合输入'!$N9,"BBB",IF(AN221&lt;='组合输入'!$O9,"BB",IF(AN221&lt;='组合输入'!$P9,"B",IF(AN221&lt;='组合输入'!$Q9,"CCC","D")))))))</f>
        <v/>
      </c>
      <c r="AP221" s="12">
        <f>IF(AO221="","",INDEX('状态价值'!$D9:$K9,MATCH(AO221,'状态价值'!$D$1:$K$1,0)))</f>
        <v/>
      </c>
      <c r="AQ221" s="15">
        <f>NORM.S.INV(RAND())</f>
        <v/>
      </c>
      <c r="AR221" s="15">
        <f>IF('组合输入'!$C10="","",'组合输入'!$H10*$B221+SQRT(1-'组合输入'!$H10^2)*AQ221)</f>
        <v/>
      </c>
      <c r="AS221" s="7">
        <f>IF(AR221="","",NORM.S.DIST(AR221,TRUE))</f>
        <v/>
      </c>
      <c r="AT221" s="13">
        <f>IF(AS221="","",IF(AS221&lt;='组合输入'!$K10,"AAA",IF(AS221&lt;='组合输入'!$L10,"AA",IF(AS221&lt;='组合输入'!$M10,"A",IF(AS221&lt;='组合输入'!$N10,"BBB",IF(AS221&lt;='组合输入'!$O10,"BB",IF(AS221&lt;='组合输入'!$P10,"B",IF(AS221&lt;='组合输入'!$Q10,"CCC","D")))))))</f>
        <v/>
      </c>
      <c r="AU221" s="12">
        <f>IF(AT221="","",INDEX('状态价值'!$D10:$K10,MATCH(AT221,'状态价值'!$D$1:$K$1,0)))</f>
        <v/>
      </c>
      <c r="AV221" s="15">
        <f>NORM.S.INV(RAND())</f>
        <v/>
      </c>
      <c r="AW221" s="15">
        <f>IF('组合输入'!$C11="","",'组合输入'!$H11*$B221+SQRT(1-'组合输入'!$H11^2)*AV221)</f>
        <v/>
      </c>
      <c r="AX221" s="7">
        <f>IF(AW221="","",NORM.S.DIST(AW221,TRUE))</f>
        <v/>
      </c>
      <c r="AY221" s="13">
        <f>IF(AX221="","",IF(AX221&lt;='组合输入'!$K11,"AAA",IF(AX221&lt;='组合输入'!$L11,"AA",IF(AX221&lt;='组合输入'!$M11,"A",IF(AX221&lt;='组合输入'!$N11,"BBB",IF(AX221&lt;='组合输入'!$O11,"BB",IF(AX221&lt;='组合输入'!$P11,"B",IF(AX221&lt;='组合输入'!$Q11,"CCC","D")))))))</f>
        <v/>
      </c>
      <c r="AZ221" s="12">
        <f>IF(AY221="","",INDEX('状态价值'!$D11:$K11,MATCH(AY221,'状态价值'!$D$1:$K$1,0)))</f>
        <v/>
      </c>
      <c r="BA221" s="12">
        <f>G221+L221+Q221+V221+AA221+AF221+AK221+AP221+AU221+AZ221</f>
        <v/>
      </c>
      <c r="BB221" s="12">
        <f>SUM('组合输入'!$J$2:$J$11)-BA221</f>
        <v/>
      </c>
    </row>
    <row r="222">
      <c r="A222" s="11" t="n">
        <v>221</v>
      </c>
      <c r="B222" s="14">
        <f>NORM.S.INV(RAND())</f>
        <v/>
      </c>
      <c r="C222" s="14">
        <f>NORM.S.INV(RAND())</f>
        <v/>
      </c>
      <c r="D222" s="15">
        <f>IF('组合输入'!$C2="","",'组合输入'!$H2*$B222+SQRT(1-'组合输入'!$H2^2)*C222)</f>
        <v/>
      </c>
      <c r="E222" s="7">
        <f>IF(D222="","",NORM.S.DIST(D222,TRUE))</f>
        <v/>
      </c>
      <c r="F222" s="13">
        <f>IF(E222="","",IF(E222&lt;='组合输入'!$K2,"AAA",IF(E222&lt;='组合输入'!$L2,"AA",IF(E222&lt;='组合输入'!$M2,"A",IF(E222&lt;='组合输入'!$N2,"BBB",IF(E222&lt;='组合输入'!$O2,"BB",IF(E222&lt;='组合输入'!$P2,"B",IF(E222&lt;='组合输入'!$Q2,"CCC","D")))))))</f>
        <v/>
      </c>
      <c r="G222" s="12">
        <f>IF(F222="","",INDEX('状态价值'!$D2:$K2,MATCH(F222,'状态价值'!$D$1:$K$1,0)))</f>
        <v/>
      </c>
      <c r="H222" s="15">
        <f>NORM.S.INV(RAND())</f>
        <v/>
      </c>
      <c r="I222" s="15">
        <f>IF('组合输入'!$C3="","",'组合输入'!$H3*$B222+SQRT(1-'组合输入'!$H3^2)*H222)</f>
        <v/>
      </c>
      <c r="J222" s="7">
        <f>IF(I222="","",NORM.S.DIST(I222,TRUE))</f>
        <v/>
      </c>
      <c r="K222" s="13">
        <f>IF(J222="","",IF(J222&lt;='组合输入'!$K3,"AAA",IF(J222&lt;='组合输入'!$L3,"AA",IF(J222&lt;='组合输入'!$M3,"A",IF(J222&lt;='组合输入'!$N3,"BBB",IF(J222&lt;='组合输入'!$O3,"BB",IF(J222&lt;='组合输入'!$P3,"B",IF(J222&lt;='组合输入'!$Q3,"CCC","D")))))))</f>
        <v/>
      </c>
      <c r="L222" s="12">
        <f>IF(K222="","",INDEX('状态价值'!$D3:$K3,MATCH(K222,'状态价值'!$D$1:$K$1,0)))</f>
        <v/>
      </c>
      <c r="M222" s="15">
        <f>NORM.S.INV(RAND())</f>
        <v/>
      </c>
      <c r="N222" s="15">
        <f>IF('组合输入'!$C4="","",'组合输入'!$H4*$B222+SQRT(1-'组合输入'!$H4^2)*M222)</f>
        <v/>
      </c>
      <c r="O222" s="7">
        <f>IF(N222="","",NORM.S.DIST(N222,TRUE))</f>
        <v/>
      </c>
      <c r="P222" s="13">
        <f>IF(O222="","",IF(O222&lt;='组合输入'!$K4,"AAA",IF(O222&lt;='组合输入'!$L4,"AA",IF(O222&lt;='组合输入'!$M4,"A",IF(O222&lt;='组合输入'!$N4,"BBB",IF(O222&lt;='组合输入'!$O4,"BB",IF(O222&lt;='组合输入'!$P4,"B",IF(O222&lt;='组合输入'!$Q4,"CCC","D")))))))</f>
        <v/>
      </c>
      <c r="Q222" s="12">
        <f>IF(P222="","",INDEX('状态价值'!$D4:$K4,MATCH(P222,'状态价值'!$D$1:$K$1,0)))</f>
        <v/>
      </c>
      <c r="R222" s="15">
        <f>NORM.S.INV(RAND())</f>
        <v/>
      </c>
      <c r="S222" s="15">
        <f>IF('组合输入'!$C5="","",'组合输入'!$H5*$B222+SQRT(1-'组合输入'!$H5^2)*R222)</f>
        <v/>
      </c>
      <c r="T222" s="7">
        <f>IF(S222="","",NORM.S.DIST(S222,TRUE))</f>
        <v/>
      </c>
      <c r="U222" s="13">
        <f>IF(T222="","",IF(T222&lt;='组合输入'!$K5,"AAA",IF(T222&lt;='组合输入'!$L5,"AA",IF(T222&lt;='组合输入'!$M5,"A",IF(T222&lt;='组合输入'!$N5,"BBB",IF(T222&lt;='组合输入'!$O5,"BB",IF(T222&lt;='组合输入'!$P5,"B",IF(T222&lt;='组合输入'!$Q5,"CCC","D")))))))</f>
        <v/>
      </c>
      <c r="V222" s="12">
        <f>IF(U222="","",INDEX('状态价值'!$D5:$K5,MATCH(U222,'状态价值'!$D$1:$K$1,0)))</f>
        <v/>
      </c>
      <c r="W222" s="15">
        <f>NORM.S.INV(RAND())</f>
        <v/>
      </c>
      <c r="X222" s="15">
        <f>IF('组合输入'!$C6="","",'组合输入'!$H6*$B222+SQRT(1-'组合输入'!$H6^2)*W222)</f>
        <v/>
      </c>
      <c r="Y222" s="7">
        <f>IF(X222="","",NORM.S.DIST(X222,TRUE))</f>
        <v/>
      </c>
      <c r="Z222" s="13">
        <f>IF(Y222="","",IF(Y222&lt;='组合输入'!$K6,"AAA",IF(Y222&lt;='组合输入'!$L6,"AA",IF(Y222&lt;='组合输入'!$M6,"A",IF(Y222&lt;='组合输入'!$N6,"BBB",IF(Y222&lt;='组合输入'!$O6,"BB",IF(Y222&lt;='组合输入'!$P6,"B",IF(Y222&lt;='组合输入'!$Q6,"CCC","D")))))))</f>
        <v/>
      </c>
      <c r="AA222" s="12">
        <f>IF(Z222="","",INDEX('状态价值'!$D6:$K6,MATCH(Z222,'状态价值'!$D$1:$K$1,0)))</f>
        <v/>
      </c>
      <c r="AB222" s="15">
        <f>NORM.S.INV(RAND())</f>
        <v/>
      </c>
      <c r="AC222" s="15">
        <f>IF('组合输入'!$C7="","",'组合输入'!$H7*$B222+SQRT(1-'组合输入'!$H7^2)*AB222)</f>
        <v/>
      </c>
      <c r="AD222" s="7">
        <f>IF(AC222="","",NORM.S.DIST(AC222,TRUE))</f>
        <v/>
      </c>
      <c r="AE222" s="13">
        <f>IF(AD222="","",IF(AD222&lt;='组合输入'!$K7,"AAA",IF(AD222&lt;='组合输入'!$L7,"AA",IF(AD222&lt;='组合输入'!$M7,"A",IF(AD222&lt;='组合输入'!$N7,"BBB",IF(AD222&lt;='组合输入'!$O7,"BB",IF(AD222&lt;='组合输入'!$P7,"B",IF(AD222&lt;='组合输入'!$Q7,"CCC","D")))))))</f>
        <v/>
      </c>
      <c r="AF222" s="12">
        <f>IF(AE222="","",INDEX('状态价值'!$D7:$K7,MATCH(AE222,'状态价值'!$D$1:$K$1,0)))</f>
        <v/>
      </c>
      <c r="AG222" s="15">
        <f>NORM.S.INV(RAND())</f>
        <v/>
      </c>
      <c r="AH222" s="15">
        <f>IF('组合输入'!$C8="","",'组合输入'!$H8*$B222+SQRT(1-'组合输入'!$H8^2)*AG222)</f>
        <v/>
      </c>
      <c r="AI222" s="7">
        <f>IF(AH222="","",NORM.S.DIST(AH222,TRUE))</f>
        <v/>
      </c>
      <c r="AJ222" s="13">
        <f>IF(AI222="","",IF(AI222&lt;='组合输入'!$K8,"AAA",IF(AI222&lt;='组合输入'!$L8,"AA",IF(AI222&lt;='组合输入'!$M8,"A",IF(AI222&lt;='组合输入'!$N8,"BBB",IF(AI222&lt;='组合输入'!$O8,"BB",IF(AI222&lt;='组合输入'!$P8,"B",IF(AI222&lt;='组合输入'!$Q8,"CCC","D")))))))</f>
        <v/>
      </c>
      <c r="AK222" s="12">
        <f>IF(AJ222="","",INDEX('状态价值'!$D8:$K8,MATCH(AJ222,'状态价值'!$D$1:$K$1,0)))</f>
        <v/>
      </c>
      <c r="AL222" s="15">
        <f>NORM.S.INV(RAND())</f>
        <v/>
      </c>
      <c r="AM222" s="15">
        <f>IF('组合输入'!$C9="","",'组合输入'!$H9*$B222+SQRT(1-'组合输入'!$H9^2)*AL222)</f>
        <v/>
      </c>
      <c r="AN222" s="7">
        <f>IF(AM222="","",NORM.S.DIST(AM222,TRUE))</f>
        <v/>
      </c>
      <c r="AO222" s="13">
        <f>IF(AN222="","",IF(AN222&lt;='组合输入'!$K9,"AAA",IF(AN222&lt;='组合输入'!$L9,"AA",IF(AN222&lt;='组合输入'!$M9,"A",IF(AN222&lt;='组合输入'!$N9,"BBB",IF(AN222&lt;='组合输入'!$O9,"BB",IF(AN222&lt;='组合输入'!$P9,"B",IF(AN222&lt;='组合输入'!$Q9,"CCC","D")))))))</f>
        <v/>
      </c>
      <c r="AP222" s="12">
        <f>IF(AO222="","",INDEX('状态价值'!$D9:$K9,MATCH(AO222,'状态价值'!$D$1:$K$1,0)))</f>
        <v/>
      </c>
      <c r="AQ222" s="15">
        <f>NORM.S.INV(RAND())</f>
        <v/>
      </c>
      <c r="AR222" s="15">
        <f>IF('组合输入'!$C10="","",'组合输入'!$H10*$B222+SQRT(1-'组合输入'!$H10^2)*AQ222)</f>
        <v/>
      </c>
      <c r="AS222" s="7">
        <f>IF(AR222="","",NORM.S.DIST(AR222,TRUE))</f>
        <v/>
      </c>
      <c r="AT222" s="13">
        <f>IF(AS222="","",IF(AS222&lt;='组合输入'!$K10,"AAA",IF(AS222&lt;='组合输入'!$L10,"AA",IF(AS222&lt;='组合输入'!$M10,"A",IF(AS222&lt;='组合输入'!$N10,"BBB",IF(AS222&lt;='组合输入'!$O10,"BB",IF(AS222&lt;='组合输入'!$P10,"B",IF(AS222&lt;='组合输入'!$Q10,"CCC","D")))))))</f>
        <v/>
      </c>
      <c r="AU222" s="12">
        <f>IF(AT222="","",INDEX('状态价值'!$D10:$K10,MATCH(AT222,'状态价值'!$D$1:$K$1,0)))</f>
        <v/>
      </c>
      <c r="AV222" s="15">
        <f>NORM.S.INV(RAND())</f>
        <v/>
      </c>
      <c r="AW222" s="15">
        <f>IF('组合输入'!$C11="","",'组合输入'!$H11*$B222+SQRT(1-'组合输入'!$H11^2)*AV222)</f>
        <v/>
      </c>
      <c r="AX222" s="7">
        <f>IF(AW222="","",NORM.S.DIST(AW222,TRUE))</f>
        <v/>
      </c>
      <c r="AY222" s="13">
        <f>IF(AX222="","",IF(AX222&lt;='组合输入'!$K11,"AAA",IF(AX222&lt;='组合输入'!$L11,"AA",IF(AX222&lt;='组合输入'!$M11,"A",IF(AX222&lt;='组合输入'!$N11,"BBB",IF(AX222&lt;='组合输入'!$O11,"BB",IF(AX222&lt;='组合输入'!$P11,"B",IF(AX222&lt;='组合输入'!$Q11,"CCC","D")))))))</f>
        <v/>
      </c>
      <c r="AZ222" s="12">
        <f>IF(AY222="","",INDEX('状态价值'!$D11:$K11,MATCH(AY222,'状态价值'!$D$1:$K$1,0)))</f>
        <v/>
      </c>
      <c r="BA222" s="12">
        <f>G222+L222+Q222+V222+AA222+AF222+AK222+AP222+AU222+AZ222</f>
        <v/>
      </c>
      <c r="BB222" s="12">
        <f>SUM('组合输入'!$J$2:$J$11)-BA222</f>
        <v/>
      </c>
    </row>
    <row r="223">
      <c r="A223" s="11" t="n">
        <v>222</v>
      </c>
      <c r="B223" s="14">
        <f>NORM.S.INV(RAND())</f>
        <v/>
      </c>
      <c r="C223" s="14">
        <f>NORM.S.INV(RAND())</f>
        <v/>
      </c>
      <c r="D223" s="15">
        <f>IF('组合输入'!$C2="","",'组合输入'!$H2*$B223+SQRT(1-'组合输入'!$H2^2)*C223)</f>
        <v/>
      </c>
      <c r="E223" s="7">
        <f>IF(D223="","",NORM.S.DIST(D223,TRUE))</f>
        <v/>
      </c>
      <c r="F223" s="13">
        <f>IF(E223="","",IF(E223&lt;='组合输入'!$K2,"AAA",IF(E223&lt;='组合输入'!$L2,"AA",IF(E223&lt;='组合输入'!$M2,"A",IF(E223&lt;='组合输入'!$N2,"BBB",IF(E223&lt;='组合输入'!$O2,"BB",IF(E223&lt;='组合输入'!$P2,"B",IF(E223&lt;='组合输入'!$Q2,"CCC","D")))))))</f>
        <v/>
      </c>
      <c r="G223" s="12">
        <f>IF(F223="","",INDEX('状态价值'!$D2:$K2,MATCH(F223,'状态价值'!$D$1:$K$1,0)))</f>
        <v/>
      </c>
      <c r="H223" s="15">
        <f>NORM.S.INV(RAND())</f>
        <v/>
      </c>
      <c r="I223" s="15">
        <f>IF('组合输入'!$C3="","",'组合输入'!$H3*$B223+SQRT(1-'组合输入'!$H3^2)*H223)</f>
        <v/>
      </c>
      <c r="J223" s="7">
        <f>IF(I223="","",NORM.S.DIST(I223,TRUE))</f>
        <v/>
      </c>
      <c r="K223" s="13">
        <f>IF(J223="","",IF(J223&lt;='组合输入'!$K3,"AAA",IF(J223&lt;='组合输入'!$L3,"AA",IF(J223&lt;='组合输入'!$M3,"A",IF(J223&lt;='组合输入'!$N3,"BBB",IF(J223&lt;='组合输入'!$O3,"BB",IF(J223&lt;='组合输入'!$P3,"B",IF(J223&lt;='组合输入'!$Q3,"CCC","D")))))))</f>
        <v/>
      </c>
      <c r="L223" s="12">
        <f>IF(K223="","",INDEX('状态价值'!$D3:$K3,MATCH(K223,'状态价值'!$D$1:$K$1,0)))</f>
        <v/>
      </c>
      <c r="M223" s="15">
        <f>NORM.S.INV(RAND())</f>
        <v/>
      </c>
      <c r="N223" s="15">
        <f>IF('组合输入'!$C4="","",'组合输入'!$H4*$B223+SQRT(1-'组合输入'!$H4^2)*M223)</f>
        <v/>
      </c>
      <c r="O223" s="7">
        <f>IF(N223="","",NORM.S.DIST(N223,TRUE))</f>
        <v/>
      </c>
      <c r="P223" s="13">
        <f>IF(O223="","",IF(O223&lt;='组合输入'!$K4,"AAA",IF(O223&lt;='组合输入'!$L4,"AA",IF(O223&lt;='组合输入'!$M4,"A",IF(O223&lt;='组合输入'!$N4,"BBB",IF(O223&lt;='组合输入'!$O4,"BB",IF(O223&lt;='组合输入'!$P4,"B",IF(O223&lt;='组合输入'!$Q4,"CCC","D")))))))</f>
        <v/>
      </c>
      <c r="Q223" s="12">
        <f>IF(P223="","",INDEX('状态价值'!$D4:$K4,MATCH(P223,'状态价值'!$D$1:$K$1,0)))</f>
        <v/>
      </c>
      <c r="R223" s="15">
        <f>NORM.S.INV(RAND())</f>
        <v/>
      </c>
      <c r="S223" s="15">
        <f>IF('组合输入'!$C5="","",'组合输入'!$H5*$B223+SQRT(1-'组合输入'!$H5^2)*R223)</f>
        <v/>
      </c>
      <c r="T223" s="7">
        <f>IF(S223="","",NORM.S.DIST(S223,TRUE))</f>
        <v/>
      </c>
      <c r="U223" s="13">
        <f>IF(T223="","",IF(T223&lt;='组合输入'!$K5,"AAA",IF(T223&lt;='组合输入'!$L5,"AA",IF(T223&lt;='组合输入'!$M5,"A",IF(T223&lt;='组合输入'!$N5,"BBB",IF(T223&lt;='组合输入'!$O5,"BB",IF(T223&lt;='组合输入'!$P5,"B",IF(T223&lt;='组合输入'!$Q5,"CCC","D")))))))</f>
        <v/>
      </c>
      <c r="V223" s="12">
        <f>IF(U223="","",INDEX('状态价值'!$D5:$K5,MATCH(U223,'状态价值'!$D$1:$K$1,0)))</f>
        <v/>
      </c>
      <c r="W223" s="15">
        <f>NORM.S.INV(RAND())</f>
        <v/>
      </c>
      <c r="X223" s="15">
        <f>IF('组合输入'!$C6="","",'组合输入'!$H6*$B223+SQRT(1-'组合输入'!$H6^2)*W223)</f>
        <v/>
      </c>
      <c r="Y223" s="7">
        <f>IF(X223="","",NORM.S.DIST(X223,TRUE))</f>
        <v/>
      </c>
      <c r="Z223" s="13">
        <f>IF(Y223="","",IF(Y223&lt;='组合输入'!$K6,"AAA",IF(Y223&lt;='组合输入'!$L6,"AA",IF(Y223&lt;='组合输入'!$M6,"A",IF(Y223&lt;='组合输入'!$N6,"BBB",IF(Y223&lt;='组合输入'!$O6,"BB",IF(Y223&lt;='组合输入'!$P6,"B",IF(Y223&lt;='组合输入'!$Q6,"CCC","D")))))))</f>
        <v/>
      </c>
      <c r="AA223" s="12">
        <f>IF(Z223="","",INDEX('状态价值'!$D6:$K6,MATCH(Z223,'状态价值'!$D$1:$K$1,0)))</f>
        <v/>
      </c>
      <c r="AB223" s="15">
        <f>NORM.S.INV(RAND())</f>
        <v/>
      </c>
      <c r="AC223" s="15">
        <f>IF('组合输入'!$C7="","",'组合输入'!$H7*$B223+SQRT(1-'组合输入'!$H7^2)*AB223)</f>
        <v/>
      </c>
      <c r="AD223" s="7">
        <f>IF(AC223="","",NORM.S.DIST(AC223,TRUE))</f>
        <v/>
      </c>
      <c r="AE223" s="13">
        <f>IF(AD223="","",IF(AD223&lt;='组合输入'!$K7,"AAA",IF(AD223&lt;='组合输入'!$L7,"AA",IF(AD223&lt;='组合输入'!$M7,"A",IF(AD223&lt;='组合输入'!$N7,"BBB",IF(AD223&lt;='组合输入'!$O7,"BB",IF(AD223&lt;='组合输入'!$P7,"B",IF(AD223&lt;='组合输入'!$Q7,"CCC","D")))))))</f>
        <v/>
      </c>
      <c r="AF223" s="12">
        <f>IF(AE223="","",INDEX('状态价值'!$D7:$K7,MATCH(AE223,'状态价值'!$D$1:$K$1,0)))</f>
        <v/>
      </c>
      <c r="AG223" s="15">
        <f>NORM.S.INV(RAND())</f>
        <v/>
      </c>
      <c r="AH223" s="15">
        <f>IF('组合输入'!$C8="","",'组合输入'!$H8*$B223+SQRT(1-'组合输入'!$H8^2)*AG223)</f>
        <v/>
      </c>
      <c r="AI223" s="7">
        <f>IF(AH223="","",NORM.S.DIST(AH223,TRUE))</f>
        <v/>
      </c>
      <c r="AJ223" s="13">
        <f>IF(AI223="","",IF(AI223&lt;='组合输入'!$K8,"AAA",IF(AI223&lt;='组合输入'!$L8,"AA",IF(AI223&lt;='组合输入'!$M8,"A",IF(AI223&lt;='组合输入'!$N8,"BBB",IF(AI223&lt;='组合输入'!$O8,"BB",IF(AI223&lt;='组合输入'!$P8,"B",IF(AI223&lt;='组合输入'!$Q8,"CCC","D")))))))</f>
        <v/>
      </c>
      <c r="AK223" s="12">
        <f>IF(AJ223="","",INDEX('状态价值'!$D8:$K8,MATCH(AJ223,'状态价值'!$D$1:$K$1,0)))</f>
        <v/>
      </c>
      <c r="AL223" s="15">
        <f>NORM.S.INV(RAND())</f>
        <v/>
      </c>
      <c r="AM223" s="15">
        <f>IF('组合输入'!$C9="","",'组合输入'!$H9*$B223+SQRT(1-'组合输入'!$H9^2)*AL223)</f>
        <v/>
      </c>
      <c r="AN223" s="7">
        <f>IF(AM223="","",NORM.S.DIST(AM223,TRUE))</f>
        <v/>
      </c>
      <c r="AO223" s="13">
        <f>IF(AN223="","",IF(AN223&lt;='组合输入'!$K9,"AAA",IF(AN223&lt;='组合输入'!$L9,"AA",IF(AN223&lt;='组合输入'!$M9,"A",IF(AN223&lt;='组合输入'!$N9,"BBB",IF(AN223&lt;='组合输入'!$O9,"BB",IF(AN223&lt;='组合输入'!$P9,"B",IF(AN223&lt;='组合输入'!$Q9,"CCC","D")))))))</f>
        <v/>
      </c>
      <c r="AP223" s="12">
        <f>IF(AO223="","",INDEX('状态价值'!$D9:$K9,MATCH(AO223,'状态价值'!$D$1:$K$1,0)))</f>
        <v/>
      </c>
      <c r="AQ223" s="15">
        <f>NORM.S.INV(RAND())</f>
        <v/>
      </c>
      <c r="AR223" s="15">
        <f>IF('组合输入'!$C10="","",'组合输入'!$H10*$B223+SQRT(1-'组合输入'!$H10^2)*AQ223)</f>
        <v/>
      </c>
      <c r="AS223" s="7">
        <f>IF(AR223="","",NORM.S.DIST(AR223,TRUE))</f>
        <v/>
      </c>
      <c r="AT223" s="13">
        <f>IF(AS223="","",IF(AS223&lt;='组合输入'!$K10,"AAA",IF(AS223&lt;='组合输入'!$L10,"AA",IF(AS223&lt;='组合输入'!$M10,"A",IF(AS223&lt;='组合输入'!$N10,"BBB",IF(AS223&lt;='组合输入'!$O10,"BB",IF(AS223&lt;='组合输入'!$P10,"B",IF(AS223&lt;='组合输入'!$Q10,"CCC","D")))))))</f>
        <v/>
      </c>
      <c r="AU223" s="12">
        <f>IF(AT223="","",INDEX('状态价值'!$D10:$K10,MATCH(AT223,'状态价值'!$D$1:$K$1,0)))</f>
        <v/>
      </c>
      <c r="AV223" s="15">
        <f>NORM.S.INV(RAND())</f>
        <v/>
      </c>
      <c r="AW223" s="15">
        <f>IF('组合输入'!$C11="","",'组合输入'!$H11*$B223+SQRT(1-'组合输入'!$H11^2)*AV223)</f>
        <v/>
      </c>
      <c r="AX223" s="7">
        <f>IF(AW223="","",NORM.S.DIST(AW223,TRUE))</f>
        <v/>
      </c>
      <c r="AY223" s="13">
        <f>IF(AX223="","",IF(AX223&lt;='组合输入'!$K11,"AAA",IF(AX223&lt;='组合输入'!$L11,"AA",IF(AX223&lt;='组合输入'!$M11,"A",IF(AX223&lt;='组合输入'!$N11,"BBB",IF(AX223&lt;='组合输入'!$O11,"BB",IF(AX223&lt;='组合输入'!$P11,"B",IF(AX223&lt;='组合输入'!$Q11,"CCC","D")))))))</f>
        <v/>
      </c>
      <c r="AZ223" s="12">
        <f>IF(AY223="","",INDEX('状态价值'!$D11:$K11,MATCH(AY223,'状态价值'!$D$1:$K$1,0)))</f>
        <v/>
      </c>
      <c r="BA223" s="12">
        <f>G223+L223+Q223+V223+AA223+AF223+AK223+AP223+AU223+AZ223</f>
        <v/>
      </c>
      <c r="BB223" s="12">
        <f>SUM('组合输入'!$J$2:$J$11)-BA223</f>
        <v/>
      </c>
    </row>
    <row r="224">
      <c r="A224" s="11" t="n">
        <v>223</v>
      </c>
      <c r="B224" s="14">
        <f>NORM.S.INV(RAND())</f>
        <v/>
      </c>
      <c r="C224" s="14">
        <f>NORM.S.INV(RAND())</f>
        <v/>
      </c>
      <c r="D224" s="15">
        <f>IF('组合输入'!$C2="","",'组合输入'!$H2*$B224+SQRT(1-'组合输入'!$H2^2)*C224)</f>
        <v/>
      </c>
      <c r="E224" s="7">
        <f>IF(D224="","",NORM.S.DIST(D224,TRUE))</f>
        <v/>
      </c>
      <c r="F224" s="13">
        <f>IF(E224="","",IF(E224&lt;='组合输入'!$K2,"AAA",IF(E224&lt;='组合输入'!$L2,"AA",IF(E224&lt;='组合输入'!$M2,"A",IF(E224&lt;='组合输入'!$N2,"BBB",IF(E224&lt;='组合输入'!$O2,"BB",IF(E224&lt;='组合输入'!$P2,"B",IF(E224&lt;='组合输入'!$Q2,"CCC","D")))))))</f>
        <v/>
      </c>
      <c r="G224" s="12">
        <f>IF(F224="","",INDEX('状态价值'!$D2:$K2,MATCH(F224,'状态价值'!$D$1:$K$1,0)))</f>
        <v/>
      </c>
      <c r="H224" s="15">
        <f>NORM.S.INV(RAND())</f>
        <v/>
      </c>
      <c r="I224" s="15">
        <f>IF('组合输入'!$C3="","",'组合输入'!$H3*$B224+SQRT(1-'组合输入'!$H3^2)*H224)</f>
        <v/>
      </c>
      <c r="J224" s="7">
        <f>IF(I224="","",NORM.S.DIST(I224,TRUE))</f>
        <v/>
      </c>
      <c r="K224" s="13">
        <f>IF(J224="","",IF(J224&lt;='组合输入'!$K3,"AAA",IF(J224&lt;='组合输入'!$L3,"AA",IF(J224&lt;='组合输入'!$M3,"A",IF(J224&lt;='组合输入'!$N3,"BBB",IF(J224&lt;='组合输入'!$O3,"BB",IF(J224&lt;='组合输入'!$P3,"B",IF(J224&lt;='组合输入'!$Q3,"CCC","D")))))))</f>
        <v/>
      </c>
      <c r="L224" s="12">
        <f>IF(K224="","",INDEX('状态价值'!$D3:$K3,MATCH(K224,'状态价值'!$D$1:$K$1,0)))</f>
        <v/>
      </c>
      <c r="M224" s="15">
        <f>NORM.S.INV(RAND())</f>
        <v/>
      </c>
      <c r="N224" s="15">
        <f>IF('组合输入'!$C4="","",'组合输入'!$H4*$B224+SQRT(1-'组合输入'!$H4^2)*M224)</f>
        <v/>
      </c>
      <c r="O224" s="7">
        <f>IF(N224="","",NORM.S.DIST(N224,TRUE))</f>
        <v/>
      </c>
      <c r="P224" s="13">
        <f>IF(O224="","",IF(O224&lt;='组合输入'!$K4,"AAA",IF(O224&lt;='组合输入'!$L4,"AA",IF(O224&lt;='组合输入'!$M4,"A",IF(O224&lt;='组合输入'!$N4,"BBB",IF(O224&lt;='组合输入'!$O4,"BB",IF(O224&lt;='组合输入'!$P4,"B",IF(O224&lt;='组合输入'!$Q4,"CCC","D")))))))</f>
        <v/>
      </c>
      <c r="Q224" s="12">
        <f>IF(P224="","",INDEX('状态价值'!$D4:$K4,MATCH(P224,'状态价值'!$D$1:$K$1,0)))</f>
        <v/>
      </c>
      <c r="R224" s="15">
        <f>NORM.S.INV(RAND())</f>
        <v/>
      </c>
      <c r="S224" s="15">
        <f>IF('组合输入'!$C5="","",'组合输入'!$H5*$B224+SQRT(1-'组合输入'!$H5^2)*R224)</f>
        <v/>
      </c>
      <c r="T224" s="7">
        <f>IF(S224="","",NORM.S.DIST(S224,TRUE))</f>
        <v/>
      </c>
      <c r="U224" s="13">
        <f>IF(T224="","",IF(T224&lt;='组合输入'!$K5,"AAA",IF(T224&lt;='组合输入'!$L5,"AA",IF(T224&lt;='组合输入'!$M5,"A",IF(T224&lt;='组合输入'!$N5,"BBB",IF(T224&lt;='组合输入'!$O5,"BB",IF(T224&lt;='组合输入'!$P5,"B",IF(T224&lt;='组合输入'!$Q5,"CCC","D")))))))</f>
        <v/>
      </c>
      <c r="V224" s="12">
        <f>IF(U224="","",INDEX('状态价值'!$D5:$K5,MATCH(U224,'状态价值'!$D$1:$K$1,0)))</f>
        <v/>
      </c>
      <c r="W224" s="15">
        <f>NORM.S.INV(RAND())</f>
        <v/>
      </c>
      <c r="X224" s="15">
        <f>IF('组合输入'!$C6="","",'组合输入'!$H6*$B224+SQRT(1-'组合输入'!$H6^2)*W224)</f>
        <v/>
      </c>
      <c r="Y224" s="7">
        <f>IF(X224="","",NORM.S.DIST(X224,TRUE))</f>
        <v/>
      </c>
      <c r="Z224" s="13">
        <f>IF(Y224="","",IF(Y224&lt;='组合输入'!$K6,"AAA",IF(Y224&lt;='组合输入'!$L6,"AA",IF(Y224&lt;='组合输入'!$M6,"A",IF(Y224&lt;='组合输入'!$N6,"BBB",IF(Y224&lt;='组合输入'!$O6,"BB",IF(Y224&lt;='组合输入'!$P6,"B",IF(Y224&lt;='组合输入'!$Q6,"CCC","D")))))))</f>
        <v/>
      </c>
      <c r="AA224" s="12">
        <f>IF(Z224="","",INDEX('状态价值'!$D6:$K6,MATCH(Z224,'状态价值'!$D$1:$K$1,0)))</f>
        <v/>
      </c>
      <c r="AB224" s="15">
        <f>NORM.S.INV(RAND())</f>
        <v/>
      </c>
      <c r="AC224" s="15">
        <f>IF('组合输入'!$C7="","",'组合输入'!$H7*$B224+SQRT(1-'组合输入'!$H7^2)*AB224)</f>
        <v/>
      </c>
      <c r="AD224" s="7">
        <f>IF(AC224="","",NORM.S.DIST(AC224,TRUE))</f>
        <v/>
      </c>
      <c r="AE224" s="13">
        <f>IF(AD224="","",IF(AD224&lt;='组合输入'!$K7,"AAA",IF(AD224&lt;='组合输入'!$L7,"AA",IF(AD224&lt;='组合输入'!$M7,"A",IF(AD224&lt;='组合输入'!$N7,"BBB",IF(AD224&lt;='组合输入'!$O7,"BB",IF(AD224&lt;='组合输入'!$P7,"B",IF(AD224&lt;='组合输入'!$Q7,"CCC","D")))))))</f>
        <v/>
      </c>
      <c r="AF224" s="12">
        <f>IF(AE224="","",INDEX('状态价值'!$D7:$K7,MATCH(AE224,'状态价值'!$D$1:$K$1,0)))</f>
        <v/>
      </c>
      <c r="AG224" s="15">
        <f>NORM.S.INV(RAND())</f>
        <v/>
      </c>
      <c r="AH224" s="15">
        <f>IF('组合输入'!$C8="","",'组合输入'!$H8*$B224+SQRT(1-'组合输入'!$H8^2)*AG224)</f>
        <v/>
      </c>
      <c r="AI224" s="7">
        <f>IF(AH224="","",NORM.S.DIST(AH224,TRUE))</f>
        <v/>
      </c>
      <c r="AJ224" s="13">
        <f>IF(AI224="","",IF(AI224&lt;='组合输入'!$K8,"AAA",IF(AI224&lt;='组合输入'!$L8,"AA",IF(AI224&lt;='组合输入'!$M8,"A",IF(AI224&lt;='组合输入'!$N8,"BBB",IF(AI224&lt;='组合输入'!$O8,"BB",IF(AI224&lt;='组合输入'!$P8,"B",IF(AI224&lt;='组合输入'!$Q8,"CCC","D")))))))</f>
        <v/>
      </c>
      <c r="AK224" s="12">
        <f>IF(AJ224="","",INDEX('状态价值'!$D8:$K8,MATCH(AJ224,'状态价值'!$D$1:$K$1,0)))</f>
        <v/>
      </c>
      <c r="AL224" s="15">
        <f>NORM.S.INV(RAND())</f>
        <v/>
      </c>
      <c r="AM224" s="15">
        <f>IF('组合输入'!$C9="","",'组合输入'!$H9*$B224+SQRT(1-'组合输入'!$H9^2)*AL224)</f>
        <v/>
      </c>
      <c r="AN224" s="7">
        <f>IF(AM224="","",NORM.S.DIST(AM224,TRUE))</f>
        <v/>
      </c>
      <c r="AO224" s="13">
        <f>IF(AN224="","",IF(AN224&lt;='组合输入'!$K9,"AAA",IF(AN224&lt;='组合输入'!$L9,"AA",IF(AN224&lt;='组合输入'!$M9,"A",IF(AN224&lt;='组合输入'!$N9,"BBB",IF(AN224&lt;='组合输入'!$O9,"BB",IF(AN224&lt;='组合输入'!$P9,"B",IF(AN224&lt;='组合输入'!$Q9,"CCC","D")))))))</f>
        <v/>
      </c>
      <c r="AP224" s="12">
        <f>IF(AO224="","",INDEX('状态价值'!$D9:$K9,MATCH(AO224,'状态价值'!$D$1:$K$1,0)))</f>
        <v/>
      </c>
      <c r="AQ224" s="15">
        <f>NORM.S.INV(RAND())</f>
        <v/>
      </c>
      <c r="AR224" s="15">
        <f>IF('组合输入'!$C10="","",'组合输入'!$H10*$B224+SQRT(1-'组合输入'!$H10^2)*AQ224)</f>
        <v/>
      </c>
      <c r="AS224" s="7">
        <f>IF(AR224="","",NORM.S.DIST(AR224,TRUE))</f>
        <v/>
      </c>
      <c r="AT224" s="13">
        <f>IF(AS224="","",IF(AS224&lt;='组合输入'!$K10,"AAA",IF(AS224&lt;='组合输入'!$L10,"AA",IF(AS224&lt;='组合输入'!$M10,"A",IF(AS224&lt;='组合输入'!$N10,"BBB",IF(AS224&lt;='组合输入'!$O10,"BB",IF(AS224&lt;='组合输入'!$P10,"B",IF(AS224&lt;='组合输入'!$Q10,"CCC","D")))))))</f>
        <v/>
      </c>
      <c r="AU224" s="12">
        <f>IF(AT224="","",INDEX('状态价值'!$D10:$K10,MATCH(AT224,'状态价值'!$D$1:$K$1,0)))</f>
        <v/>
      </c>
      <c r="AV224" s="15">
        <f>NORM.S.INV(RAND())</f>
        <v/>
      </c>
      <c r="AW224" s="15">
        <f>IF('组合输入'!$C11="","",'组合输入'!$H11*$B224+SQRT(1-'组合输入'!$H11^2)*AV224)</f>
        <v/>
      </c>
      <c r="AX224" s="7">
        <f>IF(AW224="","",NORM.S.DIST(AW224,TRUE))</f>
        <v/>
      </c>
      <c r="AY224" s="13">
        <f>IF(AX224="","",IF(AX224&lt;='组合输入'!$K11,"AAA",IF(AX224&lt;='组合输入'!$L11,"AA",IF(AX224&lt;='组合输入'!$M11,"A",IF(AX224&lt;='组合输入'!$N11,"BBB",IF(AX224&lt;='组合输入'!$O11,"BB",IF(AX224&lt;='组合输入'!$P11,"B",IF(AX224&lt;='组合输入'!$Q11,"CCC","D")))))))</f>
        <v/>
      </c>
      <c r="AZ224" s="12">
        <f>IF(AY224="","",INDEX('状态价值'!$D11:$K11,MATCH(AY224,'状态价值'!$D$1:$K$1,0)))</f>
        <v/>
      </c>
      <c r="BA224" s="12">
        <f>G224+L224+Q224+V224+AA224+AF224+AK224+AP224+AU224+AZ224</f>
        <v/>
      </c>
      <c r="BB224" s="12">
        <f>SUM('组合输入'!$J$2:$J$11)-BA224</f>
        <v/>
      </c>
    </row>
    <row r="225">
      <c r="A225" s="11" t="n">
        <v>224</v>
      </c>
      <c r="B225" s="14">
        <f>NORM.S.INV(RAND())</f>
        <v/>
      </c>
      <c r="C225" s="14">
        <f>NORM.S.INV(RAND())</f>
        <v/>
      </c>
      <c r="D225" s="15">
        <f>IF('组合输入'!$C2="","",'组合输入'!$H2*$B225+SQRT(1-'组合输入'!$H2^2)*C225)</f>
        <v/>
      </c>
      <c r="E225" s="7">
        <f>IF(D225="","",NORM.S.DIST(D225,TRUE))</f>
        <v/>
      </c>
      <c r="F225" s="13">
        <f>IF(E225="","",IF(E225&lt;='组合输入'!$K2,"AAA",IF(E225&lt;='组合输入'!$L2,"AA",IF(E225&lt;='组合输入'!$M2,"A",IF(E225&lt;='组合输入'!$N2,"BBB",IF(E225&lt;='组合输入'!$O2,"BB",IF(E225&lt;='组合输入'!$P2,"B",IF(E225&lt;='组合输入'!$Q2,"CCC","D")))))))</f>
        <v/>
      </c>
      <c r="G225" s="12">
        <f>IF(F225="","",INDEX('状态价值'!$D2:$K2,MATCH(F225,'状态价值'!$D$1:$K$1,0)))</f>
        <v/>
      </c>
      <c r="H225" s="15">
        <f>NORM.S.INV(RAND())</f>
        <v/>
      </c>
      <c r="I225" s="15">
        <f>IF('组合输入'!$C3="","",'组合输入'!$H3*$B225+SQRT(1-'组合输入'!$H3^2)*H225)</f>
        <v/>
      </c>
      <c r="J225" s="7">
        <f>IF(I225="","",NORM.S.DIST(I225,TRUE))</f>
        <v/>
      </c>
      <c r="K225" s="13">
        <f>IF(J225="","",IF(J225&lt;='组合输入'!$K3,"AAA",IF(J225&lt;='组合输入'!$L3,"AA",IF(J225&lt;='组合输入'!$M3,"A",IF(J225&lt;='组合输入'!$N3,"BBB",IF(J225&lt;='组合输入'!$O3,"BB",IF(J225&lt;='组合输入'!$P3,"B",IF(J225&lt;='组合输入'!$Q3,"CCC","D")))))))</f>
        <v/>
      </c>
      <c r="L225" s="12">
        <f>IF(K225="","",INDEX('状态价值'!$D3:$K3,MATCH(K225,'状态价值'!$D$1:$K$1,0)))</f>
        <v/>
      </c>
      <c r="M225" s="15">
        <f>NORM.S.INV(RAND())</f>
        <v/>
      </c>
      <c r="N225" s="15">
        <f>IF('组合输入'!$C4="","",'组合输入'!$H4*$B225+SQRT(1-'组合输入'!$H4^2)*M225)</f>
        <v/>
      </c>
      <c r="O225" s="7">
        <f>IF(N225="","",NORM.S.DIST(N225,TRUE))</f>
        <v/>
      </c>
      <c r="P225" s="13">
        <f>IF(O225="","",IF(O225&lt;='组合输入'!$K4,"AAA",IF(O225&lt;='组合输入'!$L4,"AA",IF(O225&lt;='组合输入'!$M4,"A",IF(O225&lt;='组合输入'!$N4,"BBB",IF(O225&lt;='组合输入'!$O4,"BB",IF(O225&lt;='组合输入'!$P4,"B",IF(O225&lt;='组合输入'!$Q4,"CCC","D")))))))</f>
        <v/>
      </c>
      <c r="Q225" s="12">
        <f>IF(P225="","",INDEX('状态价值'!$D4:$K4,MATCH(P225,'状态价值'!$D$1:$K$1,0)))</f>
        <v/>
      </c>
      <c r="R225" s="15">
        <f>NORM.S.INV(RAND())</f>
        <v/>
      </c>
      <c r="S225" s="15">
        <f>IF('组合输入'!$C5="","",'组合输入'!$H5*$B225+SQRT(1-'组合输入'!$H5^2)*R225)</f>
        <v/>
      </c>
      <c r="T225" s="7">
        <f>IF(S225="","",NORM.S.DIST(S225,TRUE))</f>
        <v/>
      </c>
      <c r="U225" s="13">
        <f>IF(T225="","",IF(T225&lt;='组合输入'!$K5,"AAA",IF(T225&lt;='组合输入'!$L5,"AA",IF(T225&lt;='组合输入'!$M5,"A",IF(T225&lt;='组合输入'!$N5,"BBB",IF(T225&lt;='组合输入'!$O5,"BB",IF(T225&lt;='组合输入'!$P5,"B",IF(T225&lt;='组合输入'!$Q5,"CCC","D")))))))</f>
        <v/>
      </c>
      <c r="V225" s="12">
        <f>IF(U225="","",INDEX('状态价值'!$D5:$K5,MATCH(U225,'状态价值'!$D$1:$K$1,0)))</f>
        <v/>
      </c>
      <c r="W225" s="15">
        <f>NORM.S.INV(RAND())</f>
        <v/>
      </c>
      <c r="X225" s="15">
        <f>IF('组合输入'!$C6="","",'组合输入'!$H6*$B225+SQRT(1-'组合输入'!$H6^2)*W225)</f>
        <v/>
      </c>
      <c r="Y225" s="7">
        <f>IF(X225="","",NORM.S.DIST(X225,TRUE))</f>
        <v/>
      </c>
      <c r="Z225" s="13">
        <f>IF(Y225="","",IF(Y225&lt;='组合输入'!$K6,"AAA",IF(Y225&lt;='组合输入'!$L6,"AA",IF(Y225&lt;='组合输入'!$M6,"A",IF(Y225&lt;='组合输入'!$N6,"BBB",IF(Y225&lt;='组合输入'!$O6,"BB",IF(Y225&lt;='组合输入'!$P6,"B",IF(Y225&lt;='组合输入'!$Q6,"CCC","D")))))))</f>
        <v/>
      </c>
      <c r="AA225" s="12">
        <f>IF(Z225="","",INDEX('状态价值'!$D6:$K6,MATCH(Z225,'状态价值'!$D$1:$K$1,0)))</f>
        <v/>
      </c>
      <c r="AB225" s="15">
        <f>NORM.S.INV(RAND())</f>
        <v/>
      </c>
      <c r="AC225" s="15">
        <f>IF('组合输入'!$C7="","",'组合输入'!$H7*$B225+SQRT(1-'组合输入'!$H7^2)*AB225)</f>
        <v/>
      </c>
      <c r="AD225" s="7">
        <f>IF(AC225="","",NORM.S.DIST(AC225,TRUE))</f>
        <v/>
      </c>
      <c r="AE225" s="13">
        <f>IF(AD225="","",IF(AD225&lt;='组合输入'!$K7,"AAA",IF(AD225&lt;='组合输入'!$L7,"AA",IF(AD225&lt;='组合输入'!$M7,"A",IF(AD225&lt;='组合输入'!$N7,"BBB",IF(AD225&lt;='组合输入'!$O7,"BB",IF(AD225&lt;='组合输入'!$P7,"B",IF(AD225&lt;='组合输入'!$Q7,"CCC","D")))))))</f>
        <v/>
      </c>
      <c r="AF225" s="12">
        <f>IF(AE225="","",INDEX('状态价值'!$D7:$K7,MATCH(AE225,'状态价值'!$D$1:$K$1,0)))</f>
        <v/>
      </c>
      <c r="AG225" s="15">
        <f>NORM.S.INV(RAND())</f>
        <v/>
      </c>
      <c r="AH225" s="15">
        <f>IF('组合输入'!$C8="","",'组合输入'!$H8*$B225+SQRT(1-'组合输入'!$H8^2)*AG225)</f>
        <v/>
      </c>
      <c r="AI225" s="7">
        <f>IF(AH225="","",NORM.S.DIST(AH225,TRUE))</f>
        <v/>
      </c>
      <c r="AJ225" s="13">
        <f>IF(AI225="","",IF(AI225&lt;='组合输入'!$K8,"AAA",IF(AI225&lt;='组合输入'!$L8,"AA",IF(AI225&lt;='组合输入'!$M8,"A",IF(AI225&lt;='组合输入'!$N8,"BBB",IF(AI225&lt;='组合输入'!$O8,"BB",IF(AI225&lt;='组合输入'!$P8,"B",IF(AI225&lt;='组合输入'!$Q8,"CCC","D")))))))</f>
        <v/>
      </c>
      <c r="AK225" s="12">
        <f>IF(AJ225="","",INDEX('状态价值'!$D8:$K8,MATCH(AJ225,'状态价值'!$D$1:$K$1,0)))</f>
        <v/>
      </c>
      <c r="AL225" s="15">
        <f>NORM.S.INV(RAND())</f>
        <v/>
      </c>
      <c r="AM225" s="15">
        <f>IF('组合输入'!$C9="","",'组合输入'!$H9*$B225+SQRT(1-'组合输入'!$H9^2)*AL225)</f>
        <v/>
      </c>
      <c r="AN225" s="7">
        <f>IF(AM225="","",NORM.S.DIST(AM225,TRUE))</f>
        <v/>
      </c>
      <c r="AO225" s="13">
        <f>IF(AN225="","",IF(AN225&lt;='组合输入'!$K9,"AAA",IF(AN225&lt;='组合输入'!$L9,"AA",IF(AN225&lt;='组合输入'!$M9,"A",IF(AN225&lt;='组合输入'!$N9,"BBB",IF(AN225&lt;='组合输入'!$O9,"BB",IF(AN225&lt;='组合输入'!$P9,"B",IF(AN225&lt;='组合输入'!$Q9,"CCC","D")))))))</f>
        <v/>
      </c>
      <c r="AP225" s="12">
        <f>IF(AO225="","",INDEX('状态价值'!$D9:$K9,MATCH(AO225,'状态价值'!$D$1:$K$1,0)))</f>
        <v/>
      </c>
      <c r="AQ225" s="15">
        <f>NORM.S.INV(RAND())</f>
        <v/>
      </c>
      <c r="AR225" s="15">
        <f>IF('组合输入'!$C10="","",'组合输入'!$H10*$B225+SQRT(1-'组合输入'!$H10^2)*AQ225)</f>
        <v/>
      </c>
      <c r="AS225" s="7">
        <f>IF(AR225="","",NORM.S.DIST(AR225,TRUE))</f>
        <v/>
      </c>
      <c r="AT225" s="13">
        <f>IF(AS225="","",IF(AS225&lt;='组合输入'!$K10,"AAA",IF(AS225&lt;='组合输入'!$L10,"AA",IF(AS225&lt;='组合输入'!$M10,"A",IF(AS225&lt;='组合输入'!$N10,"BBB",IF(AS225&lt;='组合输入'!$O10,"BB",IF(AS225&lt;='组合输入'!$P10,"B",IF(AS225&lt;='组合输入'!$Q10,"CCC","D")))))))</f>
        <v/>
      </c>
      <c r="AU225" s="12">
        <f>IF(AT225="","",INDEX('状态价值'!$D10:$K10,MATCH(AT225,'状态价值'!$D$1:$K$1,0)))</f>
        <v/>
      </c>
      <c r="AV225" s="15">
        <f>NORM.S.INV(RAND())</f>
        <v/>
      </c>
      <c r="AW225" s="15">
        <f>IF('组合输入'!$C11="","",'组合输入'!$H11*$B225+SQRT(1-'组合输入'!$H11^2)*AV225)</f>
        <v/>
      </c>
      <c r="AX225" s="7">
        <f>IF(AW225="","",NORM.S.DIST(AW225,TRUE))</f>
        <v/>
      </c>
      <c r="AY225" s="13">
        <f>IF(AX225="","",IF(AX225&lt;='组合输入'!$K11,"AAA",IF(AX225&lt;='组合输入'!$L11,"AA",IF(AX225&lt;='组合输入'!$M11,"A",IF(AX225&lt;='组合输入'!$N11,"BBB",IF(AX225&lt;='组合输入'!$O11,"BB",IF(AX225&lt;='组合输入'!$P11,"B",IF(AX225&lt;='组合输入'!$Q11,"CCC","D")))))))</f>
        <v/>
      </c>
      <c r="AZ225" s="12">
        <f>IF(AY225="","",INDEX('状态价值'!$D11:$K11,MATCH(AY225,'状态价值'!$D$1:$K$1,0)))</f>
        <v/>
      </c>
      <c r="BA225" s="12">
        <f>G225+L225+Q225+V225+AA225+AF225+AK225+AP225+AU225+AZ225</f>
        <v/>
      </c>
      <c r="BB225" s="12">
        <f>SUM('组合输入'!$J$2:$J$11)-BA225</f>
        <v/>
      </c>
    </row>
    <row r="226">
      <c r="A226" s="11" t="n">
        <v>225</v>
      </c>
      <c r="B226" s="14">
        <f>NORM.S.INV(RAND())</f>
        <v/>
      </c>
      <c r="C226" s="14">
        <f>NORM.S.INV(RAND())</f>
        <v/>
      </c>
      <c r="D226" s="15">
        <f>IF('组合输入'!$C2="","",'组合输入'!$H2*$B226+SQRT(1-'组合输入'!$H2^2)*C226)</f>
        <v/>
      </c>
      <c r="E226" s="7">
        <f>IF(D226="","",NORM.S.DIST(D226,TRUE))</f>
        <v/>
      </c>
      <c r="F226" s="13">
        <f>IF(E226="","",IF(E226&lt;='组合输入'!$K2,"AAA",IF(E226&lt;='组合输入'!$L2,"AA",IF(E226&lt;='组合输入'!$M2,"A",IF(E226&lt;='组合输入'!$N2,"BBB",IF(E226&lt;='组合输入'!$O2,"BB",IF(E226&lt;='组合输入'!$P2,"B",IF(E226&lt;='组合输入'!$Q2,"CCC","D")))))))</f>
        <v/>
      </c>
      <c r="G226" s="12">
        <f>IF(F226="","",INDEX('状态价值'!$D2:$K2,MATCH(F226,'状态价值'!$D$1:$K$1,0)))</f>
        <v/>
      </c>
      <c r="H226" s="15">
        <f>NORM.S.INV(RAND())</f>
        <v/>
      </c>
      <c r="I226" s="15">
        <f>IF('组合输入'!$C3="","",'组合输入'!$H3*$B226+SQRT(1-'组合输入'!$H3^2)*H226)</f>
        <v/>
      </c>
      <c r="J226" s="7">
        <f>IF(I226="","",NORM.S.DIST(I226,TRUE))</f>
        <v/>
      </c>
      <c r="K226" s="13">
        <f>IF(J226="","",IF(J226&lt;='组合输入'!$K3,"AAA",IF(J226&lt;='组合输入'!$L3,"AA",IF(J226&lt;='组合输入'!$M3,"A",IF(J226&lt;='组合输入'!$N3,"BBB",IF(J226&lt;='组合输入'!$O3,"BB",IF(J226&lt;='组合输入'!$P3,"B",IF(J226&lt;='组合输入'!$Q3,"CCC","D")))))))</f>
        <v/>
      </c>
      <c r="L226" s="12">
        <f>IF(K226="","",INDEX('状态价值'!$D3:$K3,MATCH(K226,'状态价值'!$D$1:$K$1,0)))</f>
        <v/>
      </c>
      <c r="M226" s="15">
        <f>NORM.S.INV(RAND())</f>
        <v/>
      </c>
      <c r="N226" s="15">
        <f>IF('组合输入'!$C4="","",'组合输入'!$H4*$B226+SQRT(1-'组合输入'!$H4^2)*M226)</f>
        <v/>
      </c>
      <c r="O226" s="7">
        <f>IF(N226="","",NORM.S.DIST(N226,TRUE))</f>
        <v/>
      </c>
      <c r="P226" s="13">
        <f>IF(O226="","",IF(O226&lt;='组合输入'!$K4,"AAA",IF(O226&lt;='组合输入'!$L4,"AA",IF(O226&lt;='组合输入'!$M4,"A",IF(O226&lt;='组合输入'!$N4,"BBB",IF(O226&lt;='组合输入'!$O4,"BB",IF(O226&lt;='组合输入'!$P4,"B",IF(O226&lt;='组合输入'!$Q4,"CCC","D")))))))</f>
        <v/>
      </c>
      <c r="Q226" s="12">
        <f>IF(P226="","",INDEX('状态价值'!$D4:$K4,MATCH(P226,'状态价值'!$D$1:$K$1,0)))</f>
        <v/>
      </c>
      <c r="R226" s="15">
        <f>NORM.S.INV(RAND())</f>
        <v/>
      </c>
      <c r="S226" s="15">
        <f>IF('组合输入'!$C5="","",'组合输入'!$H5*$B226+SQRT(1-'组合输入'!$H5^2)*R226)</f>
        <v/>
      </c>
      <c r="T226" s="7">
        <f>IF(S226="","",NORM.S.DIST(S226,TRUE))</f>
        <v/>
      </c>
      <c r="U226" s="13">
        <f>IF(T226="","",IF(T226&lt;='组合输入'!$K5,"AAA",IF(T226&lt;='组合输入'!$L5,"AA",IF(T226&lt;='组合输入'!$M5,"A",IF(T226&lt;='组合输入'!$N5,"BBB",IF(T226&lt;='组合输入'!$O5,"BB",IF(T226&lt;='组合输入'!$P5,"B",IF(T226&lt;='组合输入'!$Q5,"CCC","D")))))))</f>
        <v/>
      </c>
      <c r="V226" s="12">
        <f>IF(U226="","",INDEX('状态价值'!$D5:$K5,MATCH(U226,'状态价值'!$D$1:$K$1,0)))</f>
        <v/>
      </c>
      <c r="W226" s="15">
        <f>NORM.S.INV(RAND())</f>
        <v/>
      </c>
      <c r="X226" s="15">
        <f>IF('组合输入'!$C6="","",'组合输入'!$H6*$B226+SQRT(1-'组合输入'!$H6^2)*W226)</f>
        <v/>
      </c>
      <c r="Y226" s="7">
        <f>IF(X226="","",NORM.S.DIST(X226,TRUE))</f>
        <v/>
      </c>
      <c r="Z226" s="13">
        <f>IF(Y226="","",IF(Y226&lt;='组合输入'!$K6,"AAA",IF(Y226&lt;='组合输入'!$L6,"AA",IF(Y226&lt;='组合输入'!$M6,"A",IF(Y226&lt;='组合输入'!$N6,"BBB",IF(Y226&lt;='组合输入'!$O6,"BB",IF(Y226&lt;='组合输入'!$P6,"B",IF(Y226&lt;='组合输入'!$Q6,"CCC","D")))))))</f>
        <v/>
      </c>
      <c r="AA226" s="12">
        <f>IF(Z226="","",INDEX('状态价值'!$D6:$K6,MATCH(Z226,'状态价值'!$D$1:$K$1,0)))</f>
        <v/>
      </c>
      <c r="AB226" s="15">
        <f>NORM.S.INV(RAND())</f>
        <v/>
      </c>
      <c r="AC226" s="15">
        <f>IF('组合输入'!$C7="","",'组合输入'!$H7*$B226+SQRT(1-'组合输入'!$H7^2)*AB226)</f>
        <v/>
      </c>
      <c r="AD226" s="7">
        <f>IF(AC226="","",NORM.S.DIST(AC226,TRUE))</f>
        <v/>
      </c>
      <c r="AE226" s="13">
        <f>IF(AD226="","",IF(AD226&lt;='组合输入'!$K7,"AAA",IF(AD226&lt;='组合输入'!$L7,"AA",IF(AD226&lt;='组合输入'!$M7,"A",IF(AD226&lt;='组合输入'!$N7,"BBB",IF(AD226&lt;='组合输入'!$O7,"BB",IF(AD226&lt;='组合输入'!$P7,"B",IF(AD226&lt;='组合输入'!$Q7,"CCC","D")))))))</f>
        <v/>
      </c>
      <c r="AF226" s="12">
        <f>IF(AE226="","",INDEX('状态价值'!$D7:$K7,MATCH(AE226,'状态价值'!$D$1:$K$1,0)))</f>
        <v/>
      </c>
      <c r="AG226" s="15">
        <f>NORM.S.INV(RAND())</f>
        <v/>
      </c>
      <c r="AH226" s="15">
        <f>IF('组合输入'!$C8="","",'组合输入'!$H8*$B226+SQRT(1-'组合输入'!$H8^2)*AG226)</f>
        <v/>
      </c>
      <c r="AI226" s="7">
        <f>IF(AH226="","",NORM.S.DIST(AH226,TRUE))</f>
        <v/>
      </c>
      <c r="AJ226" s="13">
        <f>IF(AI226="","",IF(AI226&lt;='组合输入'!$K8,"AAA",IF(AI226&lt;='组合输入'!$L8,"AA",IF(AI226&lt;='组合输入'!$M8,"A",IF(AI226&lt;='组合输入'!$N8,"BBB",IF(AI226&lt;='组合输入'!$O8,"BB",IF(AI226&lt;='组合输入'!$P8,"B",IF(AI226&lt;='组合输入'!$Q8,"CCC","D")))))))</f>
        <v/>
      </c>
      <c r="AK226" s="12">
        <f>IF(AJ226="","",INDEX('状态价值'!$D8:$K8,MATCH(AJ226,'状态价值'!$D$1:$K$1,0)))</f>
        <v/>
      </c>
      <c r="AL226" s="15">
        <f>NORM.S.INV(RAND())</f>
        <v/>
      </c>
      <c r="AM226" s="15">
        <f>IF('组合输入'!$C9="","",'组合输入'!$H9*$B226+SQRT(1-'组合输入'!$H9^2)*AL226)</f>
        <v/>
      </c>
      <c r="AN226" s="7">
        <f>IF(AM226="","",NORM.S.DIST(AM226,TRUE))</f>
        <v/>
      </c>
      <c r="AO226" s="13">
        <f>IF(AN226="","",IF(AN226&lt;='组合输入'!$K9,"AAA",IF(AN226&lt;='组合输入'!$L9,"AA",IF(AN226&lt;='组合输入'!$M9,"A",IF(AN226&lt;='组合输入'!$N9,"BBB",IF(AN226&lt;='组合输入'!$O9,"BB",IF(AN226&lt;='组合输入'!$P9,"B",IF(AN226&lt;='组合输入'!$Q9,"CCC","D")))))))</f>
        <v/>
      </c>
      <c r="AP226" s="12">
        <f>IF(AO226="","",INDEX('状态价值'!$D9:$K9,MATCH(AO226,'状态价值'!$D$1:$K$1,0)))</f>
        <v/>
      </c>
      <c r="AQ226" s="15">
        <f>NORM.S.INV(RAND())</f>
        <v/>
      </c>
      <c r="AR226" s="15">
        <f>IF('组合输入'!$C10="","",'组合输入'!$H10*$B226+SQRT(1-'组合输入'!$H10^2)*AQ226)</f>
        <v/>
      </c>
      <c r="AS226" s="7">
        <f>IF(AR226="","",NORM.S.DIST(AR226,TRUE))</f>
        <v/>
      </c>
      <c r="AT226" s="13">
        <f>IF(AS226="","",IF(AS226&lt;='组合输入'!$K10,"AAA",IF(AS226&lt;='组合输入'!$L10,"AA",IF(AS226&lt;='组合输入'!$M10,"A",IF(AS226&lt;='组合输入'!$N10,"BBB",IF(AS226&lt;='组合输入'!$O10,"BB",IF(AS226&lt;='组合输入'!$P10,"B",IF(AS226&lt;='组合输入'!$Q10,"CCC","D")))))))</f>
        <v/>
      </c>
      <c r="AU226" s="12">
        <f>IF(AT226="","",INDEX('状态价值'!$D10:$K10,MATCH(AT226,'状态价值'!$D$1:$K$1,0)))</f>
        <v/>
      </c>
      <c r="AV226" s="15">
        <f>NORM.S.INV(RAND())</f>
        <v/>
      </c>
      <c r="AW226" s="15">
        <f>IF('组合输入'!$C11="","",'组合输入'!$H11*$B226+SQRT(1-'组合输入'!$H11^2)*AV226)</f>
        <v/>
      </c>
      <c r="AX226" s="7">
        <f>IF(AW226="","",NORM.S.DIST(AW226,TRUE))</f>
        <v/>
      </c>
      <c r="AY226" s="13">
        <f>IF(AX226="","",IF(AX226&lt;='组合输入'!$K11,"AAA",IF(AX226&lt;='组合输入'!$L11,"AA",IF(AX226&lt;='组合输入'!$M11,"A",IF(AX226&lt;='组合输入'!$N11,"BBB",IF(AX226&lt;='组合输入'!$O11,"BB",IF(AX226&lt;='组合输入'!$P11,"B",IF(AX226&lt;='组合输入'!$Q11,"CCC","D")))))))</f>
        <v/>
      </c>
      <c r="AZ226" s="12">
        <f>IF(AY226="","",INDEX('状态价值'!$D11:$K11,MATCH(AY226,'状态价值'!$D$1:$K$1,0)))</f>
        <v/>
      </c>
      <c r="BA226" s="12">
        <f>G226+L226+Q226+V226+AA226+AF226+AK226+AP226+AU226+AZ226</f>
        <v/>
      </c>
      <c r="BB226" s="12">
        <f>SUM('组合输入'!$J$2:$J$11)-BA226</f>
        <v/>
      </c>
    </row>
    <row r="227">
      <c r="A227" s="11" t="n">
        <v>226</v>
      </c>
      <c r="B227" s="14">
        <f>NORM.S.INV(RAND())</f>
        <v/>
      </c>
      <c r="C227" s="14">
        <f>NORM.S.INV(RAND())</f>
        <v/>
      </c>
      <c r="D227" s="15">
        <f>IF('组合输入'!$C2="","",'组合输入'!$H2*$B227+SQRT(1-'组合输入'!$H2^2)*C227)</f>
        <v/>
      </c>
      <c r="E227" s="7">
        <f>IF(D227="","",NORM.S.DIST(D227,TRUE))</f>
        <v/>
      </c>
      <c r="F227" s="13">
        <f>IF(E227="","",IF(E227&lt;='组合输入'!$K2,"AAA",IF(E227&lt;='组合输入'!$L2,"AA",IF(E227&lt;='组合输入'!$M2,"A",IF(E227&lt;='组合输入'!$N2,"BBB",IF(E227&lt;='组合输入'!$O2,"BB",IF(E227&lt;='组合输入'!$P2,"B",IF(E227&lt;='组合输入'!$Q2,"CCC","D")))))))</f>
        <v/>
      </c>
      <c r="G227" s="12">
        <f>IF(F227="","",INDEX('状态价值'!$D2:$K2,MATCH(F227,'状态价值'!$D$1:$K$1,0)))</f>
        <v/>
      </c>
      <c r="H227" s="15">
        <f>NORM.S.INV(RAND())</f>
        <v/>
      </c>
      <c r="I227" s="15">
        <f>IF('组合输入'!$C3="","",'组合输入'!$H3*$B227+SQRT(1-'组合输入'!$H3^2)*H227)</f>
        <v/>
      </c>
      <c r="J227" s="7">
        <f>IF(I227="","",NORM.S.DIST(I227,TRUE))</f>
        <v/>
      </c>
      <c r="K227" s="13">
        <f>IF(J227="","",IF(J227&lt;='组合输入'!$K3,"AAA",IF(J227&lt;='组合输入'!$L3,"AA",IF(J227&lt;='组合输入'!$M3,"A",IF(J227&lt;='组合输入'!$N3,"BBB",IF(J227&lt;='组合输入'!$O3,"BB",IF(J227&lt;='组合输入'!$P3,"B",IF(J227&lt;='组合输入'!$Q3,"CCC","D")))))))</f>
        <v/>
      </c>
      <c r="L227" s="12">
        <f>IF(K227="","",INDEX('状态价值'!$D3:$K3,MATCH(K227,'状态价值'!$D$1:$K$1,0)))</f>
        <v/>
      </c>
      <c r="M227" s="15">
        <f>NORM.S.INV(RAND())</f>
        <v/>
      </c>
      <c r="N227" s="15">
        <f>IF('组合输入'!$C4="","",'组合输入'!$H4*$B227+SQRT(1-'组合输入'!$H4^2)*M227)</f>
        <v/>
      </c>
      <c r="O227" s="7">
        <f>IF(N227="","",NORM.S.DIST(N227,TRUE))</f>
        <v/>
      </c>
      <c r="P227" s="13">
        <f>IF(O227="","",IF(O227&lt;='组合输入'!$K4,"AAA",IF(O227&lt;='组合输入'!$L4,"AA",IF(O227&lt;='组合输入'!$M4,"A",IF(O227&lt;='组合输入'!$N4,"BBB",IF(O227&lt;='组合输入'!$O4,"BB",IF(O227&lt;='组合输入'!$P4,"B",IF(O227&lt;='组合输入'!$Q4,"CCC","D")))))))</f>
        <v/>
      </c>
      <c r="Q227" s="12">
        <f>IF(P227="","",INDEX('状态价值'!$D4:$K4,MATCH(P227,'状态价值'!$D$1:$K$1,0)))</f>
        <v/>
      </c>
      <c r="R227" s="15">
        <f>NORM.S.INV(RAND())</f>
        <v/>
      </c>
      <c r="S227" s="15">
        <f>IF('组合输入'!$C5="","",'组合输入'!$H5*$B227+SQRT(1-'组合输入'!$H5^2)*R227)</f>
        <v/>
      </c>
      <c r="T227" s="7">
        <f>IF(S227="","",NORM.S.DIST(S227,TRUE))</f>
        <v/>
      </c>
      <c r="U227" s="13">
        <f>IF(T227="","",IF(T227&lt;='组合输入'!$K5,"AAA",IF(T227&lt;='组合输入'!$L5,"AA",IF(T227&lt;='组合输入'!$M5,"A",IF(T227&lt;='组合输入'!$N5,"BBB",IF(T227&lt;='组合输入'!$O5,"BB",IF(T227&lt;='组合输入'!$P5,"B",IF(T227&lt;='组合输入'!$Q5,"CCC","D")))))))</f>
        <v/>
      </c>
      <c r="V227" s="12">
        <f>IF(U227="","",INDEX('状态价值'!$D5:$K5,MATCH(U227,'状态价值'!$D$1:$K$1,0)))</f>
        <v/>
      </c>
      <c r="W227" s="15">
        <f>NORM.S.INV(RAND())</f>
        <v/>
      </c>
      <c r="X227" s="15">
        <f>IF('组合输入'!$C6="","",'组合输入'!$H6*$B227+SQRT(1-'组合输入'!$H6^2)*W227)</f>
        <v/>
      </c>
      <c r="Y227" s="7">
        <f>IF(X227="","",NORM.S.DIST(X227,TRUE))</f>
        <v/>
      </c>
      <c r="Z227" s="13">
        <f>IF(Y227="","",IF(Y227&lt;='组合输入'!$K6,"AAA",IF(Y227&lt;='组合输入'!$L6,"AA",IF(Y227&lt;='组合输入'!$M6,"A",IF(Y227&lt;='组合输入'!$N6,"BBB",IF(Y227&lt;='组合输入'!$O6,"BB",IF(Y227&lt;='组合输入'!$P6,"B",IF(Y227&lt;='组合输入'!$Q6,"CCC","D")))))))</f>
        <v/>
      </c>
      <c r="AA227" s="12">
        <f>IF(Z227="","",INDEX('状态价值'!$D6:$K6,MATCH(Z227,'状态价值'!$D$1:$K$1,0)))</f>
        <v/>
      </c>
      <c r="AB227" s="15">
        <f>NORM.S.INV(RAND())</f>
        <v/>
      </c>
      <c r="AC227" s="15">
        <f>IF('组合输入'!$C7="","",'组合输入'!$H7*$B227+SQRT(1-'组合输入'!$H7^2)*AB227)</f>
        <v/>
      </c>
      <c r="AD227" s="7">
        <f>IF(AC227="","",NORM.S.DIST(AC227,TRUE))</f>
        <v/>
      </c>
      <c r="AE227" s="13">
        <f>IF(AD227="","",IF(AD227&lt;='组合输入'!$K7,"AAA",IF(AD227&lt;='组合输入'!$L7,"AA",IF(AD227&lt;='组合输入'!$M7,"A",IF(AD227&lt;='组合输入'!$N7,"BBB",IF(AD227&lt;='组合输入'!$O7,"BB",IF(AD227&lt;='组合输入'!$P7,"B",IF(AD227&lt;='组合输入'!$Q7,"CCC","D")))))))</f>
        <v/>
      </c>
      <c r="AF227" s="12">
        <f>IF(AE227="","",INDEX('状态价值'!$D7:$K7,MATCH(AE227,'状态价值'!$D$1:$K$1,0)))</f>
        <v/>
      </c>
      <c r="AG227" s="15">
        <f>NORM.S.INV(RAND())</f>
        <v/>
      </c>
      <c r="AH227" s="15">
        <f>IF('组合输入'!$C8="","",'组合输入'!$H8*$B227+SQRT(1-'组合输入'!$H8^2)*AG227)</f>
        <v/>
      </c>
      <c r="AI227" s="7">
        <f>IF(AH227="","",NORM.S.DIST(AH227,TRUE))</f>
        <v/>
      </c>
      <c r="AJ227" s="13">
        <f>IF(AI227="","",IF(AI227&lt;='组合输入'!$K8,"AAA",IF(AI227&lt;='组合输入'!$L8,"AA",IF(AI227&lt;='组合输入'!$M8,"A",IF(AI227&lt;='组合输入'!$N8,"BBB",IF(AI227&lt;='组合输入'!$O8,"BB",IF(AI227&lt;='组合输入'!$P8,"B",IF(AI227&lt;='组合输入'!$Q8,"CCC","D")))))))</f>
        <v/>
      </c>
      <c r="AK227" s="12">
        <f>IF(AJ227="","",INDEX('状态价值'!$D8:$K8,MATCH(AJ227,'状态价值'!$D$1:$K$1,0)))</f>
        <v/>
      </c>
      <c r="AL227" s="15">
        <f>NORM.S.INV(RAND())</f>
        <v/>
      </c>
      <c r="AM227" s="15">
        <f>IF('组合输入'!$C9="","",'组合输入'!$H9*$B227+SQRT(1-'组合输入'!$H9^2)*AL227)</f>
        <v/>
      </c>
      <c r="AN227" s="7">
        <f>IF(AM227="","",NORM.S.DIST(AM227,TRUE))</f>
        <v/>
      </c>
      <c r="AO227" s="13">
        <f>IF(AN227="","",IF(AN227&lt;='组合输入'!$K9,"AAA",IF(AN227&lt;='组合输入'!$L9,"AA",IF(AN227&lt;='组合输入'!$M9,"A",IF(AN227&lt;='组合输入'!$N9,"BBB",IF(AN227&lt;='组合输入'!$O9,"BB",IF(AN227&lt;='组合输入'!$P9,"B",IF(AN227&lt;='组合输入'!$Q9,"CCC","D")))))))</f>
        <v/>
      </c>
      <c r="AP227" s="12">
        <f>IF(AO227="","",INDEX('状态价值'!$D9:$K9,MATCH(AO227,'状态价值'!$D$1:$K$1,0)))</f>
        <v/>
      </c>
      <c r="AQ227" s="15">
        <f>NORM.S.INV(RAND())</f>
        <v/>
      </c>
      <c r="AR227" s="15">
        <f>IF('组合输入'!$C10="","",'组合输入'!$H10*$B227+SQRT(1-'组合输入'!$H10^2)*AQ227)</f>
        <v/>
      </c>
      <c r="AS227" s="7">
        <f>IF(AR227="","",NORM.S.DIST(AR227,TRUE))</f>
        <v/>
      </c>
      <c r="AT227" s="13">
        <f>IF(AS227="","",IF(AS227&lt;='组合输入'!$K10,"AAA",IF(AS227&lt;='组合输入'!$L10,"AA",IF(AS227&lt;='组合输入'!$M10,"A",IF(AS227&lt;='组合输入'!$N10,"BBB",IF(AS227&lt;='组合输入'!$O10,"BB",IF(AS227&lt;='组合输入'!$P10,"B",IF(AS227&lt;='组合输入'!$Q10,"CCC","D")))))))</f>
        <v/>
      </c>
      <c r="AU227" s="12">
        <f>IF(AT227="","",INDEX('状态价值'!$D10:$K10,MATCH(AT227,'状态价值'!$D$1:$K$1,0)))</f>
        <v/>
      </c>
      <c r="AV227" s="15">
        <f>NORM.S.INV(RAND())</f>
        <v/>
      </c>
      <c r="AW227" s="15">
        <f>IF('组合输入'!$C11="","",'组合输入'!$H11*$B227+SQRT(1-'组合输入'!$H11^2)*AV227)</f>
        <v/>
      </c>
      <c r="AX227" s="7">
        <f>IF(AW227="","",NORM.S.DIST(AW227,TRUE))</f>
        <v/>
      </c>
      <c r="AY227" s="13">
        <f>IF(AX227="","",IF(AX227&lt;='组合输入'!$K11,"AAA",IF(AX227&lt;='组合输入'!$L11,"AA",IF(AX227&lt;='组合输入'!$M11,"A",IF(AX227&lt;='组合输入'!$N11,"BBB",IF(AX227&lt;='组合输入'!$O11,"BB",IF(AX227&lt;='组合输入'!$P11,"B",IF(AX227&lt;='组合输入'!$Q11,"CCC","D")))))))</f>
        <v/>
      </c>
      <c r="AZ227" s="12">
        <f>IF(AY227="","",INDEX('状态价值'!$D11:$K11,MATCH(AY227,'状态价值'!$D$1:$K$1,0)))</f>
        <v/>
      </c>
      <c r="BA227" s="12">
        <f>G227+L227+Q227+V227+AA227+AF227+AK227+AP227+AU227+AZ227</f>
        <v/>
      </c>
      <c r="BB227" s="12">
        <f>SUM('组合输入'!$J$2:$J$11)-BA227</f>
        <v/>
      </c>
    </row>
    <row r="228">
      <c r="A228" s="11" t="n">
        <v>227</v>
      </c>
      <c r="B228" s="14">
        <f>NORM.S.INV(RAND())</f>
        <v/>
      </c>
      <c r="C228" s="14">
        <f>NORM.S.INV(RAND())</f>
        <v/>
      </c>
      <c r="D228" s="15">
        <f>IF('组合输入'!$C2="","",'组合输入'!$H2*$B228+SQRT(1-'组合输入'!$H2^2)*C228)</f>
        <v/>
      </c>
      <c r="E228" s="7">
        <f>IF(D228="","",NORM.S.DIST(D228,TRUE))</f>
        <v/>
      </c>
      <c r="F228" s="13">
        <f>IF(E228="","",IF(E228&lt;='组合输入'!$K2,"AAA",IF(E228&lt;='组合输入'!$L2,"AA",IF(E228&lt;='组合输入'!$M2,"A",IF(E228&lt;='组合输入'!$N2,"BBB",IF(E228&lt;='组合输入'!$O2,"BB",IF(E228&lt;='组合输入'!$P2,"B",IF(E228&lt;='组合输入'!$Q2,"CCC","D")))))))</f>
        <v/>
      </c>
      <c r="G228" s="12">
        <f>IF(F228="","",INDEX('状态价值'!$D2:$K2,MATCH(F228,'状态价值'!$D$1:$K$1,0)))</f>
        <v/>
      </c>
      <c r="H228" s="15">
        <f>NORM.S.INV(RAND())</f>
        <v/>
      </c>
      <c r="I228" s="15">
        <f>IF('组合输入'!$C3="","",'组合输入'!$H3*$B228+SQRT(1-'组合输入'!$H3^2)*H228)</f>
        <v/>
      </c>
      <c r="J228" s="7">
        <f>IF(I228="","",NORM.S.DIST(I228,TRUE))</f>
        <v/>
      </c>
      <c r="K228" s="13">
        <f>IF(J228="","",IF(J228&lt;='组合输入'!$K3,"AAA",IF(J228&lt;='组合输入'!$L3,"AA",IF(J228&lt;='组合输入'!$M3,"A",IF(J228&lt;='组合输入'!$N3,"BBB",IF(J228&lt;='组合输入'!$O3,"BB",IF(J228&lt;='组合输入'!$P3,"B",IF(J228&lt;='组合输入'!$Q3,"CCC","D")))))))</f>
        <v/>
      </c>
      <c r="L228" s="12">
        <f>IF(K228="","",INDEX('状态价值'!$D3:$K3,MATCH(K228,'状态价值'!$D$1:$K$1,0)))</f>
        <v/>
      </c>
      <c r="M228" s="15">
        <f>NORM.S.INV(RAND())</f>
        <v/>
      </c>
      <c r="N228" s="15">
        <f>IF('组合输入'!$C4="","",'组合输入'!$H4*$B228+SQRT(1-'组合输入'!$H4^2)*M228)</f>
        <v/>
      </c>
      <c r="O228" s="7">
        <f>IF(N228="","",NORM.S.DIST(N228,TRUE))</f>
        <v/>
      </c>
      <c r="P228" s="13">
        <f>IF(O228="","",IF(O228&lt;='组合输入'!$K4,"AAA",IF(O228&lt;='组合输入'!$L4,"AA",IF(O228&lt;='组合输入'!$M4,"A",IF(O228&lt;='组合输入'!$N4,"BBB",IF(O228&lt;='组合输入'!$O4,"BB",IF(O228&lt;='组合输入'!$P4,"B",IF(O228&lt;='组合输入'!$Q4,"CCC","D")))))))</f>
        <v/>
      </c>
      <c r="Q228" s="12">
        <f>IF(P228="","",INDEX('状态价值'!$D4:$K4,MATCH(P228,'状态价值'!$D$1:$K$1,0)))</f>
        <v/>
      </c>
      <c r="R228" s="15">
        <f>NORM.S.INV(RAND())</f>
        <v/>
      </c>
      <c r="S228" s="15">
        <f>IF('组合输入'!$C5="","",'组合输入'!$H5*$B228+SQRT(1-'组合输入'!$H5^2)*R228)</f>
        <v/>
      </c>
      <c r="T228" s="7">
        <f>IF(S228="","",NORM.S.DIST(S228,TRUE))</f>
        <v/>
      </c>
      <c r="U228" s="13">
        <f>IF(T228="","",IF(T228&lt;='组合输入'!$K5,"AAA",IF(T228&lt;='组合输入'!$L5,"AA",IF(T228&lt;='组合输入'!$M5,"A",IF(T228&lt;='组合输入'!$N5,"BBB",IF(T228&lt;='组合输入'!$O5,"BB",IF(T228&lt;='组合输入'!$P5,"B",IF(T228&lt;='组合输入'!$Q5,"CCC","D")))))))</f>
        <v/>
      </c>
      <c r="V228" s="12">
        <f>IF(U228="","",INDEX('状态价值'!$D5:$K5,MATCH(U228,'状态价值'!$D$1:$K$1,0)))</f>
        <v/>
      </c>
      <c r="W228" s="15">
        <f>NORM.S.INV(RAND())</f>
        <v/>
      </c>
      <c r="X228" s="15">
        <f>IF('组合输入'!$C6="","",'组合输入'!$H6*$B228+SQRT(1-'组合输入'!$H6^2)*W228)</f>
        <v/>
      </c>
      <c r="Y228" s="7">
        <f>IF(X228="","",NORM.S.DIST(X228,TRUE))</f>
        <v/>
      </c>
      <c r="Z228" s="13">
        <f>IF(Y228="","",IF(Y228&lt;='组合输入'!$K6,"AAA",IF(Y228&lt;='组合输入'!$L6,"AA",IF(Y228&lt;='组合输入'!$M6,"A",IF(Y228&lt;='组合输入'!$N6,"BBB",IF(Y228&lt;='组合输入'!$O6,"BB",IF(Y228&lt;='组合输入'!$P6,"B",IF(Y228&lt;='组合输入'!$Q6,"CCC","D")))))))</f>
        <v/>
      </c>
      <c r="AA228" s="12">
        <f>IF(Z228="","",INDEX('状态价值'!$D6:$K6,MATCH(Z228,'状态价值'!$D$1:$K$1,0)))</f>
        <v/>
      </c>
      <c r="AB228" s="15">
        <f>NORM.S.INV(RAND())</f>
        <v/>
      </c>
      <c r="AC228" s="15">
        <f>IF('组合输入'!$C7="","",'组合输入'!$H7*$B228+SQRT(1-'组合输入'!$H7^2)*AB228)</f>
        <v/>
      </c>
      <c r="AD228" s="7">
        <f>IF(AC228="","",NORM.S.DIST(AC228,TRUE))</f>
        <v/>
      </c>
      <c r="AE228" s="13">
        <f>IF(AD228="","",IF(AD228&lt;='组合输入'!$K7,"AAA",IF(AD228&lt;='组合输入'!$L7,"AA",IF(AD228&lt;='组合输入'!$M7,"A",IF(AD228&lt;='组合输入'!$N7,"BBB",IF(AD228&lt;='组合输入'!$O7,"BB",IF(AD228&lt;='组合输入'!$P7,"B",IF(AD228&lt;='组合输入'!$Q7,"CCC","D")))))))</f>
        <v/>
      </c>
      <c r="AF228" s="12">
        <f>IF(AE228="","",INDEX('状态价值'!$D7:$K7,MATCH(AE228,'状态价值'!$D$1:$K$1,0)))</f>
        <v/>
      </c>
      <c r="AG228" s="15">
        <f>NORM.S.INV(RAND())</f>
        <v/>
      </c>
      <c r="AH228" s="15">
        <f>IF('组合输入'!$C8="","",'组合输入'!$H8*$B228+SQRT(1-'组合输入'!$H8^2)*AG228)</f>
        <v/>
      </c>
      <c r="AI228" s="7">
        <f>IF(AH228="","",NORM.S.DIST(AH228,TRUE))</f>
        <v/>
      </c>
      <c r="AJ228" s="13">
        <f>IF(AI228="","",IF(AI228&lt;='组合输入'!$K8,"AAA",IF(AI228&lt;='组合输入'!$L8,"AA",IF(AI228&lt;='组合输入'!$M8,"A",IF(AI228&lt;='组合输入'!$N8,"BBB",IF(AI228&lt;='组合输入'!$O8,"BB",IF(AI228&lt;='组合输入'!$P8,"B",IF(AI228&lt;='组合输入'!$Q8,"CCC","D")))))))</f>
        <v/>
      </c>
      <c r="AK228" s="12">
        <f>IF(AJ228="","",INDEX('状态价值'!$D8:$K8,MATCH(AJ228,'状态价值'!$D$1:$K$1,0)))</f>
        <v/>
      </c>
      <c r="AL228" s="15">
        <f>NORM.S.INV(RAND())</f>
        <v/>
      </c>
      <c r="AM228" s="15">
        <f>IF('组合输入'!$C9="","",'组合输入'!$H9*$B228+SQRT(1-'组合输入'!$H9^2)*AL228)</f>
        <v/>
      </c>
      <c r="AN228" s="7">
        <f>IF(AM228="","",NORM.S.DIST(AM228,TRUE))</f>
        <v/>
      </c>
      <c r="AO228" s="13">
        <f>IF(AN228="","",IF(AN228&lt;='组合输入'!$K9,"AAA",IF(AN228&lt;='组合输入'!$L9,"AA",IF(AN228&lt;='组合输入'!$M9,"A",IF(AN228&lt;='组合输入'!$N9,"BBB",IF(AN228&lt;='组合输入'!$O9,"BB",IF(AN228&lt;='组合输入'!$P9,"B",IF(AN228&lt;='组合输入'!$Q9,"CCC","D")))))))</f>
        <v/>
      </c>
      <c r="AP228" s="12">
        <f>IF(AO228="","",INDEX('状态价值'!$D9:$K9,MATCH(AO228,'状态价值'!$D$1:$K$1,0)))</f>
        <v/>
      </c>
      <c r="AQ228" s="15">
        <f>NORM.S.INV(RAND())</f>
        <v/>
      </c>
      <c r="AR228" s="15">
        <f>IF('组合输入'!$C10="","",'组合输入'!$H10*$B228+SQRT(1-'组合输入'!$H10^2)*AQ228)</f>
        <v/>
      </c>
      <c r="AS228" s="7">
        <f>IF(AR228="","",NORM.S.DIST(AR228,TRUE))</f>
        <v/>
      </c>
      <c r="AT228" s="13">
        <f>IF(AS228="","",IF(AS228&lt;='组合输入'!$K10,"AAA",IF(AS228&lt;='组合输入'!$L10,"AA",IF(AS228&lt;='组合输入'!$M10,"A",IF(AS228&lt;='组合输入'!$N10,"BBB",IF(AS228&lt;='组合输入'!$O10,"BB",IF(AS228&lt;='组合输入'!$P10,"B",IF(AS228&lt;='组合输入'!$Q10,"CCC","D")))))))</f>
        <v/>
      </c>
      <c r="AU228" s="12">
        <f>IF(AT228="","",INDEX('状态价值'!$D10:$K10,MATCH(AT228,'状态价值'!$D$1:$K$1,0)))</f>
        <v/>
      </c>
      <c r="AV228" s="15">
        <f>NORM.S.INV(RAND())</f>
        <v/>
      </c>
      <c r="AW228" s="15">
        <f>IF('组合输入'!$C11="","",'组合输入'!$H11*$B228+SQRT(1-'组合输入'!$H11^2)*AV228)</f>
        <v/>
      </c>
      <c r="AX228" s="7">
        <f>IF(AW228="","",NORM.S.DIST(AW228,TRUE))</f>
        <v/>
      </c>
      <c r="AY228" s="13">
        <f>IF(AX228="","",IF(AX228&lt;='组合输入'!$K11,"AAA",IF(AX228&lt;='组合输入'!$L11,"AA",IF(AX228&lt;='组合输入'!$M11,"A",IF(AX228&lt;='组合输入'!$N11,"BBB",IF(AX228&lt;='组合输入'!$O11,"BB",IF(AX228&lt;='组合输入'!$P11,"B",IF(AX228&lt;='组合输入'!$Q11,"CCC","D")))))))</f>
        <v/>
      </c>
      <c r="AZ228" s="12">
        <f>IF(AY228="","",INDEX('状态价值'!$D11:$K11,MATCH(AY228,'状态价值'!$D$1:$K$1,0)))</f>
        <v/>
      </c>
      <c r="BA228" s="12">
        <f>G228+L228+Q228+V228+AA228+AF228+AK228+AP228+AU228+AZ228</f>
        <v/>
      </c>
      <c r="BB228" s="12">
        <f>SUM('组合输入'!$J$2:$J$11)-BA228</f>
        <v/>
      </c>
    </row>
    <row r="229">
      <c r="A229" s="11" t="n">
        <v>228</v>
      </c>
      <c r="B229" s="14">
        <f>NORM.S.INV(RAND())</f>
        <v/>
      </c>
      <c r="C229" s="14">
        <f>NORM.S.INV(RAND())</f>
        <v/>
      </c>
      <c r="D229" s="15">
        <f>IF('组合输入'!$C2="","",'组合输入'!$H2*$B229+SQRT(1-'组合输入'!$H2^2)*C229)</f>
        <v/>
      </c>
      <c r="E229" s="7">
        <f>IF(D229="","",NORM.S.DIST(D229,TRUE))</f>
        <v/>
      </c>
      <c r="F229" s="13">
        <f>IF(E229="","",IF(E229&lt;='组合输入'!$K2,"AAA",IF(E229&lt;='组合输入'!$L2,"AA",IF(E229&lt;='组合输入'!$M2,"A",IF(E229&lt;='组合输入'!$N2,"BBB",IF(E229&lt;='组合输入'!$O2,"BB",IF(E229&lt;='组合输入'!$P2,"B",IF(E229&lt;='组合输入'!$Q2,"CCC","D")))))))</f>
        <v/>
      </c>
      <c r="G229" s="12">
        <f>IF(F229="","",INDEX('状态价值'!$D2:$K2,MATCH(F229,'状态价值'!$D$1:$K$1,0)))</f>
        <v/>
      </c>
      <c r="H229" s="15">
        <f>NORM.S.INV(RAND())</f>
        <v/>
      </c>
      <c r="I229" s="15">
        <f>IF('组合输入'!$C3="","",'组合输入'!$H3*$B229+SQRT(1-'组合输入'!$H3^2)*H229)</f>
        <v/>
      </c>
      <c r="J229" s="7">
        <f>IF(I229="","",NORM.S.DIST(I229,TRUE))</f>
        <v/>
      </c>
      <c r="K229" s="13">
        <f>IF(J229="","",IF(J229&lt;='组合输入'!$K3,"AAA",IF(J229&lt;='组合输入'!$L3,"AA",IF(J229&lt;='组合输入'!$M3,"A",IF(J229&lt;='组合输入'!$N3,"BBB",IF(J229&lt;='组合输入'!$O3,"BB",IF(J229&lt;='组合输入'!$P3,"B",IF(J229&lt;='组合输入'!$Q3,"CCC","D")))))))</f>
        <v/>
      </c>
      <c r="L229" s="12">
        <f>IF(K229="","",INDEX('状态价值'!$D3:$K3,MATCH(K229,'状态价值'!$D$1:$K$1,0)))</f>
        <v/>
      </c>
      <c r="M229" s="15">
        <f>NORM.S.INV(RAND())</f>
        <v/>
      </c>
      <c r="N229" s="15">
        <f>IF('组合输入'!$C4="","",'组合输入'!$H4*$B229+SQRT(1-'组合输入'!$H4^2)*M229)</f>
        <v/>
      </c>
      <c r="O229" s="7">
        <f>IF(N229="","",NORM.S.DIST(N229,TRUE))</f>
        <v/>
      </c>
      <c r="P229" s="13">
        <f>IF(O229="","",IF(O229&lt;='组合输入'!$K4,"AAA",IF(O229&lt;='组合输入'!$L4,"AA",IF(O229&lt;='组合输入'!$M4,"A",IF(O229&lt;='组合输入'!$N4,"BBB",IF(O229&lt;='组合输入'!$O4,"BB",IF(O229&lt;='组合输入'!$P4,"B",IF(O229&lt;='组合输入'!$Q4,"CCC","D")))))))</f>
        <v/>
      </c>
      <c r="Q229" s="12">
        <f>IF(P229="","",INDEX('状态价值'!$D4:$K4,MATCH(P229,'状态价值'!$D$1:$K$1,0)))</f>
        <v/>
      </c>
      <c r="R229" s="15">
        <f>NORM.S.INV(RAND())</f>
        <v/>
      </c>
      <c r="S229" s="15">
        <f>IF('组合输入'!$C5="","",'组合输入'!$H5*$B229+SQRT(1-'组合输入'!$H5^2)*R229)</f>
        <v/>
      </c>
      <c r="T229" s="7">
        <f>IF(S229="","",NORM.S.DIST(S229,TRUE))</f>
        <v/>
      </c>
      <c r="U229" s="13">
        <f>IF(T229="","",IF(T229&lt;='组合输入'!$K5,"AAA",IF(T229&lt;='组合输入'!$L5,"AA",IF(T229&lt;='组合输入'!$M5,"A",IF(T229&lt;='组合输入'!$N5,"BBB",IF(T229&lt;='组合输入'!$O5,"BB",IF(T229&lt;='组合输入'!$P5,"B",IF(T229&lt;='组合输入'!$Q5,"CCC","D")))))))</f>
        <v/>
      </c>
      <c r="V229" s="12">
        <f>IF(U229="","",INDEX('状态价值'!$D5:$K5,MATCH(U229,'状态价值'!$D$1:$K$1,0)))</f>
        <v/>
      </c>
      <c r="W229" s="15">
        <f>NORM.S.INV(RAND())</f>
        <v/>
      </c>
      <c r="X229" s="15">
        <f>IF('组合输入'!$C6="","",'组合输入'!$H6*$B229+SQRT(1-'组合输入'!$H6^2)*W229)</f>
        <v/>
      </c>
      <c r="Y229" s="7">
        <f>IF(X229="","",NORM.S.DIST(X229,TRUE))</f>
        <v/>
      </c>
      <c r="Z229" s="13">
        <f>IF(Y229="","",IF(Y229&lt;='组合输入'!$K6,"AAA",IF(Y229&lt;='组合输入'!$L6,"AA",IF(Y229&lt;='组合输入'!$M6,"A",IF(Y229&lt;='组合输入'!$N6,"BBB",IF(Y229&lt;='组合输入'!$O6,"BB",IF(Y229&lt;='组合输入'!$P6,"B",IF(Y229&lt;='组合输入'!$Q6,"CCC","D")))))))</f>
        <v/>
      </c>
      <c r="AA229" s="12">
        <f>IF(Z229="","",INDEX('状态价值'!$D6:$K6,MATCH(Z229,'状态价值'!$D$1:$K$1,0)))</f>
        <v/>
      </c>
      <c r="AB229" s="15">
        <f>NORM.S.INV(RAND())</f>
        <v/>
      </c>
      <c r="AC229" s="15">
        <f>IF('组合输入'!$C7="","",'组合输入'!$H7*$B229+SQRT(1-'组合输入'!$H7^2)*AB229)</f>
        <v/>
      </c>
      <c r="AD229" s="7">
        <f>IF(AC229="","",NORM.S.DIST(AC229,TRUE))</f>
        <v/>
      </c>
      <c r="AE229" s="13">
        <f>IF(AD229="","",IF(AD229&lt;='组合输入'!$K7,"AAA",IF(AD229&lt;='组合输入'!$L7,"AA",IF(AD229&lt;='组合输入'!$M7,"A",IF(AD229&lt;='组合输入'!$N7,"BBB",IF(AD229&lt;='组合输入'!$O7,"BB",IF(AD229&lt;='组合输入'!$P7,"B",IF(AD229&lt;='组合输入'!$Q7,"CCC","D")))))))</f>
        <v/>
      </c>
      <c r="AF229" s="12">
        <f>IF(AE229="","",INDEX('状态价值'!$D7:$K7,MATCH(AE229,'状态价值'!$D$1:$K$1,0)))</f>
        <v/>
      </c>
      <c r="AG229" s="15">
        <f>NORM.S.INV(RAND())</f>
        <v/>
      </c>
      <c r="AH229" s="15">
        <f>IF('组合输入'!$C8="","",'组合输入'!$H8*$B229+SQRT(1-'组合输入'!$H8^2)*AG229)</f>
        <v/>
      </c>
      <c r="AI229" s="7">
        <f>IF(AH229="","",NORM.S.DIST(AH229,TRUE))</f>
        <v/>
      </c>
      <c r="AJ229" s="13">
        <f>IF(AI229="","",IF(AI229&lt;='组合输入'!$K8,"AAA",IF(AI229&lt;='组合输入'!$L8,"AA",IF(AI229&lt;='组合输入'!$M8,"A",IF(AI229&lt;='组合输入'!$N8,"BBB",IF(AI229&lt;='组合输入'!$O8,"BB",IF(AI229&lt;='组合输入'!$P8,"B",IF(AI229&lt;='组合输入'!$Q8,"CCC","D")))))))</f>
        <v/>
      </c>
      <c r="AK229" s="12">
        <f>IF(AJ229="","",INDEX('状态价值'!$D8:$K8,MATCH(AJ229,'状态价值'!$D$1:$K$1,0)))</f>
        <v/>
      </c>
      <c r="AL229" s="15">
        <f>NORM.S.INV(RAND())</f>
        <v/>
      </c>
      <c r="AM229" s="15">
        <f>IF('组合输入'!$C9="","",'组合输入'!$H9*$B229+SQRT(1-'组合输入'!$H9^2)*AL229)</f>
        <v/>
      </c>
      <c r="AN229" s="7">
        <f>IF(AM229="","",NORM.S.DIST(AM229,TRUE))</f>
        <v/>
      </c>
      <c r="AO229" s="13">
        <f>IF(AN229="","",IF(AN229&lt;='组合输入'!$K9,"AAA",IF(AN229&lt;='组合输入'!$L9,"AA",IF(AN229&lt;='组合输入'!$M9,"A",IF(AN229&lt;='组合输入'!$N9,"BBB",IF(AN229&lt;='组合输入'!$O9,"BB",IF(AN229&lt;='组合输入'!$P9,"B",IF(AN229&lt;='组合输入'!$Q9,"CCC","D")))))))</f>
        <v/>
      </c>
      <c r="AP229" s="12">
        <f>IF(AO229="","",INDEX('状态价值'!$D9:$K9,MATCH(AO229,'状态价值'!$D$1:$K$1,0)))</f>
        <v/>
      </c>
      <c r="AQ229" s="15">
        <f>NORM.S.INV(RAND())</f>
        <v/>
      </c>
      <c r="AR229" s="15">
        <f>IF('组合输入'!$C10="","",'组合输入'!$H10*$B229+SQRT(1-'组合输入'!$H10^2)*AQ229)</f>
        <v/>
      </c>
      <c r="AS229" s="7">
        <f>IF(AR229="","",NORM.S.DIST(AR229,TRUE))</f>
        <v/>
      </c>
      <c r="AT229" s="13">
        <f>IF(AS229="","",IF(AS229&lt;='组合输入'!$K10,"AAA",IF(AS229&lt;='组合输入'!$L10,"AA",IF(AS229&lt;='组合输入'!$M10,"A",IF(AS229&lt;='组合输入'!$N10,"BBB",IF(AS229&lt;='组合输入'!$O10,"BB",IF(AS229&lt;='组合输入'!$P10,"B",IF(AS229&lt;='组合输入'!$Q10,"CCC","D")))))))</f>
        <v/>
      </c>
      <c r="AU229" s="12">
        <f>IF(AT229="","",INDEX('状态价值'!$D10:$K10,MATCH(AT229,'状态价值'!$D$1:$K$1,0)))</f>
        <v/>
      </c>
      <c r="AV229" s="15">
        <f>NORM.S.INV(RAND())</f>
        <v/>
      </c>
      <c r="AW229" s="15">
        <f>IF('组合输入'!$C11="","",'组合输入'!$H11*$B229+SQRT(1-'组合输入'!$H11^2)*AV229)</f>
        <v/>
      </c>
      <c r="AX229" s="7">
        <f>IF(AW229="","",NORM.S.DIST(AW229,TRUE))</f>
        <v/>
      </c>
      <c r="AY229" s="13">
        <f>IF(AX229="","",IF(AX229&lt;='组合输入'!$K11,"AAA",IF(AX229&lt;='组合输入'!$L11,"AA",IF(AX229&lt;='组合输入'!$M11,"A",IF(AX229&lt;='组合输入'!$N11,"BBB",IF(AX229&lt;='组合输入'!$O11,"BB",IF(AX229&lt;='组合输入'!$P11,"B",IF(AX229&lt;='组合输入'!$Q11,"CCC","D")))))))</f>
        <v/>
      </c>
      <c r="AZ229" s="12">
        <f>IF(AY229="","",INDEX('状态价值'!$D11:$K11,MATCH(AY229,'状态价值'!$D$1:$K$1,0)))</f>
        <v/>
      </c>
      <c r="BA229" s="12">
        <f>G229+L229+Q229+V229+AA229+AF229+AK229+AP229+AU229+AZ229</f>
        <v/>
      </c>
      <c r="BB229" s="12">
        <f>SUM('组合输入'!$J$2:$J$11)-BA229</f>
        <v/>
      </c>
    </row>
    <row r="230">
      <c r="A230" s="11" t="n">
        <v>229</v>
      </c>
      <c r="B230" s="14">
        <f>NORM.S.INV(RAND())</f>
        <v/>
      </c>
      <c r="C230" s="14">
        <f>NORM.S.INV(RAND())</f>
        <v/>
      </c>
      <c r="D230" s="15">
        <f>IF('组合输入'!$C2="","",'组合输入'!$H2*$B230+SQRT(1-'组合输入'!$H2^2)*C230)</f>
        <v/>
      </c>
      <c r="E230" s="7">
        <f>IF(D230="","",NORM.S.DIST(D230,TRUE))</f>
        <v/>
      </c>
      <c r="F230" s="13">
        <f>IF(E230="","",IF(E230&lt;='组合输入'!$K2,"AAA",IF(E230&lt;='组合输入'!$L2,"AA",IF(E230&lt;='组合输入'!$M2,"A",IF(E230&lt;='组合输入'!$N2,"BBB",IF(E230&lt;='组合输入'!$O2,"BB",IF(E230&lt;='组合输入'!$P2,"B",IF(E230&lt;='组合输入'!$Q2,"CCC","D")))))))</f>
        <v/>
      </c>
      <c r="G230" s="12">
        <f>IF(F230="","",INDEX('状态价值'!$D2:$K2,MATCH(F230,'状态价值'!$D$1:$K$1,0)))</f>
        <v/>
      </c>
      <c r="H230" s="15">
        <f>NORM.S.INV(RAND())</f>
        <v/>
      </c>
      <c r="I230" s="15">
        <f>IF('组合输入'!$C3="","",'组合输入'!$H3*$B230+SQRT(1-'组合输入'!$H3^2)*H230)</f>
        <v/>
      </c>
      <c r="J230" s="7">
        <f>IF(I230="","",NORM.S.DIST(I230,TRUE))</f>
        <v/>
      </c>
      <c r="K230" s="13">
        <f>IF(J230="","",IF(J230&lt;='组合输入'!$K3,"AAA",IF(J230&lt;='组合输入'!$L3,"AA",IF(J230&lt;='组合输入'!$M3,"A",IF(J230&lt;='组合输入'!$N3,"BBB",IF(J230&lt;='组合输入'!$O3,"BB",IF(J230&lt;='组合输入'!$P3,"B",IF(J230&lt;='组合输入'!$Q3,"CCC","D")))))))</f>
        <v/>
      </c>
      <c r="L230" s="12">
        <f>IF(K230="","",INDEX('状态价值'!$D3:$K3,MATCH(K230,'状态价值'!$D$1:$K$1,0)))</f>
        <v/>
      </c>
      <c r="M230" s="15">
        <f>NORM.S.INV(RAND())</f>
        <v/>
      </c>
      <c r="N230" s="15">
        <f>IF('组合输入'!$C4="","",'组合输入'!$H4*$B230+SQRT(1-'组合输入'!$H4^2)*M230)</f>
        <v/>
      </c>
      <c r="O230" s="7">
        <f>IF(N230="","",NORM.S.DIST(N230,TRUE))</f>
        <v/>
      </c>
      <c r="P230" s="13">
        <f>IF(O230="","",IF(O230&lt;='组合输入'!$K4,"AAA",IF(O230&lt;='组合输入'!$L4,"AA",IF(O230&lt;='组合输入'!$M4,"A",IF(O230&lt;='组合输入'!$N4,"BBB",IF(O230&lt;='组合输入'!$O4,"BB",IF(O230&lt;='组合输入'!$P4,"B",IF(O230&lt;='组合输入'!$Q4,"CCC","D")))))))</f>
        <v/>
      </c>
      <c r="Q230" s="12">
        <f>IF(P230="","",INDEX('状态价值'!$D4:$K4,MATCH(P230,'状态价值'!$D$1:$K$1,0)))</f>
        <v/>
      </c>
      <c r="R230" s="15">
        <f>NORM.S.INV(RAND())</f>
        <v/>
      </c>
      <c r="S230" s="15">
        <f>IF('组合输入'!$C5="","",'组合输入'!$H5*$B230+SQRT(1-'组合输入'!$H5^2)*R230)</f>
        <v/>
      </c>
      <c r="T230" s="7">
        <f>IF(S230="","",NORM.S.DIST(S230,TRUE))</f>
        <v/>
      </c>
      <c r="U230" s="13">
        <f>IF(T230="","",IF(T230&lt;='组合输入'!$K5,"AAA",IF(T230&lt;='组合输入'!$L5,"AA",IF(T230&lt;='组合输入'!$M5,"A",IF(T230&lt;='组合输入'!$N5,"BBB",IF(T230&lt;='组合输入'!$O5,"BB",IF(T230&lt;='组合输入'!$P5,"B",IF(T230&lt;='组合输入'!$Q5,"CCC","D")))))))</f>
        <v/>
      </c>
      <c r="V230" s="12">
        <f>IF(U230="","",INDEX('状态价值'!$D5:$K5,MATCH(U230,'状态价值'!$D$1:$K$1,0)))</f>
        <v/>
      </c>
      <c r="W230" s="15">
        <f>NORM.S.INV(RAND())</f>
        <v/>
      </c>
      <c r="X230" s="15">
        <f>IF('组合输入'!$C6="","",'组合输入'!$H6*$B230+SQRT(1-'组合输入'!$H6^2)*W230)</f>
        <v/>
      </c>
      <c r="Y230" s="7">
        <f>IF(X230="","",NORM.S.DIST(X230,TRUE))</f>
        <v/>
      </c>
      <c r="Z230" s="13">
        <f>IF(Y230="","",IF(Y230&lt;='组合输入'!$K6,"AAA",IF(Y230&lt;='组合输入'!$L6,"AA",IF(Y230&lt;='组合输入'!$M6,"A",IF(Y230&lt;='组合输入'!$N6,"BBB",IF(Y230&lt;='组合输入'!$O6,"BB",IF(Y230&lt;='组合输入'!$P6,"B",IF(Y230&lt;='组合输入'!$Q6,"CCC","D")))))))</f>
        <v/>
      </c>
      <c r="AA230" s="12">
        <f>IF(Z230="","",INDEX('状态价值'!$D6:$K6,MATCH(Z230,'状态价值'!$D$1:$K$1,0)))</f>
        <v/>
      </c>
      <c r="AB230" s="15">
        <f>NORM.S.INV(RAND())</f>
        <v/>
      </c>
      <c r="AC230" s="15">
        <f>IF('组合输入'!$C7="","",'组合输入'!$H7*$B230+SQRT(1-'组合输入'!$H7^2)*AB230)</f>
        <v/>
      </c>
      <c r="AD230" s="7">
        <f>IF(AC230="","",NORM.S.DIST(AC230,TRUE))</f>
        <v/>
      </c>
      <c r="AE230" s="13">
        <f>IF(AD230="","",IF(AD230&lt;='组合输入'!$K7,"AAA",IF(AD230&lt;='组合输入'!$L7,"AA",IF(AD230&lt;='组合输入'!$M7,"A",IF(AD230&lt;='组合输入'!$N7,"BBB",IF(AD230&lt;='组合输入'!$O7,"BB",IF(AD230&lt;='组合输入'!$P7,"B",IF(AD230&lt;='组合输入'!$Q7,"CCC","D")))))))</f>
        <v/>
      </c>
      <c r="AF230" s="12">
        <f>IF(AE230="","",INDEX('状态价值'!$D7:$K7,MATCH(AE230,'状态价值'!$D$1:$K$1,0)))</f>
        <v/>
      </c>
      <c r="AG230" s="15">
        <f>NORM.S.INV(RAND())</f>
        <v/>
      </c>
      <c r="AH230" s="15">
        <f>IF('组合输入'!$C8="","",'组合输入'!$H8*$B230+SQRT(1-'组合输入'!$H8^2)*AG230)</f>
        <v/>
      </c>
      <c r="AI230" s="7">
        <f>IF(AH230="","",NORM.S.DIST(AH230,TRUE))</f>
        <v/>
      </c>
      <c r="AJ230" s="13">
        <f>IF(AI230="","",IF(AI230&lt;='组合输入'!$K8,"AAA",IF(AI230&lt;='组合输入'!$L8,"AA",IF(AI230&lt;='组合输入'!$M8,"A",IF(AI230&lt;='组合输入'!$N8,"BBB",IF(AI230&lt;='组合输入'!$O8,"BB",IF(AI230&lt;='组合输入'!$P8,"B",IF(AI230&lt;='组合输入'!$Q8,"CCC","D")))))))</f>
        <v/>
      </c>
      <c r="AK230" s="12">
        <f>IF(AJ230="","",INDEX('状态价值'!$D8:$K8,MATCH(AJ230,'状态价值'!$D$1:$K$1,0)))</f>
        <v/>
      </c>
      <c r="AL230" s="15">
        <f>NORM.S.INV(RAND())</f>
        <v/>
      </c>
      <c r="AM230" s="15">
        <f>IF('组合输入'!$C9="","",'组合输入'!$H9*$B230+SQRT(1-'组合输入'!$H9^2)*AL230)</f>
        <v/>
      </c>
      <c r="AN230" s="7">
        <f>IF(AM230="","",NORM.S.DIST(AM230,TRUE))</f>
        <v/>
      </c>
      <c r="AO230" s="13">
        <f>IF(AN230="","",IF(AN230&lt;='组合输入'!$K9,"AAA",IF(AN230&lt;='组合输入'!$L9,"AA",IF(AN230&lt;='组合输入'!$M9,"A",IF(AN230&lt;='组合输入'!$N9,"BBB",IF(AN230&lt;='组合输入'!$O9,"BB",IF(AN230&lt;='组合输入'!$P9,"B",IF(AN230&lt;='组合输入'!$Q9,"CCC","D")))))))</f>
        <v/>
      </c>
      <c r="AP230" s="12">
        <f>IF(AO230="","",INDEX('状态价值'!$D9:$K9,MATCH(AO230,'状态价值'!$D$1:$K$1,0)))</f>
        <v/>
      </c>
      <c r="AQ230" s="15">
        <f>NORM.S.INV(RAND())</f>
        <v/>
      </c>
      <c r="AR230" s="15">
        <f>IF('组合输入'!$C10="","",'组合输入'!$H10*$B230+SQRT(1-'组合输入'!$H10^2)*AQ230)</f>
        <v/>
      </c>
      <c r="AS230" s="7">
        <f>IF(AR230="","",NORM.S.DIST(AR230,TRUE))</f>
        <v/>
      </c>
      <c r="AT230" s="13">
        <f>IF(AS230="","",IF(AS230&lt;='组合输入'!$K10,"AAA",IF(AS230&lt;='组合输入'!$L10,"AA",IF(AS230&lt;='组合输入'!$M10,"A",IF(AS230&lt;='组合输入'!$N10,"BBB",IF(AS230&lt;='组合输入'!$O10,"BB",IF(AS230&lt;='组合输入'!$P10,"B",IF(AS230&lt;='组合输入'!$Q10,"CCC","D")))))))</f>
        <v/>
      </c>
      <c r="AU230" s="12">
        <f>IF(AT230="","",INDEX('状态价值'!$D10:$K10,MATCH(AT230,'状态价值'!$D$1:$K$1,0)))</f>
        <v/>
      </c>
      <c r="AV230" s="15">
        <f>NORM.S.INV(RAND())</f>
        <v/>
      </c>
      <c r="AW230" s="15">
        <f>IF('组合输入'!$C11="","",'组合输入'!$H11*$B230+SQRT(1-'组合输入'!$H11^2)*AV230)</f>
        <v/>
      </c>
      <c r="AX230" s="7">
        <f>IF(AW230="","",NORM.S.DIST(AW230,TRUE))</f>
        <v/>
      </c>
      <c r="AY230" s="13">
        <f>IF(AX230="","",IF(AX230&lt;='组合输入'!$K11,"AAA",IF(AX230&lt;='组合输入'!$L11,"AA",IF(AX230&lt;='组合输入'!$M11,"A",IF(AX230&lt;='组合输入'!$N11,"BBB",IF(AX230&lt;='组合输入'!$O11,"BB",IF(AX230&lt;='组合输入'!$P11,"B",IF(AX230&lt;='组合输入'!$Q11,"CCC","D")))))))</f>
        <v/>
      </c>
      <c r="AZ230" s="12">
        <f>IF(AY230="","",INDEX('状态价值'!$D11:$K11,MATCH(AY230,'状态价值'!$D$1:$K$1,0)))</f>
        <v/>
      </c>
      <c r="BA230" s="12">
        <f>G230+L230+Q230+V230+AA230+AF230+AK230+AP230+AU230+AZ230</f>
        <v/>
      </c>
      <c r="BB230" s="12">
        <f>SUM('组合输入'!$J$2:$J$11)-BA230</f>
        <v/>
      </c>
    </row>
    <row r="231">
      <c r="A231" s="11" t="n">
        <v>230</v>
      </c>
      <c r="B231" s="14">
        <f>NORM.S.INV(RAND())</f>
        <v/>
      </c>
      <c r="C231" s="14">
        <f>NORM.S.INV(RAND())</f>
        <v/>
      </c>
      <c r="D231" s="15">
        <f>IF('组合输入'!$C2="","",'组合输入'!$H2*$B231+SQRT(1-'组合输入'!$H2^2)*C231)</f>
        <v/>
      </c>
      <c r="E231" s="7">
        <f>IF(D231="","",NORM.S.DIST(D231,TRUE))</f>
        <v/>
      </c>
      <c r="F231" s="13">
        <f>IF(E231="","",IF(E231&lt;='组合输入'!$K2,"AAA",IF(E231&lt;='组合输入'!$L2,"AA",IF(E231&lt;='组合输入'!$M2,"A",IF(E231&lt;='组合输入'!$N2,"BBB",IF(E231&lt;='组合输入'!$O2,"BB",IF(E231&lt;='组合输入'!$P2,"B",IF(E231&lt;='组合输入'!$Q2,"CCC","D")))))))</f>
        <v/>
      </c>
      <c r="G231" s="12">
        <f>IF(F231="","",INDEX('状态价值'!$D2:$K2,MATCH(F231,'状态价值'!$D$1:$K$1,0)))</f>
        <v/>
      </c>
      <c r="H231" s="15">
        <f>NORM.S.INV(RAND())</f>
        <v/>
      </c>
      <c r="I231" s="15">
        <f>IF('组合输入'!$C3="","",'组合输入'!$H3*$B231+SQRT(1-'组合输入'!$H3^2)*H231)</f>
        <v/>
      </c>
      <c r="J231" s="7">
        <f>IF(I231="","",NORM.S.DIST(I231,TRUE))</f>
        <v/>
      </c>
      <c r="K231" s="13">
        <f>IF(J231="","",IF(J231&lt;='组合输入'!$K3,"AAA",IF(J231&lt;='组合输入'!$L3,"AA",IF(J231&lt;='组合输入'!$M3,"A",IF(J231&lt;='组合输入'!$N3,"BBB",IF(J231&lt;='组合输入'!$O3,"BB",IF(J231&lt;='组合输入'!$P3,"B",IF(J231&lt;='组合输入'!$Q3,"CCC","D")))))))</f>
        <v/>
      </c>
      <c r="L231" s="12">
        <f>IF(K231="","",INDEX('状态价值'!$D3:$K3,MATCH(K231,'状态价值'!$D$1:$K$1,0)))</f>
        <v/>
      </c>
      <c r="M231" s="15">
        <f>NORM.S.INV(RAND())</f>
        <v/>
      </c>
      <c r="N231" s="15">
        <f>IF('组合输入'!$C4="","",'组合输入'!$H4*$B231+SQRT(1-'组合输入'!$H4^2)*M231)</f>
        <v/>
      </c>
      <c r="O231" s="7">
        <f>IF(N231="","",NORM.S.DIST(N231,TRUE))</f>
        <v/>
      </c>
      <c r="P231" s="13">
        <f>IF(O231="","",IF(O231&lt;='组合输入'!$K4,"AAA",IF(O231&lt;='组合输入'!$L4,"AA",IF(O231&lt;='组合输入'!$M4,"A",IF(O231&lt;='组合输入'!$N4,"BBB",IF(O231&lt;='组合输入'!$O4,"BB",IF(O231&lt;='组合输入'!$P4,"B",IF(O231&lt;='组合输入'!$Q4,"CCC","D")))))))</f>
        <v/>
      </c>
      <c r="Q231" s="12">
        <f>IF(P231="","",INDEX('状态价值'!$D4:$K4,MATCH(P231,'状态价值'!$D$1:$K$1,0)))</f>
        <v/>
      </c>
      <c r="R231" s="15">
        <f>NORM.S.INV(RAND())</f>
        <v/>
      </c>
      <c r="S231" s="15">
        <f>IF('组合输入'!$C5="","",'组合输入'!$H5*$B231+SQRT(1-'组合输入'!$H5^2)*R231)</f>
        <v/>
      </c>
      <c r="T231" s="7">
        <f>IF(S231="","",NORM.S.DIST(S231,TRUE))</f>
        <v/>
      </c>
      <c r="U231" s="13">
        <f>IF(T231="","",IF(T231&lt;='组合输入'!$K5,"AAA",IF(T231&lt;='组合输入'!$L5,"AA",IF(T231&lt;='组合输入'!$M5,"A",IF(T231&lt;='组合输入'!$N5,"BBB",IF(T231&lt;='组合输入'!$O5,"BB",IF(T231&lt;='组合输入'!$P5,"B",IF(T231&lt;='组合输入'!$Q5,"CCC","D")))))))</f>
        <v/>
      </c>
      <c r="V231" s="12">
        <f>IF(U231="","",INDEX('状态价值'!$D5:$K5,MATCH(U231,'状态价值'!$D$1:$K$1,0)))</f>
        <v/>
      </c>
      <c r="W231" s="15">
        <f>NORM.S.INV(RAND())</f>
        <v/>
      </c>
      <c r="X231" s="15">
        <f>IF('组合输入'!$C6="","",'组合输入'!$H6*$B231+SQRT(1-'组合输入'!$H6^2)*W231)</f>
        <v/>
      </c>
      <c r="Y231" s="7">
        <f>IF(X231="","",NORM.S.DIST(X231,TRUE))</f>
        <v/>
      </c>
      <c r="Z231" s="13">
        <f>IF(Y231="","",IF(Y231&lt;='组合输入'!$K6,"AAA",IF(Y231&lt;='组合输入'!$L6,"AA",IF(Y231&lt;='组合输入'!$M6,"A",IF(Y231&lt;='组合输入'!$N6,"BBB",IF(Y231&lt;='组合输入'!$O6,"BB",IF(Y231&lt;='组合输入'!$P6,"B",IF(Y231&lt;='组合输入'!$Q6,"CCC","D")))))))</f>
        <v/>
      </c>
      <c r="AA231" s="12">
        <f>IF(Z231="","",INDEX('状态价值'!$D6:$K6,MATCH(Z231,'状态价值'!$D$1:$K$1,0)))</f>
        <v/>
      </c>
      <c r="AB231" s="15">
        <f>NORM.S.INV(RAND())</f>
        <v/>
      </c>
      <c r="AC231" s="15">
        <f>IF('组合输入'!$C7="","",'组合输入'!$H7*$B231+SQRT(1-'组合输入'!$H7^2)*AB231)</f>
        <v/>
      </c>
      <c r="AD231" s="7">
        <f>IF(AC231="","",NORM.S.DIST(AC231,TRUE))</f>
        <v/>
      </c>
      <c r="AE231" s="13">
        <f>IF(AD231="","",IF(AD231&lt;='组合输入'!$K7,"AAA",IF(AD231&lt;='组合输入'!$L7,"AA",IF(AD231&lt;='组合输入'!$M7,"A",IF(AD231&lt;='组合输入'!$N7,"BBB",IF(AD231&lt;='组合输入'!$O7,"BB",IF(AD231&lt;='组合输入'!$P7,"B",IF(AD231&lt;='组合输入'!$Q7,"CCC","D")))))))</f>
        <v/>
      </c>
      <c r="AF231" s="12">
        <f>IF(AE231="","",INDEX('状态价值'!$D7:$K7,MATCH(AE231,'状态价值'!$D$1:$K$1,0)))</f>
        <v/>
      </c>
      <c r="AG231" s="15">
        <f>NORM.S.INV(RAND())</f>
        <v/>
      </c>
      <c r="AH231" s="15">
        <f>IF('组合输入'!$C8="","",'组合输入'!$H8*$B231+SQRT(1-'组合输入'!$H8^2)*AG231)</f>
        <v/>
      </c>
      <c r="AI231" s="7">
        <f>IF(AH231="","",NORM.S.DIST(AH231,TRUE))</f>
        <v/>
      </c>
      <c r="AJ231" s="13">
        <f>IF(AI231="","",IF(AI231&lt;='组合输入'!$K8,"AAA",IF(AI231&lt;='组合输入'!$L8,"AA",IF(AI231&lt;='组合输入'!$M8,"A",IF(AI231&lt;='组合输入'!$N8,"BBB",IF(AI231&lt;='组合输入'!$O8,"BB",IF(AI231&lt;='组合输入'!$P8,"B",IF(AI231&lt;='组合输入'!$Q8,"CCC","D")))))))</f>
        <v/>
      </c>
      <c r="AK231" s="12">
        <f>IF(AJ231="","",INDEX('状态价值'!$D8:$K8,MATCH(AJ231,'状态价值'!$D$1:$K$1,0)))</f>
        <v/>
      </c>
      <c r="AL231" s="15">
        <f>NORM.S.INV(RAND())</f>
        <v/>
      </c>
      <c r="AM231" s="15">
        <f>IF('组合输入'!$C9="","",'组合输入'!$H9*$B231+SQRT(1-'组合输入'!$H9^2)*AL231)</f>
        <v/>
      </c>
      <c r="AN231" s="7">
        <f>IF(AM231="","",NORM.S.DIST(AM231,TRUE))</f>
        <v/>
      </c>
      <c r="AO231" s="13">
        <f>IF(AN231="","",IF(AN231&lt;='组合输入'!$K9,"AAA",IF(AN231&lt;='组合输入'!$L9,"AA",IF(AN231&lt;='组合输入'!$M9,"A",IF(AN231&lt;='组合输入'!$N9,"BBB",IF(AN231&lt;='组合输入'!$O9,"BB",IF(AN231&lt;='组合输入'!$P9,"B",IF(AN231&lt;='组合输入'!$Q9,"CCC","D")))))))</f>
        <v/>
      </c>
      <c r="AP231" s="12">
        <f>IF(AO231="","",INDEX('状态价值'!$D9:$K9,MATCH(AO231,'状态价值'!$D$1:$K$1,0)))</f>
        <v/>
      </c>
      <c r="AQ231" s="15">
        <f>NORM.S.INV(RAND())</f>
        <v/>
      </c>
      <c r="AR231" s="15">
        <f>IF('组合输入'!$C10="","",'组合输入'!$H10*$B231+SQRT(1-'组合输入'!$H10^2)*AQ231)</f>
        <v/>
      </c>
      <c r="AS231" s="7">
        <f>IF(AR231="","",NORM.S.DIST(AR231,TRUE))</f>
        <v/>
      </c>
      <c r="AT231" s="13">
        <f>IF(AS231="","",IF(AS231&lt;='组合输入'!$K10,"AAA",IF(AS231&lt;='组合输入'!$L10,"AA",IF(AS231&lt;='组合输入'!$M10,"A",IF(AS231&lt;='组合输入'!$N10,"BBB",IF(AS231&lt;='组合输入'!$O10,"BB",IF(AS231&lt;='组合输入'!$P10,"B",IF(AS231&lt;='组合输入'!$Q10,"CCC","D")))))))</f>
        <v/>
      </c>
      <c r="AU231" s="12">
        <f>IF(AT231="","",INDEX('状态价值'!$D10:$K10,MATCH(AT231,'状态价值'!$D$1:$K$1,0)))</f>
        <v/>
      </c>
      <c r="AV231" s="15">
        <f>NORM.S.INV(RAND())</f>
        <v/>
      </c>
      <c r="AW231" s="15">
        <f>IF('组合输入'!$C11="","",'组合输入'!$H11*$B231+SQRT(1-'组合输入'!$H11^2)*AV231)</f>
        <v/>
      </c>
      <c r="AX231" s="7">
        <f>IF(AW231="","",NORM.S.DIST(AW231,TRUE))</f>
        <v/>
      </c>
      <c r="AY231" s="13">
        <f>IF(AX231="","",IF(AX231&lt;='组合输入'!$K11,"AAA",IF(AX231&lt;='组合输入'!$L11,"AA",IF(AX231&lt;='组合输入'!$M11,"A",IF(AX231&lt;='组合输入'!$N11,"BBB",IF(AX231&lt;='组合输入'!$O11,"BB",IF(AX231&lt;='组合输入'!$P11,"B",IF(AX231&lt;='组合输入'!$Q11,"CCC","D")))))))</f>
        <v/>
      </c>
      <c r="AZ231" s="12">
        <f>IF(AY231="","",INDEX('状态价值'!$D11:$K11,MATCH(AY231,'状态价值'!$D$1:$K$1,0)))</f>
        <v/>
      </c>
      <c r="BA231" s="12">
        <f>G231+L231+Q231+V231+AA231+AF231+AK231+AP231+AU231+AZ231</f>
        <v/>
      </c>
      <c r="BB231" s="12">
        <f>SUM('组合输入'!$J$2:$J$11)-BA231</f>
        <v/>
      </c>
    </row>
    <row r="232">
      <c r="A232" s="11" t="n">
        <v>231</v>
      </c>
      <c r="B232" s="14">
        <f>NORM.S.INV(RAND())</f>
        <v/>
      </c>
      <c r="C232" s="14">
        <f>NORM.S.INV(RAND())</f>
        <v/>
      </c>
      <c r="D232" s="15">
        <f>IF('组合输入'!$C2="","",'组合输入'!$H2*$B232+SQRT(1-'组合输入'!$H2^2)*C232)</f>
        <v/>
      </c>
      <c r="E232" s="7">
        <f>IF(D232="","",NORM.S.DIST(D232,TRUE))</f>
        <v/>
      </c>
      <c r="F232" s="13">
        <f>IF(E232="","",IF(E232&lt;='组合输入'!$K2,"AAA",IF(E232&lt;='组合输入'!$L2,"AA",IF(E232&lt;='组合输入'!$M2,"A",IF(E232&lt;='组合输入'!$N2,"BBB",IF(E232&lt;='组合输入'!$O2,"BB",IF(E232&lt;='组合输入'!$P2,"B",IF(E232&lt;='组合输入'!$Q2,"CCC","D")))))))</f>
        <v/>
      </c>
      <c r="G232" s="12">
        <f>IF(F232="","",INDEX('状态价值'!$D2:$K2,MATCH(F232,'状态价值'!$D$1:$K$1,0)))</f>
        <v/>
      </c>
      <c r="H232" s="15">
        <f>NORM.S.INV(RAND())</f>
        <v/>
      </c>
      <c r="I232" s="15">
        <f>IF('组合输入'!$C3="","",'组合输入'!$H3*$B232+SQRT(1-'组合输入'!$H3^2)*H232)</f>
        <v/>
      </c>
      <c r="J232" s="7">
        <f>IF(I232="","",NORM.S.DIST(I232,TRUE))</f>
        <v/>
      </c>
      <c r="K232" s="13">
        <f>IF(J232="","",IF(J232&lt;='组合输入'!$K3,"AAA",IF(J232&lt;='组合输入'!$L3,"AA",IF(J232&lt;='组合输入'!$M3,"A",IF(J232&lt;='组合输入'!$N3,"BBB",IF(J232&lt;='组合输入'!$O3,"BB",IF(J232&lt;='组合输入'!$P3,"B",IF(J232&lt;='组合输入'!$Q3,"CCC","D")))))))</f>
        <v/>
      </c>
      <c r="L232" s="12">
        <f>IF(K232="","",INDEX('状态价值'!$D3:$K3,MATCH(K232,'状态价值'!$D$1:$K$1,0)))</f>
        <v/>
      </c>
      <c r="M232" s="15">
        <f>NORM.S.INV(RAND())</f>
        <v/>
      </c>
      <c r="N232" s="15">
        <f>IF('组合输入'!$C4="","",'组合输入'!$H4*$B232+SQRT(1-'组合输入'!$H4^2)*M232)</f>
        <v/>
      </c>
      <c r="O232" s="7">
        <f>IF(N232="","",NORM.S.DIST(N232,TRUE))</f>
        <v/>
      </c>
      <c r="P232" s="13">
        <f>IF(O232="","",IF(O232&lt;='组合输入'!$K4,"AAA",IF(O232&lt;='组合输入'!$L4,"AA",IF(O232&lt;='组合输入'!$M4,"A",IF(O232&lt;='组合输入'!$N4,"BBB",IF(O232&lt;='组合输入'!$O4,"BB",IF(O232&lt;='组合输入'!$P4,"B",IF(O232&lt;='组合输入'!$Q4,"CCC","D")))))))</f>
        <v/>
      </c>
      <c r="Q232" s="12">
        <f>IF(P232="","",INDEX('状态价值'!$D4:$K4,MATCH(P232,'状态价值'!$D$1:$K$1,0)))</f>
        <v/>
      </c>
      <c r="R232" s="15">
        <f>NORM.S.INV(RAND())</f>
        <v/>
      </c>
      <c r="S232" s="15">
        <f>IF('组合输入'!$C5="","",'组合输入'!$H5*$B232+SQRT(1-'组合输入'!$H5^2)*R232)</f>
        <v/>
      </c>
      <c r="T232" s="7">
        <f>IF(S232="","",NORM.S.DIST(S232,TRUE))</f>
        <v/>
      </c>
      <c r="U232" s="13">
        <f>IF(T232="","",IF(T232&lt;='组合输入'!$K5,"AAA",IF(T232&lt;='组合输入'!$L5,"AA",IF(T232&lt;='组合输入'!$M5,"A",IF(T232&lt;='组合输入'!$N5,"BBB",IF(T232&lt;='组合输入'!$O5,"BB",IF(T232&lt;='组合输入'!$P5,"B",IF(T232&lt;='组合输入'!$Q5,"CCC","D")))))))</f>
        <v/>
      </c>
      <c r="V232" s="12">
        <f>IF(U232="","",INDEX('状态价值'!$D5:$K5,MATCH(U232,'状态价值'!$D$1:$K$1,0)))</f>
        <v/>
      </c>
      <c r="W232" s="15">
        <f>NORM.S.INV(RAND())</f>
        <v/>
      </c>
      <c r="X232" s="15">
        <f>IF('组合输入'!$C6="","",'组合输入'!$H6*$B232+SQRT(1-'组合输入'!$H6^2)*W232)</f>
        <v/>
      </c>
      <c r="Y232" s="7">
        <f>IF(X232="","",NORM.S.DIST(X232,TRUE))</f>
        <v/>
      </c>
      <c r="Z232" s="13">
        <f>IF(Y232="","",IF(Y232&lt;='组合输入'!$K6,"AAA",IF(Y232&lt;='组合输入'!$L6,"AA",IF(Y232&lt;='组合输入'!$M6,"A",IF(Y232&lt;='组合输入'!$N6,"BBB",IF(Y232&lt;='组合输入'!$O6,"BB",IF(Y232&lt;='组合输入'!$P6,"B",IF(Y232&lt;='组合输入'!$Q6,"CCC","D")))))))</f>
        <v/>
      </c>
      <c r="AA232" s="12">
        <f>IF(Z232="","",INDEX('状态价值'!$D6:$K6,MATCH(Z232,'状态价值'!$D$1:$K$1,0)))</f>
        <v/>
      </c>
      <c r="AB232" s="15">
        <f>NORM.S.INV(RAND())</f>
        <v/>
      </c>
      <c r="AC232" s="15">
        <f>IF('组合输入'!$C7="","",'组合输入'!$H7*$B232+SQRT(1-'组合输入'!$H7^2)*AB232)</f>
        <v/>
      </c>
      <c r="AD232" s="7">
        <f>IF(AC232="","",NORM.S.DIST(AC232,TRUE))</f>
        <v/>
      </c>
      <c r="AE232" s="13">
        <f>IF(AD232="","",IF(AD232&lt;='组合输入'!$K7,"AAA",IF(AD232&lt;='组合输入'!$L7,"AA",IF(AD232&lt;='组合输入'!$M7,"A",IF(AD232&lt;='组合输入'!$N7,"BBB",IF(AD232&lt;='组合输入'!$O7,"BB",IF(AD232&lt;='组合输入'!$P7,"B",IF(AD232&lt;='组合输入'!$Q7,"CCC","D")))))))</f>
        <v/>
      </c>
      <c r="AF232" s="12">
        <f>IF(AE232="","",INDEX('状态价值'!$D7:$K7,MATCH(AE232,'状态价值'!$D$1:$K$1,0)))</f>
        <v/>
      </c>
      <c r="AG232" s="15">
        <f>NORM.S.INV(RAND())</f>
        <v/>
      </c>
      <c r="AH232" s="15">
        <f>IF('组合输入'!$C8="","",'组合输入'!$H8*$B232+SQRT(1-'组合输入'!$H8^2)*AG232)</f>
        <v/>
      </c>
      <c r="AI232" s="7">
        <f>IF(AH232="","",NORM.S.DIST(AH232,TRUE))</f>
        <v/>
      </c>
      <c r="AJ232" s="13">
        <f>IF(AI232="","",IF(AI232&lt;='组合输入'!$K8,"AAA",IF(AI232&lt;='组合输入'!$L8,"AA",IF(AI232&lt;='组合输入'!$M8,"A",IF(AI232&lt;='组合输入'!$N8,"BBB",IF(AI232&lt;='组合输入'!$O8,"BB",IF(AI232&lt;='组合输入'!$P8,"B",IF(AI232&lt;='组合输入'!$Q8,"CCC","D")))))))</f>
        <v/>
      </c>
      <c r="AK232" s="12">
        <f>IF(AJ232="","",INDEX('状态价值'!$D8:$K8,MATCH(AJ232,'状态价值'!$D$1:$K$1,0)))</f>
        <v/>
      </c>
      <c r="AL232" s="15">
        <f>NORM.S.INV(RAND())</f>
        <v/>
      </c>
      <c r="AM232" s="15">
        <f>IF('组合输入'!$C9="","",'组合输入'!$H9*$B232+SQRT(1-'组合输入'!$H9^2)*AL232)</f>
        <v/>
      </c>
      <c r="AN232" s="7">
        <f>IF(AM232="","",NORM.S.DIST(AM232,TRUE))</f>
        <v/>
      </c>
      <c r="AO232" s="13">
        <f>IF(AN232="","",IF(AN232&lt;='组合输入'!$K9,"AAA",IF(AN232&lt;='组合输入'!$L9,"AA",IF(AN232&lt;='组合输入'!$M9,"A",IF(AN232&lt;='组合输入'!$N9,"BBB",IF(AN232&lt;='组合输入'!$O9,"BB",IF(AN232&lt;='组合输入'!$P9,"B",IF(AN232&lt;='组合输入'!$Q9,"CCC","D")))))))</f>
        <v/>
      </c>
      <c r="AP232" s="12">
        <f>IF(AO232="","",INDEX('状态价值'!$D9:$K9,MATCH(AO232,'状态价值'!$D$1:$K$1,0)))</f>
        <v/>
      </c>
      <c r="AQ232" s="15">
        <f>NORM.S.INV(RAND())</f>
        <v/>
      </c>
      <c r="AR232" s="15">
        <f>IF('组合输入'!$C10="","",'组合输入'!$H10*$B232+SQRT(1-'组合输入'!$H10^2)*AQ232)</f>
        <v/>
      </c>
      <c r="AS232" s="7">
        <f>IF(AR232="","",NORM.S.DIST(AR232,TRUE))</f>
        <v/>
      </c>
      <c r="AT232" s="13">
        <f>IF(AS232="","",IF(AS232&lt;='组合输入'!$K10,"AAA",IF(AS232&lt;='组合输入'!$L10,"AA",IF(AS232&lt;='组合输入'!$M10,"A",IF(AS232&lt;='组合输入'!$N10,"BBB",IF(AS232&lt;='组合输入'!$O10,"BB",IF(AS232&lt;='组合输入'!$P10,"B",IF(AS232&lt;='组合输入'!$Q10,"CCC","D")))))))</f>
        <v/>
      </c>
      <c r="AU232" s="12">
        <f>IF(AT232="","",INDEX('状态价值'!$D10:$K10,MATCH(AT232,'状态价值'!$D$1:$K$1,0)))</f>
        <v/>
      </c>
      <c r="AV232" s="15">
        <f>NORM.S.INV(RAND())</f>
        <v/>
      </c>
      <c r="AW232" s="15">
        <f>IF('组合输入'!$C11="","",'组合输入'!$H11*$B232+SQRT(1-'组合输入'!$H11^2)*AV232)</f>
        <v/>
      </c>
      <c r="AX232" s="7">
        <f>IF(AW232="","",NORM.S.DIST(AW232,TRUE))</f>
        <v/>
      </c>
      <c r="AY232" s="13">
        <f>IF(AX232="","",IF(AX232&lt;='组合输入'!$K11,"AAA",IF(AX232&lt;='组合输入'!$L11,"AA",IF(AX232&lt;='组合输入'!$M11,"A",IF(AX232&lt;='组合输入'!$N11,"BBB",IF(AX232&lt;='组合输入'!$O11,"BB",IF(AX232&lt;='组合输入'!$P11,"B",IF(AX232&lt;='组合输入'!$Q11,"CCC","D")))))))</f>
        <v/>
      </c>
      <c r="AZ232" s="12">
        <f>IF(AY232="","",INDEX('状态价值'!$D11:$K11,MATCH(AY232,'状态价值'!$D$1:$K$1,0)))</f>
        <v/>
      </c>
      <c r="BA232" s="12">
        <f>G232+L232+Q232+V232+AA232+AF232+AK232+AP232+AU232+AZ232</f>
        <v/>
      </c>
      <c r="BB232" s="12">
        <f>SUM('组合输入'!$J$2:$J$11)-BA232</f>
        <v/>
      </c>
    </row>
    <row r="233">
      <c r="A233" s="11" t="n">
        <v>232</v>
      </c>
      <c r="B233" s="14">
        <f>NORM.S.INV(RAND())</f>
        <v/>
      </c>
      <c r="C233" s="14">
        <f>NORM.S.INV(RAND())</f>
        <v/>
      </c>
      <c r="D233" s="15">
        <f>IF('组合输入'!$C2="","",'组合输入'!$H2*$B233+SQRT(1-'组合输入'!$H2^2)*C233)</f>
        <v/>
      </c>
      <c r="E233" s="7">
        <f>IF(D233="","",NORM.S.DIST(D233,TRUE))</f>
        <v/>
      </c>
      <c r="F233" s="13">
        <f>IF(E233="","",IF(E233&lt;='组合输入'!$K2,"AAA",IF(E233&lt;='组合输入'!$L2,"AA",IF(E233&lt;='组合输入'!$M2,"A",IF(E233&lt;='组合输入'!$N2,"BBB",IF(E233&lt;='组合输入'!$O2,"BB",IF(E233&lt;='组合输入'!$P2,"B",IF(E233&lt;='组合输入'!$Q2,"CCC","D")))))))</f>
        <v/>
      </c>
      <c r="G233" s="12">
        <f>IF(F233="","",INDEX('状态价值'!$D2:$K2,MATCH(F233,'状态价值'!$D$1:$K$1,0)))</f>
        <v/>
      </c>
      <c r="H233" s="15">
        <f>NORM.S.INV(RAND())</f>
        <v/>
      </c>
      <c r="I233" s="15">
        <f>IF('组合输入'!$C3="","",'组合输入'!$H3*$B233+SQRT(1-'组合输入'!$H3^2)*H233)</f>
        <v/>
      </c>
      <c r="J233" s="7">
        <f>IF(I233="","",NORM.S.DIST(I233,TRUE))</f>
        <v/>
      </c>
      <c r="K233" s="13">
        <f>IF(J233="","",IF(J233&lt;='组合输入'!$K3,"AAA",IF(J233&lt;='组合输入'!$L3,"AA",IF(J233&lt;='组合输入'!$M3,"A",IF(J233&lt;='组合输入'!$N3,"BBB",IF(J233&lt;='组合输入'!$O3,"BB",IF(J233&lt;='组合输入'!$P3,"B",IF(J233&lt;='组合输入'!$Q3,"CCC","D")))))))</f>
        <v/>
      </c>
      <c r="L233" s="12">
        <f>IF(K233="","",INDEX('状态价值'!$D3:$K3,MATCH(K233,'状态价值'!$D$1:$K$1,0)))</f>
        <v/>
      </c>
      <c r="M233" s="15">
        <f>NORM.S.INV(RAND())</f>
        <v/>
      </c>
      <c r="N233" s="15">
        <f>IF('组合输入'!$C4="","",'组合输入'!$H4*$B233+SQRT(1-'组合输入'!$H4^2)*M233)</f>
        <v/>
      </c>
      <c r="O233" s="7">
        <f>IF(N233="","",NORM.S.DIST(N233,TRUE))</f>
        <v/>
      </c>
      <c r="P233" s="13">
        <f>IF(O233="","",IF(O233&lt;='组合输入'!$K4,"AAA",IF(O233&lt;='组合输入'!$L4,"AA",IF(O233&lt;='组合输入'!$M4,"A",IF(O233&lt;='组合输入'!$N4,"BBB",IF(O233&lt;='组合输入'!$O4,"BB",IF(O233&lt;='组合输入'!$P4,"B",IF(O233&lt;='组合输入'!$Q4,"CCC","D")))))))</f>
        <v/>
      </c>
      <c r="Q233" s="12">
        <f>IF(P233="","",INDEX('状态价值'!$D4:$K4,MATCH(P233,'状态价值'!$D$1:$K$1,0)))</f>
        <v/>
      </c>
      <c r="R233" s="15">
        <f>NORM.S.INV(RAND())</f>
        <v/>
      </c>
      <c r="S233" s="15">
        <f>IF('组合输入'!$C5="","",'组合输入'!$H5*$B233+SQRT(1-'组合输入'!$H5^2)*R233)</f>
        <v/>
      </c>
      <c r="T233" s="7">
        <f>IF(S233="","",NORM.S.DIST(S233,TRUE))</f>
        <v/>
      </c>
      <c r="U233" s="13">
        <f>IF(T233="","",IF(T233&lt;='组合输入'!$K5,"AAA",IF(T233&lt;='组合输入'!$L5,"AA",IF(T233&lt;='组合输入'!$M5,"A",IF(T233&lt;='组合输入'!$N5,"BBB",IF(T233&lt;='组合输入'!$O5,"BB",IF(T233&lt;='组合输入'!$P5,"B",IF(T233&lt;='组合输入'!$Q5,"CCC","D")))))))</f>
        <v/>
      </c>
      <c r="V233" s="12">
        <f>IF(U233="","",INDEX('状态价值'!$D5:$K5,MATCH(U233,'状态价值'!$D$1:$K$1,0)))</f>
        <v/>
      </c>
      <c r="W233" s="15">
        <f>NORM.S.INV(RAND())</f>
        <v/>
      </c>
      <c r="X233" s="15">
        <f>IF('组合输入'!$C6="","",'组合输入'!$H6*$B233+SQRT(1-'组合输入'!$H6^2)*W233)</f>
        <v/>
      </c>
      <c r="Y233" s="7">
        <f>IF(X233="","",NORM.S.DIST(X233,TRUE))</f>
        <v/>
      </c>
      <c r="Z233" s="13">
        <f>IF(Y233="","",IF(Y233&lt;='组合输入'!$K6,"AAA",IF(Y233&lt;='组合输入'!$L6,"AA",IF(Y233&lt;='组合输入'!$M6,"A",IF(Y233&lt;='组合输入'!$N6,"BBB",IF(Y233&lt;='组合输入'!$O6,"BB",IF(Y233&lt;='组合输入'!$P6,"B",IF(Y233&lt;='组合输入'!$Q6,"CCC","D")))))))</f>
        <v/>
      </c>
      <c r="AA233" s="12">
        <f>IF(Z233="","",INDEX('状态价值'!$D6:$K6,MATCH(Z233,'状态价值'!$D$1:$K$1,0)))</f>
        <v/>
      </c>
      <c r="AB233" s="15">
        <f>NORM.S.INV(RAND())</f>
        <v/>
      </c>
      <c r="AC233" s="15">
        <f>IF('组合输入'!$C7="","",'组合输入'!$H7*$B233+SQRT(1-'组合输入'!$H7^2)*AB233)</f>
        <v/>
      </c>
      <c r="AD233" s="7">
        <f>IF(AC233="","",NORM.S.DIST(AC233,TRUE))</f>
        <v/>
      </c>
      <c r="AE233" s="13">
        <f>IF(AD233="","",IF(AD233&lt;='组合输入'!$K7,"AAA",IF(AD233&lt;='组合输入'!$L7,"AA",IF(AD233&lt;='组合输入'!$M7,"A",IF(AD233&lt;='组合输入'!$N7,"BBB",IF(AD233&lt;='组合输入'!$O7,"BB",IF(AD233&lt;='组合输入'!$P7,"B",IF(AD233&lt;='组合输入'!$Q7,"CCC","D")))))))</f>
        <v/>
      </c>
      <c r="AF233" s="12">
        <f>IF(AE233="","",INDEX('状态价值'!$D7:$K7,MATCH(AE233,'状态价值'!$D$1:$K$1,0)))</f>
        <v/>
      </c>
      <c r="AG233" s="15">
        <f>NORM.S.INV(RAND())</f>
        <v/>
      </c>
      <c r="AH233" s="15">
        <f>IF('组合输入'!$C8="","",'组合输入'!$H8*$B233+SQRT(1-'组合输入'!$H8^2)*AG233)</f>
        <v/>
      </c>
      <c r="AI233" s="7">
        <f>IF(AH233="","",NORM.S.DIST(AH233,TRUE))</f>
        <v/>
      </c>
      <c r="AJ233" s="13">
        <f>IF(AI233="","",IF(AI233&lt;='组合输入'!$K8,"AAA",IF(AI233&lt;='组合输入'!$L8,"AA",IF(AI233&lt;='组合输入'!$M8,"A",IF(AI233&lt;='组合输入'!$N8,"BBB",IF(AI233&lt;='组合输入'!$O8,"BB",IF(AI233&lt;='组合输入'!$P8,"B",IF(AI233&lt;='组合输入'!$Q8,"CCC","D")))))))</f>
        <v/>
      </c>
      <c r="AK233" s="12">
        <f>IF(AJ233="","",INDEX('状态价值'!$D8:$K8,MATCH(AJ233,'状态价值'!$D$1:$K$1,0)))</f>
        <v/>
      </c>
      <c r="AL233" s="15">
        <f>NORM.S.INV(RAND())</f>
        <v/>
      </c>
      <c r="AM233" s="15">
        <f>IF('组合输入'!$C9="","",'组合输入'!$H9*$B233+SQRT(1-'组合输入'!$H9^2)*AL233)</f>
        <v/>
      </c>
      <c r="AN233" s="7">
        <f>IF(AM233="","",NORM.S.DIST(AM233,TRUE))</f>
        <v/>
      </c>
      <c r="AO233" s="13">
        <f>IF(AN233="","",IF(AN233&lt;='组合输入'!$K9,"AAA",IF(AN233&lt;='组合输入'!$L9,"AA",IF(AN233&lt;='组合输入'!$M9,"A",IF(AN233&lt;='组合输入'!$N9,"BBB",IF(AN233&lt;='组合输入'!$O9,"BB",IF(AN233&lt;='组合输入'!$P9,"B",IF(AN233&lt;='组合输入'!$Q9,"CCC","D")))))))</f>
        <v/>
      </c>
      <c r="AP233" s="12">
        <f>IF(AO233="","",INDEX('状态价值'!$D9:$K9,MATCH(AO233,'状态价值'!$D$1:$K$1,0)))</f>
        <v/>
      </c>
      <c r="AQ233" s="15">
        <f>NORM.S.INV(RAND())</f>
        <v/>
      </c>
      <c r="AR233" s="15">
        <f>IF('组合输入'!$C10="","",'组合输入'!$H10*$B233+SQRT(1-'组合输入'!$H10^2)*AQ233)</f>
        <v/>
      </c>
      <c r="AS233" s="7">
        <f>IF(AR233="","",NORM.S.DIST(AR233,TRUE))</f>
        <v/>
      </c>
      <c r="AT233" s="13">
        <f>IF(AS233="","",IF(AS233&lt;='组合输入'!$K10,"AAA",IF(AS233&lt;='组合输入'!$L10,"AA",IF(AS233&lt;='组合输入'!$M10,"A",IF(AS233&lt;='组合输入'!$N10,"BBB",IF(AS233&lt;='组合输入'!$O10,"BB",IF(AS233&lt;='组合输入'!$P10,"B",IF(AS233&lt;='组合输入'!$Q10,"CCC","D")))))))</f>
        <v/>
      </c>
      <c r="AU233" s="12">
        <f>IF(AT233="","",INDEX('状态价值'!$D10:$K10,MATCH(AT233,'状态价值'!$D$1:$K$1,0)))</f>
        <v/>
      </c>
      <c r="AV233" s="15">
        <f>NORM.S.INV(RAND())</f>
        <v/>
      </c>
      <c r="AW233" s="15">
        <f>IF('组合输入'!$C11="","",'组合输入'!$H11*$B233+SQRT(1-'组合输入'!$H11^2)*AV233)</f>
        <v/>
      </c>
      <c r="AX233" s="7">
        <f>IF(AW233="","",NORM.S.DIST(AW233,TRUE))</f>
        <v/>
      </c>
      <c r="AY233" s="13">
        <f>IF(AX233="","",IF(AX233&lt;='组合输入'!$K11,"AAA",IF(AX233&lt;='组合输入'!$L11,"AA",IF(AX233&lt;='组合输入'!$M11,"A",IF(AX233&lt;='组合输入'!$N11,"BBB",IF(AX233&lt;='组合输入'!$O11,"BB",IF(AX233&lt;='组合输入'!$P11,"B",IF(AX233&lt;='组合输入'!$Q11,"CCC","D")))))))</f>
        <v/>
      </c>
      <c r="AZ233" s="12">
        <f>IF(AY233="","",INDEX('状态价值'!$D11:$K11,MATCH(AY233,'状态价值'!$D$1:$K$1,0)))</f>
        <v/>
      </c>
      <c r="BA233" s="12">
        <f>G233+L233+Q233+V233+AA233+AF233+AK233+AP233+AU233+AZ233</f>
        <v/>
      </c>
      <c r="BB233" s="12">
        <f>SUM('组合输入'!$J$2:$J$11)-BA233</f>
        <v/>
      </c>
    </row>
    <row r="234">
      <c r="A234" s="11" t="n">
        <v>233</v>
      </c>
      <c r="B234" s="14">
        <f>NORM.S.INV(RAND())</f>
        <v/>
      </c>
      <c r="C234" s="14">
        <f>NORM.S.INV(RAND())</f>
        <v/>
      </c>
      <c r="D234" s="15">
        <f>IF('组合输入'!$C2="","",'组合输入'!$H2*$B234+SQRT(1-'组合输入'!$H2^2)*C234)</f>
        <v/>
      </c>
      <c r="E234" s="7">
        <f>IF(D234="","",NORM.S.DIST(D234,TRUE))</f>
        <v/>
      </c>
      <c r="F234" s="13">
        <f>IF(E234="","",IF(E234&lt;='组合输入'!$K2,"AAA",IF(E234&lt;='组合输入'!$L2,"AA",IF(E234&lt;='组合输入'!$M2,"A",IF(E234&lt;='组合输入'!$N2,"BBB",IF(E234&lt;='组合输入'!$O2,"BB",IF(E234&lt;='组合输入'!$P2,"B",IF(E234&lt;='组合输入'!$Q2,"CCC","D")))))))</f>
        <v/>
      </c>
      <c r="G234" s="12">
        <f>IF(F234="","",INDEX('状态价值'!$D2:$K2,MATCH(F234,'状态价值'!$D$1:$K$1,0)))</f>
        <v/>
      </c>
      <c r="H234" s="15">
        <f>NORM.S.INV(RAND())</f>
        <v/>
      </c>
      <c r="I234" s="15">
        <f>IF('组合输入'!$C3="","",'组合输入'!$H3*$B234+SQRT(1-'组合输入'!$H3^2)*H234)</f>
        <v/>
      </c>
      <c r="J234" s="7">
        <f>IF(I234="","",NORM.S.DIST(I234,TRUE))</f>
        <v/>
      </c>
      <c r="K234" s="13">
        <f>IF(J234="","",IF(J234&lt;='组合输入'!$K3,"AAA",IF(J234&lt;='组合输入'!$L3,"AA",IF(J234&lt;='组合输入'!$M3,"A",IF(J234&lt;='组合输入'!$N3,"BBB",IF(J234&lt;='组合输入'!$O3,"BB",IF(J234&lt;='组合输入'!$P3,"B",IF(J234&lt;='组合输入'!$Q3,"CCC","D")))))))</f>
        <v/>
      </c>
      <c r="L234" s="12">
        <f>IF(K234="","",INDEX('状态价值'!$D3:$K3,MATCH(K234,'状态价值'!$D$1:$K$1,0)))</f>
        <v/>
      </c>
      <c r="M234" s="15">
        <f>NORM.S.INV(RAND())</f>
        <v/>
      </c>
      <c r="N234" s="15">
        <f>IF('组合输入'!$C4="","",'组合输入'!$H4*$B234+SQRT(1-'组合输入'!$H4^2)*M234)</f>
        <v/>
      </c>
      <c r="O234" s="7">
        <f>IF(N234="","",NORM.S.DIST(N234,TRUE))</f>
        <v/>
      </c>
      <c r="P234" s="13">
        <f>IF(O234="","",IF(O234&lt;='组合输入'!$K4,"AAA",IF(O234&lt;='组合输入'!$L4,"AA",IF(O234&lt;='组合输入'!$M4,"A",IF(O234&lt;='组合输入'!$N4,"BBB",IF(O234&lt;='组合输入'!$O4,"BB",IF(O234&lt;='组合输入'!$P4,"B",IF(O234&lt;='组合输入'!$Q4,"CCC","D")))))))</f>
        <v/>
      </c>
      <c r="Q234" s="12">
        <f>IF(P234="","",INDEX('状态价值'!$D4:$K4,MATCH(P234,'状态价值'!$D$1:$K$1,0)))</f>
        <v/>
      </c>
      <c r="R234" s="15">
        <f>NORM.S.INV(RAND())</f>
        <v/>
      </c>
      <c r="S234" s="15">
        <f>IF('组合输入'!$C5="","",'组合输入'!$H5*$B234+SQRT(1-'组合输入'!$H5^2)*R234)</f>
        <v/>
      </c>
      <c r="T234" s="7">
        <f>IF(S234="","",NORM.S.DIST(S234,TRUE))</f>
        <v/>
      </c>
      <c r="U234" s="13">
        <f>IF(T234="","",IF(T234&lt;='组合输入'!$K5,"AAA",IF(T234&lt;='组合输入'!$L5,"AA",IF(T234&lt;='组合输入'!$M5,"A",IF(T234&lt;='组合输入'!$N5,"BBB",IF(T234&lt;='组合输入'!$O5,"BB",IF(T234&lt;='组合输入'!$P5,"B",IF(T234&lt;='组合输入'!$Q5,"CCC","D")))))))</f>
        <v/>
      </c>
      <c r="V234" s="12">
        <f>IF(U234="","",INDEX('状态价值'!$D5:$K5,MATCH(U234,'状态价值'!$D$1:$K$1,0)))</f>
        <v/>
      </c>
      <c r="W234" s="15">
        <f>NORM.S.INV(RAND())</f>
        <v/>
      </c>
      <c r="X234" s="15">
        <f>IF('组合输入'!$C6="","",'组合输入'!$H6*$B234+SQRT(1-'组合输入'!$H6^2)*W234)</f>
        <v/>
      </c>
      <c r="Y234" s="7">
        <f>IF(X234="","",NORM.S.DIST(X234,TRUE))</f>
        <v/>
      </c>
      <c r="Z234" s="13">
        <f>IF(Y234="","",IF(Y234&lt;='组合输入'!$K6,"AAA",IF(Y234&lt;='组合输入'!$L6,"AA",IF(Y234&lt;='组合输入'!$M6,"A",IF(Y234&lt;='组合输入'!$N6,"BBB",IF(Y234&lt;='组合输入'!$O6,"BB",IF(Y234&lt;='组合输入'!$P6,"B",IF(Y234&lt;='组合输入'!$Q6,"CCC","D")))))))</f>
        <v/>
      </c>
      <c r="AA234" s="12">
        <f>IF(Z234="","",INDEX('状态价值'!$D6:$K6,MATCH(Z234,'状态价值'!$D$1:$K$1,0)))</f>
        <v/>
      </c>
      <c r="AB234" s="15">
        <f>NORM.S.INV(RAND())</f>
        <v/>
      </c>
      <c r="AC234" s="15">
        <f>IF('组合输入'!$C7="","",'组合输入'!$H7*$B234+SQRT(1-'组合输入'!$H7^2)*AB234)</f>
        <v/>
      </c>
      <c r="AD234" s="7">
        <f>IF(AC234="","",NORM.S.DIST(AC234,TRUE))</f>
        <v/>
      </c>
      <c r="AE234" s="13">
        <f>IF(AD234="","",IF(AD234&lt;='组合输入'!$K7,"AAA",IF(AD234&lt;='组合输入'!$L7,"AA",IF(AD234&lt;='组合输入'!$M7,"A",IF(AD234&lt;='组合输入'!$N7,"BBB",IF(AD234&lt;='组合输入'!$O7,"BB",IF(AD234&lt;='组合输入'!$P7,"B",IF(AD234&lt;='组合输入'!$Q7,"CCC","D")))))))</f>
        <v/>
      </c>
      <c r="AF234" s="12">
        <f>IF(AE234="","",INDEX('状态价值'!$D7:$K7,MATCH(AE234,'状态价值'!$D$1:$K$1,0)))</f>
        <v/>
      </c>
      <c r="AG234" s="15">
        <f>NORM.S.INV(RAND())</f>
        <v/>
      </c>
      <c r="AH234" s="15">
        <f>IF('组合输入'!$C8="","",'组合输入'!$H8*$B234+SQRT(1-'组合输入'!$H8^2)*AG234)</f>
        <v/>
      </c>
      <c r="AI234" s="7">
        <f>IF(AH234="","",NORM.S.DIST(AH234,TRUE))</f>
        <v/>
      </c>
      <c r="AJ234" s="13">
        <f>IF(AI234="","",IF(AI234&lt;='组合输入'!$K8,"AAA",IF(AI234&lt;='组合输入'!$L8,"AA",IF(AI234&lt;='组合输入'!$M8,"A",IF(AI234&lt;='组合输入'!$N8,"BBB",IF(AI234&lt;='组合输入'!$O8,"BB",IF(AI234&lt;='组合输入'!$P8,"B",IF(AI234&lt;='组合输入'!$Q8,"CCC","D")))))))</f>
        <v/>
      </c>
      <c r="AK234" s="12">
        <f>IF(AJ234="","",INDEX('状态价值'!$D8:$K8,MATCH(AJ234,'状态价值'!$D$1:$K$1,0)))</f>
        <v/>
      </c>
      <c r="AL234" s="15">
        <f>NORM.S.INV(RAND())</f>
        <v/>
      </c>
      <c r="AM234" s="15">
        <f>IF('组合输入'!$C9="","",'组合输入'!$H9*$B234+SQRT(1-'组合输入'!$H9^2)*AL234)</f>
        <v/>
      </c>
      <c r="AN234" s="7">
        <f>IF(AM234="","",NORM.S.DIST(AM234,TRUE))</f>
        <v/>
      </c>
      <c r="AO234" s="13">
        <f>IF(AN234="","",IF(AN234&lt;='组合输入'!$K9,"AAA",IF(AN234&lt;='组合输入'!$L9,"AA",IF(AN234&lt;='组合输入'!$M9,"A",IF(AN234&lt;='组合输入'!$N9,"BBB",IF(AN234&lt;='组合输入'!$O9,"BB",IF(AN234&lt;='组合输入'!$P9,"B",IF(AN234&lt;='组合输入'!$Q9,"CCC","D")))))))</f>
        <v/>
      </c>
      <c r="AP234" s="12">
        <f>IF(AO234="","",INDEX('状态价值'!$D9:$K9,MATCH(AO234,'状态价值'!$D$1:$K$1,0)))</f>
        <v/>
      </c>
      <c r="AQ234" s="15">
        <f>NORM.S.INV(RAND())</f>
        <v/>
      </c>
      <c r="AR234" s="15">
        <f>IF('组合输入'!$C10="","",'组合输入'!$H10*$B234+SQRT(1-'组合输入'!$H10^2)*AQ234)</f>
        <v/>
      </c>
      <c r="AS234" s="7">
        <f>IF(AR234="","",NORM.S.DIST(AR234,TRUE))</f>
        <v/>
      </c>
      <c r="AT234" s="13">
        <f>IF(AS234="","",IF(AS234&lt;='组合输入'!$K10,"AAA",IF(AS234&lt;='组合输入'!$L10,"AA",IF(AS234&lt;='组合输入'!$M10,"A",IF(AS234&lt;='组合输入'!$N10,"BBB",IF(AS234&lt;='组合输入'!$O10,"BB",IF(AS234&lt;='组合输入'!$P10,"B",IF(AS234&lt;='组合输入'!$Q10,"CCC","D")))))))</f>
        <v/>
      </c>
      <c r="AU234" s="12">
        <f>IF(AT234="","",INDEX('状态价值'!$D10:$K10,MATCH(AT234,'状态价值'!$D$1:$K$1,0)))</f>
        <v/>
      </c>
      <c r="AV234" s="15">
        <f>NORM.S.INV(RAND())</f>
        <v/>
      </c>
      <c r="AW234" s="15">
        <f>IF('组合输入'!$C11="","",'组合输入'!$H11*$B234+SQRT(1-'组合输入'!$H11^2)*AV234)</f>
        <v/>
      </c>
      <c r="AX234" s="7">
        <f>IF(AW234="","",NORM.S.DIST(AW234,TRUE))</f>
        <v/>
      </c>
      <c r="AY234" s="13">
        <f>IF(AX234="","",IF(AX234&lt;='组合输入'!$K11,"AAA",IF(AX234&lt;='组合输入'!$L11,"AA",IF(AX234&lt;='组合输入'!$M11,"A",IF(AX234&lt;='组合输入'!$N11,"BBB",IF(AX234&lt;='组合输入'!$O11,"BB",IF(AX234&lt;='组合输入'!$P11,"B",IF(AX234&lt;='组合输入'!$Q11,"CCC","D")))))))</f>
        <v/>
      </c>
      <c r="AZ234" s="12">
        <f>IF(AY234="","",INDEX('状态价值'!$D11:$K11,MATCH(AY234,'状态价值'!$D$1:$K$1,0)))</f>
        <v/>
      </c>
      <c r="BA234" s="12">
        <f>G234+L234+Q234+V234+AA234+AF234+AK234+AP234+AU234+AZ234</f>
        <v/>
      </c>
      <c r="BB234" s="12">
        <f>SUM('组合输入'!$J$2:$J$11)-BA234</f>
        <v/>
      </c>
    </row>
    <row r="235">
      <c r="A235" s="11" t="n">
        <v>234</v>
      </c>
      <c r="B235" s="14">
        <f>NORM.S.INV(RAND())</f>
        <v/>
      </c>
      <c r="C235" s="14">
        <f>NORM.S.INV(RAND())</f>
        <v/>
      </c>
      <c r="D235" s="15">
        <f>IF('组合输入'!$C2="","",'组合输入'!$H2*$B235+SQRT(1-'组合输入'!$H2^2)*C235)</f>
        <v/>
      </c>
      <c r="E235" s="7">
        <f>IF(D235="","",NORM.S.DIST(D235,TRUE))</f>
        <v/>
      </c>
      <c r="F235" s="13">
        <f>IF(E235="","",IF(E235&lt;='组合输入'!$K2,"AAA",IF(E235&lt;='组合输入'!$L2,"AA",IF(E235&lt;='组合输入'!$M2,"A",IF(E235&lt;='组合输入'!$N2,"BBB",IF(E235&lt;='组合输入'!$O2,"BB",IF(E235&lt;='组合输入'!$P2,"B",IF(E235&lt;='组合输入'!$Q2,"CCC","D")))))))</f>
        <v/>
      </c>
      <c r="G235" s="12">
        <f>IF(F235="","",INDEX('状态价值'!$D2:$K2,MATCH(F235,'状态价值'!$D$1:$K$1,0)))</f>
        <v/>
      </c>
      <c r="H235" s="15">
        <f>NORM.S.INV(RAND())</f>
        <v/>
      </c>
      <c r="I235" s="15">
        <f>IF('组合输入'!$C3="","",'组合输入'!$H3*$B235+SQRT(1-'组合输入'!$H3^2)*H235)</f>
        <v/>
      </c>
      <c r="J235" s="7">
        <f>IF(I235="","",NORM.S.DIST(I235,TRUE))</f>
        <v/>
      </c>
      <c r="K235" s="13">
        <f>IF(J235="","",IF(J235&lt;='组合输入'!$K3,"AAA",IF(J235&lt;='组合输入'!$L3,"AA",IF(J235&lt;='组合输入'!$M3,"A",IF(J235&lt;='组合输入'!$N3,"BBB",IF(J235&lt;='组合输入'!$O3,"BB",IF(J235&lt;='组合输入'!$P3,"B",IF(J235&lt;='组合输入'!$Q3,"CCC","D")))))))</f>
        <v/>
      </c>
      <c r="L235" s="12">
        <f>IF(K235="","",INDEX('状态价值'!$D3:$K3,MATCH(K235,'状态价值'!$D$1:$K$1,0)))</f>
        <v/>
      </c>
      <c r="M235" s="15">
        <f>NORM.S.INV(RAND())</f>
        <v/>
      </c>
      <c r="N235" s="15">
        <f>IF('组合输入'!$C4="","",'组合输入'!$H4*$B235+SQRT(1-'组合输入'!$H4^2)*M235)</f>
        <v/>
      </c>
      <c r="O235" s="7">
        <f>IF(N235="","",NORM.S.DIST(N235,TRUE))</f>
        <v/>
      </c>
      <c r="P235" s="13">
        <f>IF(O235="","",IF(O235&lt;='组合输入'!$K4,"AAA",IF(O235&lt;='组合输入'!$L4,"AA",IF(O235&lt;='组合输入'!$M4,"A",IF(O235&lt;='组合输入'!$N4,"BBB",IF(O235&lt;='组合输入'!$O4,"BB",IF(O235&lt;='组合输入'!$P4,"B",IF(O235&lt;='组合输入'!$Q4,"CCC","D")))))))</f>
        <v/>
      </c>
      <c r="Q235" s="12">
        <f>IF(P235="","",INDEX('状态价值'!$D4:$K4,MATCH(P235,'状态价值'!$D$1:$K$1,0)))</f>
        <v/>
      </c>
      <c r="R235" s="15">
        <f>NORM.S.INV(RAND())</f>
        <v/>
      </c>
      <c r="S235" s="15">
        <f>IF('组合输入'!$C5="","",'组合输入'!$H5*$B235+SQRT(1-'组合输入'!$H5^2)*R235)</f>
        <v/>
      </c>
      <c r="T235" s="7">
        <f>IF(S235="","",NORM.S.DIST(S235,TRUE))</f>
        <v/>
      </c>
      <c r="U235" s="13">
        <f>IF(T235="","",IF(T235&lt;='组合输入'!$K5,"AAA",IF(T235&lt;='组合输入'!$L5,"AA",IF(T235&lt;='组合输入'!$M5,"A",IF(T235&lt;='组合输入'!$N5,"BBB",IF(T235&lt;='组合输入'!$O5,"BB",IF(T235&lt;='组合输入'!$P5,"B",IF(T235&lt;='组合输入'!$Q5,"CCC","D")))))))</f>
        <v/>
      </c>
      <c r="V235" s="12">
        <f>IF(U235="","",INDEX('状态价值'!$D5:$K5,MATCH(U235,'状态价值'!$D$1:$K$1,0)))</f>
        <v/>
      </c>
      <c r="W235" s="15">
        <f>NORM.S.INV(RAND())</f>
        <v/>
      </c>
      <c r="X235" s="15">
        <f>IF('组合输入'!$C6="","",'组合输入'!$H6*$B235+SQRT(1-'组合输入'!$H6^2)*W235)</f>
        <v/>
      </c>
      <c r="Y235" s="7">
        <f>IF(X235="","",NORM.S.DIST(X235,TRUE))</f>
        <v/>
      </c>
      <c r="Z235" s="13">
        <f>IF(Y235="","",IF(Y235&lt;='组合输入'!$K6,"AAA",IF(Y235&lt;='组合输入'!$L6,"AA",IF(Y235&lt;='组合输入'!$M6,"A",IF(Y235&lt;='组合输入'!$N6,"BBB",IF(Y235&lt;='组合输入'!$O6,"BB",IF(Y235&lt;='组合输入'!$P6,"B",IF(Y235&lt;='组合输入'!$Q6,"CCC","D")))))))</f>
        <v/>
      </c>
      <c r="AA235" s="12">
        <f>IF(Z235="","",INDEX('状态价值'!$D6:$K6,MATCH(Z235,'状态价值'!$D$1:$K$1,0)))</f>
        <v/>
      </c>
      <c r="AB235" s="15">
        <f>NORM.S.INV(RAND())</f>
        <v/>
      </c>
      <c r="AC235" s="15">
        <f>IF('组合输入'!$C7="","",'组合输入'!$H7*$B235+SQRT(1-'组合输入'!$H7^2)*AB235)</f>
        <v/>
      </c>
      <c r="AD235" s="7">
        <f>IF(AC235="","",NORM.S.DIST(AC235,TRUE))</f>
        <v/>
      </c>
      <c r="AE235" s="13">
        <f>IF(AD235="","",IF(AD235&lt;='组合输入'!$K7,"AAA",IF(AD235&lt;='组合输入'!$L7,"AA",IF(AD235&lt;='组合输入'!$M7,"A",IF(AD235&lt;='组合输入'!$N7,"BBB",IF(AD235&lt;='组合输入'!$O7,"BB",IF(AD235&lt;='组合输入'!$P7,"B",IF(AD235&lt;='组合输入'!$Q7,"CCC","D")))))))</f>
        <v/>
      </c>
      <c r="AF235" s="12">
        <f>IF(AE235="","",INDEX('状态价值'!$D7:$K7,MATCH(AE235,'状态价值'!$D$1:$K$1,0)))</f>
        <v/>
      </c>
      <c r="AG235" s="15">
        <f>NORM.S.INV(RAND())</f>
        <v/>
      </c>
      <c r="AH235" s="15">
        <f>IF('组合输入'!$C8="","",'组合输入'!$H8*$B235+SQRT(1-'组合输入'!$H8^2)*AG235)</f>
        <v/>
      </c>
      <c r="AI235" s="7">
        <f>IF(AH235="","",NORM.S.DIST(AH235,TRUE))</f>
        <v/>
      </c>
      <c r="AJ235" s="13">
        <f>IF(AI235="","",IF(AI235&lt;='组合输入'!$K8,"AAA",IF(AI235&lt;='组合输入'!$L8,"AA",IF(AI235&lt;='组合输入'!$M8,"A",IF(AI235&lt;='组合输入'!$N8,"BBB",IF(AI235&lt;='组合输入'!$O8,"BB",IF(AI235&lt;='组合输入'!$P8,"B",IF(AI235&lt;='组合输入'!$Q8,"CCC","D")))))))</f>
        <v/>
      </c>
      <c r="AK235" s="12">
        <f>IF(AJ235="","",INDEX('状态价值'!$D8:$K8,MATCH(AJ235,'状态价值'!$D$1:$K$1,0)))</f>
        <v/>
      </c>
      <c r="AL235" s="15">
        <f>NORM.S.INV(RAND())</f>
        <v/>
      </c>
      <c r="AM235" s="15">
        <f>IF('组合输入'!$C9="","",'组合输入'!$H9*$B235+SQRT(1-'组合输入'!$H9^2)*AL235)</f>
        <v/>
      </c>
      <c r="AN235" s="7">
        <f>IF(AM235="","",NORM.S.DIST(AM235,TRUE))</f>
        <v/>
      </c>
      <c r="AO235" s="13">
        <f>IF(AN235="","",IF(AN235&lt;='组合输入'!$K9,"AAA",IF(AN235&lt;='组合输入'!$L9,"AA",IF(AN235&lt;='组合输入'!$M9,"A",IF(AN235&lt;='组合输入'!$N9,"BBB",IF(AN235&lt;='组合输入'!$O9,"BB",IF(AN235&lt;='组合输入'!$P9,"B",IF(AN235&lt;='组合输入'!$Q9,"CCC","D")))))))</f>
        <v/>
      </c>
      <c r="AP235" s="12">
        <f>IF(AO235="","",INDEX('状态价值'!$D9:$K9,MATCH(AO235,'状态价值'!$D$1:$K$1,0)))</f>
        <v/>
      </c>
      <c r="AQ235" s="15">
        <f>NORM.S.INV(RAND())</f>
        <v/>
      </c>
      <c r="AR235" s="15">
        <f>IF('组合输入'!$C10="","",'组合输入'!$H10*$B235+SQRT(1-'组合输入'!$H10^2)*AQ235)</f>
        <v/>
      </c>
      <c r="AS235" s="7">
        <f>IF(AR235="","",NORM.S.DIST(AR235,TRUE))</f>
        <v/>
      </c>
      <c r="AT235" s="13">
        <f>IF(AS235="","",IF(AS235&lt;='组合输入'!$K10,"AAA",IF(AS235&lt;='组合输入'!$L10,"AA",IF(AS235&lt;='组合输入'!$M10,"A",IF(AS235&lt;='组合输入'!$N10,"BBB",IF(AS235&lt;='组合输入'!$O10,"BB",IF(AS235&lt;='组合输入'!$P10,"B",IF(AS235&lt;='组合输入'!$Q10,"CCC","D")))))))</f>
        <v/>
      </c>
      <c r="AU235" s="12">
        <f>IF(AT235="","",INDEX('状态价值'!$D10:$K10,MATCH(AT235,'状态价值'!$D$1:$K$1,0)))</f>
        <v/>
      </c>
      <c r="AV235" s="15">
        <f>NORM.S.INV(RAND())</f>
        <v/>
      </c>
      <c r="AW235" s="15">
        <f>IF('组合输入'!$C11="","",'组合输入'!$H11*$B235+SQRT(1-'组合输入'!$H11^2)*AV235)</f>
        <v/>
      </c>
      <c r="AX235" s="7">
        <f>IF(AW235="","",NORM.S.DIST(AW235,TRUE))</f>
        <v/>
      </c>
      <c r="AY235" s="13">
        <f>IF(AX235="","",IF(AX235&lt;='组合输入'!$K11,"AAA",IF(AX235&lt;='组合输入'!$L11,"AA",IF(AX235&lt;='组合输入'!$M11,"A",IF(AX235&lt;='组合输入'!$N11,"BBB",IF(AX235&lt;='组合输入'!$O11,"BB",IF(AX235&lt;='组合输入'!$P11,"B",IF(AX235&lt;='组合输入'!$Q11,"CCC","D")))))))</f>
        <v/>
      </c>
      <c r="AZ235" s="12">
        <f>IF(AY235="","",INDEX('状态价值'!$D11:$K11,MATCH(AY235,'状态价值'!$D$1:$K$1,0)))</f>
        <v/>
      </c>
      <c r="BA235" s="12">
        <f>G235+L235+Q235+V235+AA235+AF235+AK235+AP235+AU235+AZ235</f>
        <v/>
      </c>
      <c r="BB235" s="12">
        <f>SUM('组合输入'!$J$2:$J$11)-BA235</f>
        <v/>
      </c>
    </row>
    <row r="236">
      <c r="A236" s="11" t="n">
        <v>235</v>
      </c>
      <c r="B236" s="14">
        <f>NORM.S.INV(RAND())</f>
        <v/>
      </c>
      <c r="C236" s="14">
        <f>NORM.S.INV(RAND())</f>
        <v/>
      </c>
      <c r="D236" s="15">
        <f>IF('组合输入'!$C2="","",'组合输入'!$H2*$B236+SQRT(1-'组合输入'!$H2^2)*C236)</f>
        <v/>
      </c>
      <c r="E236" s="7">
        <f>IF(D236="","",NORM.S.DIST(D236,TRUE))</f>
        <v/>
      </c>
      <c r="F236" s="13">
        <f>IF(E236="","",IF(E236&lt;='组合输入'!$K2,"AAA",IF(E236&lt;='组合输入'!$L2,"AA",IF(E236&lt;='组合输入'!$M2,"A",IF(E236&lt;='组合输入'!$N2,"BBB",IF(E236&lt;='组合输入'!$O2,"BB",IF(E236&lt;='组合输入'!$P2,"B",IF(E236&lt;='组合输入'!$Q2,"CCC","D")))))))</f>
        <v/>
      </c>
      <c r="G236" s="12">
        <f>IF(F236="","",INDEX('状态价值'!$D2:$K2,MATCH(F236,'状态价值'!$D$1:$K$1,0)))</f>
        <v/>
      </c>
      <c r="H236" s="15">
        <f>NORM.S.INV(RAND())</f>
        <v/>
      </c>
      <c r="I236" s="15">
        <f>IF('组合输入'!$C3="","",'组合输入'!$H3*$B236+SQRT(1-'组合输入'!$H3^2)*H236)</f>
        <v/>
      </c>
      <c r="J236" s="7">
        <f>IF(I236="","",NORM.S.DIST(I236,TRUE))</f>
        <v/>
      </c>
      <c r="K236" s="13">
        <f>IF(J236="","",IF(J236&lt;='组合输入'!$K3,"AAA",IF(J236&lt;='组合输入'!$L3,"AA",IF(J236&lt;='组合输入'!$M3,"A",IF(J236&lt;='组合输入'!$N3,"BBB",IF(J236&lt;='组合输入'!$O3,"BB",IF(J236&lt;='组合输入'!$P3,"B",IF(J236&lt;='组合输入'!$Q3,"CCC","D")))))))</f>
        <v/>
      </c>
      <c r="L236" s="12">
        <f>IF(K236="","",INDEX('状态价值'!$D3:$K3,MATCH(K236,'状态价值'!$D$1:$K$1,0)))</f>
        <v/>
      </c>
      <c r="M236" s="15">
        <f>NORM.S.INV(RAND())</f>
        <v/>
      </c>
      <c r="N236" s="15">
        <f>IF('组合输入'!$C4="","",'组合输入'!$H4*$B236+SQRT(1-'组合输入'!$H4^2)*M236)</f>
        <v/>
      </c>
      <c r="O236" s="7">
        <f>IF(N236="","",NORM.S.DIST(N236,TRUE))</f>
        <v/>
      </c>
      <c r="P236" s="13">
        <f>IF(O236="","",IF(O236&lt;='组合输入'!$K4,"AAA",IF(O236&lt;='组合输入'!$L4,"AA",IF(O236&lt;='组合输入'!$M4,"A",IF(O236&lt;='组合输入'!$N4,"BBB",IF(O236&lt;='组合输入'!$O4,"BB",IF(O236&lt;='组合输入'!$P4,"B",IF(O236&lt;='组合输入'!$Q4,"CCC","D")))))))</f>
        <v/>
      </c>
      <c r="Q236" s="12">
        <f>IF(P236="","",INDEX('状态价值'!$D4:$K4,MATCH(P236,'状态价值'!$D$1:$K$1,0)))</f>
        <v/>
      </c>
      <c r="R236" s="15">
        <f>NORM.S.INV(RAND())</f>
        <v/>
      </c>
      <c r="S236" s="15">
        <f>IF('组合输入'!$C5="","",'组合输入'!$H5*$B236+SQRT(1-'组合输入'!$H5^2)*R236)</f>
        <v/>
      </c>
      <c r="T236" s="7">
        <f>IF(S236="","",NORM.S.DIST(S236,TRUE))</f>
        <v/>
      </c>
      <c r="U236" s="13">
        <f>IF(T236="","",IF(T236&lt;='组合输入'!$K5,"AAA",IF(T236&lt;='组合输入'!$L5,"AA",IF(T236&lt;='组合输入'!$M5,"A",IF(T236&lt;='组合输入'!$N5,"BBB",IF(T236&lt;='组合输入'!$O5,"BB",IF(T236&lt;='组合输入'!$P5,"B",IF(T236&lt;='组合输入'!$Q5,"CCC","D")))))))</f>
        <v/>
      </c>
      <c r="V236" s="12">
        <f>IF(U236="","",INDEX('状态价值'!$D5:$K5,MATCH(U236,'状态价值'!$D$1:$K$1,0)))</f>
        <v/>
      </c>
      <c r="W236" s="15">
        <f>NORM.S.INV(RAND())</f>
        <v/>
      </c>
      <c r="X236" s="15">
        <f>IF('组合输入'!$C6="","",'组合输入'!$H6*$B236+SQRT(1-'组合输入'!$H6^2)*W236)</f>
        <v/>
      </c>
      <c r="Y236" s="7">
        <f>IF(X236="","",NORM.S.DIST(X236,TRUE))</f>
        <v/>
      </c>
      <c r="Z236" s="13">
        <f>IF(Y236="","",IF(Y236&lt;='组合输入'!$K6,"AAA",IF(Y236&lt;='组合输入'!$L6,"AA",IF(Y236&lt;='组合输入'!$M6,"A",IF(Y236&lt;='组合输入'!$N6,"BBB",IF(Y236&lt;='组合输入'!$O6,"BB",IF(Y236&lt;='组合输入'!$P6,"B",IF(Y236&lt;='组合输入'!$Q6,"CCC","D")))))))</f>
        <v/>
      </c>
      <c r="AA236" s="12">
        <f>IF(Z236="","",INDEX('状态价值'!$D6:$K6,MATCH(Z236,'状态价值'!$D$1:$K$1,0)))</f>
        <v/>
      </c>
      <c r="AB236" s="15">
        <f>NORM.S.INV(RAND())</f>
        <v/>
      </c>
      <c r="AC236" s="15">
        <f>IF('组合输入'!$C7="","",'组合输入'!$H7*$B236+SQRT(1-'组合输入'!$H7^2)*AB236)</f>
        <v/>
      </c>
      <c r="AD236" s="7">
        <f>IF(AC236="","",NORM.S.DIST(AC236,TRUE))</f>
        <v/>
      </c>
      <c r="AE236" s="13">
        <f>IF(AD236="","",IF(AD236&lt;='组合输入'!$K7,"AAA",IF(AD236&lt;='组合输入'!$L7,"AA",IF(AD236&lt;='组合输入'!$M7,"A",IF(AD236&lt;='组合输入'!$N7,"BBB",IF(AD236&lt;='组合输入'!$O7,"BB",IF(AD236&lt;='组合输入'!$P7,"B",IF(AD236&lt;='组合输入'!$Q7,"CCC","D")))))))</f>
        <v/>
      </c>
      <c r="AF236" s="12">
        <f>IF(AE236="","",INDEX('状态价值'!$D7:$K7,MATCH(AE236,'状态价值'!$D$1:$K$1,0)))</f>
        <v/>
      </c>
      <c r="AG236" s="15">
        <f>NORM.S.INV(RAND())</f>
        <v/>
      </c>
      <c r="AH236" s="15">
        <f>IF('组合输入'!$C8="","",'组合输入'!$H8*$B236+SQRT(1-'组合输入'!$H8^2)*AG236)</f>
        <v/>
      </c>
      <c r="AI236" s="7">
        <f>IF(AH236="","",NORM.S.DIST(AH236,TRUE))</f>
        <v/>
      </c>
      <c r="AJ236" s="13">
        <f>IF(AI236="","",IF(AI236&lt;='组合输入'!$K8,"AAA",IF(AI236&lt;='组合输入'!$L8,"AA",IF(AI236&lt;='组合输入'!$M8,"A",IF(AI236&lt;='组合输入'!$N8,"BBB",IF(AI236&lt;='组合输入'!$O8,"BB",IF(AI236&lt;='组合输入'!$P8,"B",IF(AI236&lt;='组合输入'!$Q8,"CCC","D")))))))</f>
        <v/>
      </c>
      <c r="AK236" s="12">
        <f>IF(AJ236="","",INDEX('状态价值'!$D8:$K8,MATCH(AJ236,'状态价值'!$D$1:$K$1,0)))</f>
        <v/>
      </c>
      <c r="AL236" s="15">
        <f>NORM.S.INV(RAND())</f>
        <v/>
      </c>
      <c r="AM236" s="15">
        <f>IF('组合输入'!$C9="","",'组合输入'!$H9*$B236+SQRT(1-'组合输入'!$H9^2)*AL236)</f>
        <v/>
      </c>
      <c r="AN236" s="7">
        <f>IF(AM236="","",NORM.S.DIST(AM236,TRUE))</f>
        <v/>
      </c>
      <c r="AO236" s="13">
        <f>IF(AN236="","",IF(AN236&lt;='组合输入'!$K9,"AAA",IF(AN236&lt;='组合输入'!$L9,"AA",IF(AN236&lt;='组合输入'!$M9,"A",IF(AN236&lt;='组合输入'!$N9,"BBB",IF(AN236&lt;='组合输入'!$O9,"BB",IF(AN236&lt;='组合输入'!$P9,"B",IF(AN236&lt;='组合输入'!$Q9,"CCC","D")))))))</f>
        <v/>
      </c>
      <c r="AP236" s="12">
        <f>IF(AO236="","",INDEX('状态价值'!$D9:$K9,MATCH(AO236,'状态价值'!$D$1:$K$1,0)))</f>
        <v/>
      </c>
      <c r="AQ236" s="15">
        <f>NORM.S.INV(RAND())</f>
        <v/>
      </c>
      <c r="AR236" s="15">
        <f>IF('组合输入'!$C10="","",'组合输入'!$H10*$B236+SQRT(1-'组合输入'!$H10^2)*AQ236)</f>
        <v/>
      </c>
      <c r="AS236" s="7">
        <f>IF(AR236="","",NORM.S.DIST(AR236,TRUE))</f>
        <v/>
      </c>
      <c r="AT236" s="13">
        <f>IF(AS236="","",IF(AS236&lt;='组合输入'!$K10,"AAA",IF(AS236&lt;='组合输入'!$L10,"AA",IF(AS236&lt;='组合输入'!$M10,"A",IF(AS236&lt;='组合输入'!$N10,"BBB",IF(AS236&lt;='组合输入'!$O10,"BB",IF(AS236&lt;='组合输入'!$P10,"B",IF(AS236&lt;='组合输入'!$Q10,"CCC","D")))))))</f>
        <v/>
      </c>
      <c r="AU236" s="12">
        <f>IF(AT236="","",INDEX('状态价值'!$D10:$K10,MATCH(AT236,'状态价值'!$D$1:$K$1,0)))</f>
        <v/>
      </c>
      <c r="AV236" s="15">
        <f>NORM.S.INV(RAND())</f>
        <v/>
      </c>
      <c r="AW236" s="15">
        <f>IF('组合输入'!$C11="","",'组合输入'!$H11*$B236+SQRT(1-'组合输入'!$H11^2)*AV236)</f>
        <v/>
      </c>
      <c r="AX236" s="7">
        <f>IF(AW236="","",NORM.S.DIST(AW236,TRUE))</f>
        <v/>
      </c>
      <c r="AY236" s="13">
        <f>IF(AX236="","",IF(AX236&lt;='组合输入'!$K11,"AAA",IF(AX236&lt;='组合输入'!$L11,"AA",IF(AX236&lt;='组合输入'!$M11,"A",IF(AX236&lt;='组合输入'!$N11,"BBB",IF(AX236&lt;='组合输入'!$O11,"BB",IF(AX236&lt;='组合输入'!$P11,"B",IF(AX236&lt;='组合输入'!$Q11,"CCC","D")))))))</f>
        <v/>
      </c>
      <c r="AZ236" s="12">
        <f>IF(AY236="","",INDEX('状态价值'!$D11:$K11,MATCH(AY236,'状态价值'!$D$1:$K$1,0)))</f>
        <v/>
      </c>
      <c r="BA236" s="12">
        <f>G236+L236+Q236+V236+AA236+AF236+AK236+AP236+AU236+AZ236</f>
        <v/>
      </c>
      <c r="BB236" s="12">
        <f>SUM('组合输入'!$J$2:$J$11)-BA236</f>
        <v/>
      </c>
    </row>
    <row r="237">
      <c r="A237" s="11" t="n">
        <v>236</v>
      </c>
      <c r="B237" s="14">
        <f>NORM.S.INV(RAND())</f>
        <v/>
      </c>
      <c r="C237" s="14">
        <f>NORM.S.INV(RAND())</f>
        <v/>
      </c>
      <c r="D237" s="15">
        <f>IF('组合输入'!$C2="","",'组合输入'!$H2*$B237+SQRT(1-'组合输入'!$H2^2)*C237)</f>
        <v/>
      </c>
      <c r="E237" s="7">
        <f>IF(D237="","",NORM.S.DIST(D237,TRUE))</f>
        <v/>
      </c>
      <c r="F237" s="13">
        <f>IF(E237="","",IF(E237&lt;='组合输入'!$K2,"AAA",IF(E237&lt;='组合输入'!$L2,"AA",IF(E237&lt;='组合输入'!$M2,"A",IF(E237&lt;='组合输入'!$N2,"BBB",IF(E237&lt;='组合输入'!$O2,"BB",IF(E237&lt;='组合输入'!$P2,"B",IF(E237&lt;='组合输入'!$Q2,"CCC","D")))))))</f>
        <v/>
      </c>
      <c r="G237" s="12">
        <f>IF(F237="","",INDEX('状态价值'!$D2:$K2,MATCH(F237,'状态价值'!$D$1:$K$1,0)))</f>
        <v/>
      </c>
      <c r="H237" s="15">
        <f>NORM.S.INV(RAND())</f>
        <v/>
      </c>
      <c r="I237" s="15">
        <f>IF('组合输入'!$C3="","",'组合输入'!$H3*$B237+SQRT(1-'组合输入'!$H3^2)*H237)</f>
        <v/>
      </c>
      <c r="J237" s="7">
        <f>IF(I237="","",NORM.S.DIST(I237,TRUE))</f>
        <v/>
      </c>
      <c r="K237" s="13">
        <f>IF(J237="","",IF(J237&lt;='组合输入'!$K3,"AAA",IF(J237&lt;='组合输入'!$L3,"AA",IF(J237&lt;='组合输入'!$M3,"A",IF(J237&lt;='组合输入'!$N3,"BBB",IF(J237&lt;='组合输入'!$O3,"BB",IF(J237&lt;='组合输入'!$P3,"B",IF(J237&lt;='组合输入'!$Q3,"CCC","D")))))))</f>
        <v/>
      </c>
      <c r="L237" s="12">
        <f>IF(K237="","",INDEX('状态价值'!$D3:$K3,MATCH(K237,'状态价值'!$D$1:$K$1,0)))</f>
        <v/>
      </c>
      <c r="M237" s="15">
        <f>NORM.S.INV(RAND())</f>
        <v/>
      </c>
      <c r="N237" s="15">
        <f>IF('组合输入'!$C4="","",'组合输入'!$H4*$B237+SQRT(1-'组合输入'!$H4^2)*M237)</f>
        <v/>
      </c>
      <c r="O237" s="7">
        <f>IF(N237="","",NORM.S.DIST(N237,TRUE))</f>
        <v/>
      </c>
      <c r="P237" s="13">
        <f>IF(O237="","",IF(O237&lt;='组合输入'!$K4,"AAA",IF(O237&lt;='组合输入'!$L4,"AA",IF(O237&lt;='组合输入'!$M4,"A",IF(O237&lt;='组合输入'!$N4,"BBB",IF(O237&lt;='组合输入'!$O4,"BB",IF(O237&lt;='组合输入'!$P4,"B",IF(O237&lt;='组合输入'!$Q4,"CCC","D")))))))</f>
        <v/>
      </c>
      <c r="Q237" s="12">
        <f>IF(P237="","",INDEX('状态价值'!$D4:$K4,MATCH(P237,'状态价值'!$D$1:$K$1,0)))</f>
        <v/>
      </c>
      <c r="R237" s="15">
        <f>NORM.S.INV(RAND())</f>
        <v/>
      </c>
      <c r="S237" s="15">
        <f>IF('组合输入'!$C5="","",'组合输入'!$H5*$B237+SQRT(1-'组合输入'!$H5^2)*R237)</f>
        <v/>
      </c>
      <c r="T237" s="7">
        <f>IF(S237="","",NORM.S.DIST(S237,TRUE))</f>
        <v/>
      </c>
      <c r="U237" s="13">
        <f>IF(T237="","",IF(T237&lt;='组合输入'!$K5,"AAA",IF(T237&lt;='组合输入'!$L5,"AA",IF(T237&lt;='组合输入'!$M5,"A",IF(T237&lt;='组合输入'!$N5,"BBB",IF(T237&lt;='组合输入'!$O5,"BB",IF(T237&lt;='组合输入'!$P5,"B",IF(T237&lt;='组合输入'!$Q5,"CCC","D")))))))</f>
        <v/>
      </c>
      <c r="V237" s="12">
        <f>IF(U237="","",INDEX('状态价值'!$D5:$K5,MATCH(U237,'状态价值'!$D$1:$K$1,0)))</f>
        <v/>
      </c>
      <c r="W237" s="15">
        <f>NORM.S.INV(RAND())</f>
        <v/>
      </c>
      <c r="X237" s="15">
        <f>IF('组合输入'!$C6="","",'组合输入'!$H6*$B237+SQRT(1-'组合输入'!$H6^2)*W237)</f>
        <v/>
      </c>
      <c r="Y237" s="7">
        <f>IF(X237="","",NORM.S.DIST(X237,TRUE))</f>
        <v/>
      </c>
      <c r="Z237" s="13">
        <f>IF(Y237="","",IF(Y237&lt;='组合输入'!$K6,"AAA",IF(Y237&lt;='组合输入'!$L6,"AA",IF(Y237&lt;='组合输入'!$M6,"A",IF(Y237&lt;='组合输入'!$N6,"BBB",IF(Y237&lt;='组合输入'!$O6,"BB",IF(Y237&lt;='组合输入'!$P6,"B",IF(Y237&lt;='组合输入'!$Q6,"CCC","D")))))))</f>
        <v/>
      </c>
      <c r="AA237" s="12">
        <f>IF(Z237="","",INDEX('状态价值'!$D6:$K6,MATCH(Z237,'状态价值'!$D$1:$K$1,0)))</f>
        <v/>
      </c>
      <c r="AB237" s="15">
        <f>NORM.S.INV(RAND())</f>
        <v/>
      </c>
      <c r="AC237" s="15">
        <f>IF('组合输入'!$C7="","",'组合输入'!$H7*$B237+SQRT(1-'组合输入'!$H7^2)*AB237)</f>
        <v/>
      </c>
      <c r="AD237" s="7">
        <f>IF(AC237="","",NORM.S.DIST(AC237,TRUE))</f>
        <v/>
      </c>
      <c r="AE237" s="13">
        <f>IF(AD237="","",IF(AD237&lt;='组合输入'!$K7,"AAA",IF(AD237&lt;='组合输入'!$L7,"AA",IF(AD237&lt;='组合输入'!$M7,"A",IF(AD237&lt;='组合输入'!$N7,"BBB",IF(AD237&lt;='组合输入'!$O7,"BB",IF(AD237&lt;='组合输入'!$P7,"B",IF(AD237&lt;='组合输入'!$Q7,"CCC","D")))))))</f>
        <v/>
      </c>
      <c r="AF237" s="12">
        <f>IF(AE237="","",INDEX('状态价值'!$D7:$K7,MATCH(AE237,'状态价值'!$D$1:$K$1,0)))</f>
        <v/>
      </c>
      <c r="AG237" s="15">
        <f>NORM.S.INV(RAND())</f>
        <v/>
      </c>
      <c r="AH237" s="15">
        <f>IF('组合输入'!$C8="","",'组合输入'!$H8*$B237+SQRT(1-'组合输入'!$H8^2)*AG237)</f>
        <v/>
      </c>
      <c r="AI237" s="7">
        <f>IF(AH237="","",NORM.S.DIST(AH237,TRUE))</f>
        <v/>
      </c>
      <c r="AJ237" s="13">
        <f>IF(AI237="","",IF(AI237&lt;='组合输入'!$K8,"AAA",IF(AI237&lt;='组合输入'!$L8,"AA",IF(AI237&lt;='组合输入'!$M8,"A",IF(AI237&lt;='组合输入'!$N8,"BBB",IF(AI237&lt;='组合输入'!$O8,"BB",IF(AI237&lt;='组合输入'!$P8,"B",IF(AI237&lt;='组合输入'!$Q8,"CCC","D")))))))</f>
        <v/>
      </c>
      <c r="AK237" s="12">
        <f>IF(AJ237="","",INDEX('状态价值'!$D8:$K8,MATCH(AJ237,'状态价值'!$D$1:$K$1,0)))</f>
        <v/>
      </c>
      <c r="AL237" s="15">
        <f>NORM.S.INV(RAND())</f>
        <v/>
      </c>
      <c r="AM237" s="15">
        <f>IF('组合输入'!$C9="","",'组合输入'!$H9*$B237+SQRT(1-'组合输入'!$H9^2)*AL237)</f>
        <v/>
      </c>
      <c r="AN237" s="7">
        <f>IF(AM237="","",NORM.S.DIST(AM237,TRUE))</f>
        <v/>
      </c>
      <c r="AO237" s="13">
        <f>IF(AN237="","",IF(AN237&lt;='组合输入'!$K9,"AAA",IF(AN237&lt;='组合输入'!$L9,"AA",IF(AN237&lt;='组合输入'!$M9,"A",IF(AN237&lt;='组合输入'!$N9,"BBB",IF(AN237&lt;='组合输入'!$O9,"BB",IF(AN237&lt;='组合输入'!$P9,"B",IF(AN237&lt;='组合输入'!$Q9,"CCC","D")))))))</f>
        <v/>
      </c>
      <c r="AP237" s="12">
        <f>IF(AO237="","",INDEX('状态价值'!$D9:$K9,MATCH(AO237,'状态价值'!$D$1:$K$1,0)))</f>
        <v/>
      </c>
      <c r="AQ237" s="15">
        <f>NORM.S.INV(RAND())</f>
        <v/>
      </c>
      <c r="AR237" s="15">
        <f>IF('组合输入'!$C10="","",'组合输入'!$H10*$B237+SQRT(1-'组合输入'!$H10^2)*AQ237)</f>
        <v/>
      </c>
      <c r="AS237" s="7">
        <f>IF(AR237="","",NORM.S.DIST(AR237,TRUE))</f>
        <v/>
      </c>
      <c r="AT237" s="13">
        <f>IF(AS237="","",IF(AS237&lt;='组合输入'!$K10,"AAA",IF(AS237&lt;='组合输入'!$L10,"AA",IF(AS237&lt;='组合输入'!$M10,"A",IF(AS237&lt;='组合输入'!$N10,"BBB",IF(AS237&lt;='组合输入'!$O10,"BB",IF(AS237&lt;='组合输入'!$P10,"B",IF(AS237&lt;='组合输入'!$Q10,"CCC","D")))))))</f>
        <v/>
      </c>
      <c r="AU237" s="12">
        <f>IF(AT237="","",INDEX('状态价值'!$D10:$K10,MATCH(AT237,'状态价值'!$D$1:$K$1,0)))</f>
        <v/>
      </c>
      <c r="AV237" s="15">
        <f>NORM.S.INV(RAND())</f>
        <v/>
      </c>
      <c r="AW237" s="15">
        <f>IF('组合输入'!$C11="","",'组合输入'!$H11*$B237+SQRT(1-'组合输入'!$H11^2)*AV237)</f>
        <v/>
      </c>
      <c r="AX237" s="7">
        <f>IF(AW237="","",NORM.S.DIST(AW237,TRUE))</f>
        <v/>
      </c>
      <c r="AY237" s="13">
        <f>IF(AX237="","",IF(AX237&lt;='组合输入'!$K11,"AAA",IF(AX237&lt;='组合输入'!$L11,"AA",IF(AX237&lt;='组合输入'!$M11,"A",IF(AX237&lt;='组合输入'!$N11,"BBB",IF(AX237&lt;='组合输入'!$O11,"BB",IF(AX237&lt;='组合输入'!$P11,"B",IF(AX237&lt;='组合输入'!$Q11,"CCC","D")))))))</f>
        <v/>
      </c>
      <c r="AZ237" s="12">
        <f>IF(AY237="","",INDEX('状态价值'!$D11:$K11,MATCH(AY237,'状态价值'!$D$1:$K$1,0)))</f>
        <v/>
      </c>
      <c r="BA237" s="12">
        <f>G237+L237+Q237+V237+AA237+AF237+AK237+AP237+AU237+AZ237</f>
        <v/>
      </c>
      <c r="BB237" s="12">
        <f>SUM('组合输入'!$J$2:$J$11)-BA237</f>
        <v/>
      </c>
    </row>
    <row r="238">
      <c r="A238" s="11" t="n">
        <v>237</v>
      </c>
      <c r="B238" s="14">
        <f>NORM.S.INV(RAND())</f>
        <v/>
      </c>
      <c r="C238" s="14">
        <f>NORM.S.INV(RAND())</f>
        <v/>
      </c>
      <c r="D238" s="15">
        <f>IF('组合输入'!$C2="","",'组合输入'!$H2*$B238+SQRT(1-'组合输入'!$H2^2)*C238)</f>
        <v/>
      </c>
      <c r="E238" s="7">
        <f>IF(D238="","",NORM.S.DIST(D238,TRUE))</f>
        <v/>
      </c>
      <c r="F238" s="13">
        <f>IF(E238="","",IF(E238&lt;='组合输入'!$K2,"AAA",IF(E238&lt;='组合输入'!$L2,"AA",IF(E238&lt;='组合输入'!$M2,"A",IF(E238&lt;='组合输入'!$N2,"BBB",IF(E238&lt;='组合输入'!$O2,"BB",IF(E238&lt;='组合输入'!$P2,"B",IF(E238&lt;='组合输入'!$Q2,"CCC","D")))))))</f>
        <v/>
      </c>
      <c r="G238" s="12">
        <f>IF(F238="","",INDEX('状态价值'!$D2:$K2,MATCH(F238,'状态价值'!$D$1:$K$1,0)))</f>
        <v/>
      </c>
      <c r="H238" s="15">
        <f>NORM.S.INV(RAND())</f>
        <v/>
      </c>
      <c r="I238" s="15">
        <f>IF('组合输入'!$C3="","",'组合输入'!$H3*$B238+SQRT(1-'组合输入'!$H3^2)*H238)</f>
        <v/>
      </c>
      <c r="J238" s="7">
        <f>IF(I238="","",NORM.S.DIST(I238,TRUE))</f>
        <v/>
      </c>
      <c r="K238" s="13">
        <f>IF(J238="","",IF(J238&lt;='组合输入'!$K3,"AAA",IF(J238&lt;='组合输入'!$L3,"AA",IF(J238&lt;='组合输入'!$M3,"A",IF(J238&lt;='组合输入'!$N3,"BBB",IF(J238&lt;='组合输入'!$O3,"BB",IF(J238&lt;='组合输入'!$P3,"B",IF(J238&lt;='组合输入'!$Q3,"CCC","D")))))))</f>
        <v/>
      </c>
      <c r="L238" s="12">
        <f>IF(K238="","",INDEX('状态价值'!$D3:$K3,MATCH(K238,'状态价值'!$D$1:$K$1,0)))</f>
        <v/>
      </c>
      <c r="M238" s="15">
        <f>NORM.S.INV(RAND())</f>
        <v/>
      </c>
      <c r="N238" s="15">
        <f>IF('组合输入'!$C4="","",'组合输入'!$H4*$B238+SQRT(1-'组合输入'!$H4^2)*M238)</f>
        <v/>
      </c>
      <c r="O238" s="7">
        <f>IF(N238="","",NORM.S.DIST(N238,TRUE))</f>
        <v/>
      </c>
      <c r="P238" s="13">
        <f>IF(O238="","",IF(O238&lt;='组合输入'!$K4,"AAA",IF(O238&lt;='组合输入'!$L4,"AA",IF(O238&lt;='组合输入'!$M4,"A",IF(O238&lt;='组合输入'!$N4,"BBB",IF(O238&lt;='组合输入'!$O4,"BB",IF(O238&lt;='组合输入'!$P4,"B",IF(O238&lt;='组合输入'!$Q4,"CCC","D")))))))</f>
        <v/>
      </c>
      <c r="Q238" s="12">
        <f>IF(P238="","",INDEX('状态价值'!$D4:$K4,MATCH(P238,'状态价值'!$D$1:$K$1,0)))</f>
        <v/>
      </c>
      <c r="R238" s="15">
        <f>NORM.S.INV(RAND())</f>
        <v/>
      </c>
      <c r="S238" s="15">
        <f>IF('组合输入'!$C5="","",'组合输入'!$H5*$B238+SQRT(1-'组合输入'!$H5^2)*R238)</f>
        <v/>
      </c>
      <c r="T238" s="7">
        <f>IF(S238="","",NORM.S.DIST(S238,TRUE))</f>
        <v/>
      </c>
      <c r="U238" s="13">
        <f>IF(T238="","",IF(T238&lt;='组合输入'!$K5,"AAA",IF(T238&lt;='组合输入'!$L5,"AA",IF(T238&lt;='组合输入'!$M5,"A",IF(T238&lt;='组合输入'!$N5,"BBB",IF(T238&lt;='组合输入'!$O5,"BB",IF(T238&lt;='组合输入'!$P5,"B",IF(T238&lt;='组合输入'!$Q5,"CCC","D")))))))</f>
        <v/>
      </c>
      <c r="V238" s="12">
        <f>IF(U238="","",INDEX('状态价值'!$D5:$K5,MATCH(U238,'状态价值'!$D$1:$K$1,0)))</f>
        <v/>
      </c>
      <c r="W238" s="15">
        <f>NORM.S.INV(RAND())</f>
        <v/>
      </c>
      <c r="X238" s="15">
        <f>IF('组合输入'!$C6="","",'组合输入'!$H6*$B238+SQRT(1-'组合输入'!$H6^2)*W238)</f>
        <v/>
      </c>
      <c r="Y238" s="7">
        <f>IF(X238="","",NORM.S.DIST(X238,TRUE))</f>
        <v/>
      </c>
      <c r="Z238" s="13">
        <f>IF(Y238="","",IF(Y238&lt;='组合输入'!$K6,"AAA",IF(Y238&lt;='组合输入'!$L6,"AA",IF(Y238&lt;='组合输入'!$M6,"A",IF(Y238&lt;='组合输入'!$N6,"BBB",IF(Y238&lt;='组合输入'!$O6,"BB",IF(Y238&lt;='组合输入'!$P6,"B",IF(Y238&lt;='组合输入'!$Q6,"CCC","D")))))))</f>
        <v/>
      </c>
      <c r="AA238" s="12">
        <f>IF(Z238="","",INDEX('状态价值'!$D6:$K6,MATCH(Z238,'状态价值'!$D$1:$K$1,0)))</f>
        <v/>
      </c>
      <c r="AB238" s="15">
        <f>NORM.S.INV(RAND())</f>
        <v/>
      </c>
      <c r="AC238" s="15">
        <f>IF('组合输入'!$C7="","",'组合输入'!$H7*$B238+SQRT(1-'组合输入'!$H7^2)*AB238)</f>
        <v/>
      </c>
      <c r="AD238" s="7">
        <f>IF(AC238="","",NORM.S.DIST(AC238,TRUE))</f>
        <v/>
      </c>
      <c r="AE238" s="13">
        <f>IF(AD238="","",IF(AD238&lt;='组合输入'!$K7,"AAA",IF(AD238&lt;='组合输入'!$L7,"AA",IF(AD238&lt;='组合输入'!$M7,"A",IF(AD238&lt;='组合输入'!$N7,"BBB",IF(AD238&lt;='组合输入'!$O7,"BB",IF(AD238&lt;='组合输入'!$P7,"B",IF(AD238&lt;='组合输入'!$Q7,"CCC","D")))))))</f>
        <v/>
      </c>
      <c r="AF238" s="12">
        <f>IF(AE238="","",INDEX('状态价值'!$D7:$K7,MATCH(AE238,'状态价值'!$D$1:$K$1,0)))</f>
        <v/>
      </c>
      <c r="AG238" s="15">
        <f>NORM.S.INV(RAND())</f>
        <v/>
      </c>
      <c r="AH238" s="15">
        <f>IF('组合输入'!$C8="","",'组合输入'!$H8*$B238+SQRT(1-'组合输入'!$H8^2)*AG238)</f>
        <v/>
      </c>
      <c r="AI238" s="7">
        <f>IF(AH238="","",NORM.S.DIST(AH238,TRUE))</f>
        <v/>
      </c>
      <c r="AJ238" s="13">
        <f>IF(AI238="","",IF(AI238&lt;='组合输入'!$K8,"AAA",IF(AI238&lt;='组合输入'!$L8,"AA",IF(AI238&lt;='组合输入'!$M8,"A",IF(AI238&lt;='组合输入'!$N8,"BBB",IF(AI238&lt;='组合输入'!$O8,"BB",IF(AI238&lt;='组合输入'!$P8,"B",IF(AI238&lt;='组合输入'!$Q8,"CCC","D")))))))</f>
        <v/>
      </c>
      <c r="AK238" s="12">
        <f>IF(AJ238="","",INDEX('状态价值'!$D8:$K8,MATCH(AJ238,'状态价值'!$D$1:$K$1,0)))</f>
        <v/>
      </c>
      <c r="AL238" s="15">
        <f>NORM.S.INV(RAND())</f>
        <v/>
      </c>
      <c r="AM238" s="15">
        <f>IF('组合输入'!$C9="","",'组合输入'!$H9*$B238+SQRT(1-'组合输入'!$H9^2)*AL238)</f>
        <v/>
      </c>
      <c r="AN238" s="7">
        <f>IF(AM238="","",NORM.S.DIST(AM238,TRUE))</f>
        <v/>
      </c>
      <c r="AO238" s="13">
        <f>IF(AN238="","",IF(AN238&lt;='组合输入'!$K9,"AAA",IF(AN238&lt;='组合输入'!$L9,"AA",IF(AN238&lt;='组合输入'!$M9,"A",IF(AN238&lt;='组合输入'!$N9,"BBB",IF(AN238&lt;='组合输入'!$O9,"BB",IF(AN238&lt;='组合输入'!$P9,"B",IF(AN238&lt;='组合输入'!$Q9,"CCC","D")))))))</f>
        <v/>
      </c>
      <c r="AP238" s="12">
        <f>IF(AO238="","",INDEX('状态价值'!$D9:$K9,MATCH(AO238,'状态价值'!$D$1:$K$1,0)))</f>
        <v/>
      </c>
      <c r="AQ238" s="15">
        <f>NORM.S.INV(RAND())</f>
        <v/>
      </c>
      <c r="AR238" s="15">
        <f>IF('组合输入'!$C10="","",'组合输入'!$H10*$B238+SQRT(1-'组合输入'!$H10^2)*AQ238)</f>
        <v/>
      </c>
      <c r="AS238" s="7">
        <f>IF(AR238="","",NORM.S.DIST(AR238,TRUE))</f>
        <v/>
      </c>
      <c r="AT238" s="13">
        <f>IF(AS238="","",IF(AS238&lt;='组合输入'!$K10,"AAA",IF(AS238&lt;='组合输入'!$L10,"AA",IF(AS238&lt;='组合输入'!$M10,"A",IF(AS238&lt;='组合输入'!$N10,"BBB",IF(AS238&lt;='组合输入'!$O10,"BB",IF(AS238&lt;='组合输入'!$P10,"B",IF(AS238&lt;='组合输入'!$Q10,"CCC","D")))))))</f>
        <v/>
      </c>
      <c r="AU238" s="12">
        <f>IF(AT238="","",INDEX('状态价值'!$D10:$K10,MATCH(AT238,'状态价值'!$D$1:$K$1,0)))</f>
        <v/>
      </c>
      <c r="AV238" s="15">
        <f>NORM.S.INV(RAND())</f>
        <v/>
      </c>
      <c r="AW238" s="15">
        <f>IF('组合输入'!$C11="","",'组合输入'!$H11*$B238+SQRT(1-'组合输入'!$H11^2)*AV238)</f>
        <v/>
      </c>
      <c r="AX238" s="7">
        <f>IF(AW238="","",NORM.S.DIST(AW238,TRUE))</f>
        <v/>
      </c>
      <c r="AY238" s="13">
        <f>IF(AX238="","",IF(AX238&lt;='组合输入'!$K11,"AAA",IF(AX238&lt;='组合输入'!$L11,"AA",IF(AX238&lt;='组合输入'!$M11,"A",IF(AX238&lt;='组合输入'!$N11,"BBB",IF(AX238&lt;='组合输入'!$O11,"BB",IF(AX238&lt;='组合输入'!$P11,"B",IF(AX238&lt;='组合输入'!$Q11,"CCC","D")))))))</f>
        <v/>
      </c>
      <c r="AZ238" s="12">
        <f>IF(AY238="","",INDEX('状态价值'!$D11:$K11,MATCH(AY238,'状态价值'!$D$1:$K$1,0)))</f>
        <v/>
      </c>
      <c r="BA238" s="12">
        <f>G238+L238+Q238+V238+AA238+AF238+AK238+AP238+AU238+AZ238</f>
        <v/>
      </c>
      <c r="BB238" s="12">
        <f>SUM('组合输入'!$J$2:$J$11)-BA238</f>
        <v/>
      </c>
    </row>
    <row r="239">
      <c r="A239" s="11" t="n">
        <v>238</v>
      </c>
      <c r="B239" s="14">
        <f>NORM.S.INV(RAND())</f>
        <v/>
      </c>
      <c r="C239" s="14">
        <f>NORM.S.INV(RAND())</f>
        <v/>
      </c>
      <c r="D239" s="15">
        <f>IF('组合输入'!$C2="","",'组合输入'!$H2*$B239+SQRT(1-'组合输入'!$H2^2)*C239)</f>
        <v/>
      </c>
      <c r="E239" s="7">
        <f>IF(D239="","",NORM.S.DIST(D239,TRUE))</f>
        <v/>
      </c>
      <c r="F239" s="13">
        <f>IF(E239="","",IF(E239&lt;='组合输入'!$K2,"AAA",IF(E239&lt;='组合输入'!$L2,"AA",IF(E239&lt;='组合输入'!$M2,"A",IF(E239&lt;='组合输入'!$N2,"BBB",IF(E239&lt;='组合输入'!$O2,"BB",IF(E239&lt;='组合输入'!$P2,"B",IF(E239&lt;='组合输入'!$Q2,"CCC","D")))))))</f>
        <v/>
      </c>
      <c r="G239" s="12">
        <f>IF(F239="","",INDEX('状态价值'!$D2:$K2,MATCH(F239,'状态价值'!$D$1:$K$1,0)))</f>
        <v/>
      </c>
      <c r="H239" s="15">
        <f>NORM.S.INV(RAND())</f>
        <v/>
      </c>
      <c r="I239" s="15">
        <f>IF('组合输入'!$C3="","",'组合输入'!$H3*$B239+SQRT(1-'组合输入'!$H3^2)*H239)</f>
        <v/>
      </c>
      <c r="J239" s="7">
        <f>IF(I239="","",NORM.S.DIST(I239,TRUE))</f>
        <v/>
      </c>
      <c r="K239" s="13">
        <f>IF(J239="","",IF(J239&lt;='组合输入'!$K3,"AAA",IF(J239&lt;='组合输入'!$L3,"AA",IF(J239&lt;='组合输入'!$M3,"A",IF(J239&lt;='组合输入'!$N3,"BBB",IF(J239&lt;='组合输入'!$O3,"BB",IF(J239&lt;='组合输入'!$P3,"B",IF(J239&lt;='组合输入'!$Q3,"CCC","D")))))))</f>
        <v/>
      </c>
      <c r="L239" s="12">
        <f>IF(K239="","",INDEX('状态价值'!$D3:$K3,MATCH(K239,'状态价值'!$D$1:$K$1,0)))</f>
        <v/>
      </c>
      <c r="M239" s="15">
        <f>NORM.S.INV(RAND())</f>
        <v/>
      </c>
      <c r="N239" s="15">
        <f>IF('组合输入'!$C4="","",'组合输入'!$H4*$B239+SQRT(1-'组合输入'!$H4^2)*M239)</f>
        <v/>
      </c>
      <c r="O239" s="7">
        <f>IF(N239="","",NORM.S.DIST(N239,TRUE))</f>
        <v/>
      </c>
      <c r="P239" s="13">
        <f>IF(O239="","",IF(O239&lt;='组合输入'!$K4,"AAA",IF(O239&lt;='组合输入'!$L4,"AA",IF(O239&lt;='组合输入'!$M4,"A",IF(O239&lt;='组合输入'!$N4,"BBB",IF(O239&lt;='组合输入'!$O4,"BB",IF(O239&lt;='组合输入'!$P4,"B",IF(O239&lt;='组合输入'!$Q4,"CCC","D")))))))</f>
        <v/>
      </c>
      <c r="Q239" s="12">
        <f>IF(P239="","",INDEX('状态价值'!$D4:$K4,MATCH(P239,'状态价值'!$D$1:$K$1,0)))</f>
        <v/>
      </c>
      <c r="R239" s="15">
        <f>NORM.S.INV(RAND())</f>
        <v/>
      </c>
      <c r="S239" s="15">
        <f>IF('组合输入'!$C5="","",'组合输入'!$H5*$B239+SQRT(1-'组合输入'!$H5^2)*R239)</f>
        <v/>
      </c>
      <c r="T239" s="7">
        <f>IF(S239="","",NORM.S.DIST(S239,TRUE))</f>
        <v/>
      </c>
      <c r="U239" s="13">
        <f>IF(T239="","",IF(T239&lt;='组合输入'!$K5,"AAA",IF(T239&lt;='组合输入'!$L5,"AA",IF(T239&lt;='组合输入'!$M5,"A",IF(T239&lt;='组合输入'!$N5,"BBB",IF(T239&lt;='组合输入'!$O5,"BB",IF(T239&lt;='组合输入'!$P5,"B",IF(T239&lt;='组合输入'!$Q5,"CCC","D")))))))</f>
        <v/>
      </c>
      <c r="V239" s="12">
        <f>IF(U239="","",INDEX('状态价值'!$D5:$K5,MATCH(U239,'状态价值'!$D$1:$K$1,0)))</f>
        <v/>
      </c>
      <c r="W239" s="15">
        <f>NORM.S.INV(RAND())</f>
        <v/>
      </c>
      <c r="X239" s="15">
        <f>IF('组合输入'!$C6="","",'组合输入'!$H6*$B239+SQRT(1-'组合输入'!$H6^2)*W239)</f>
        <v/>
      </c>
      <c r="Y239" s="7">
        <f>IF(X239="","",NORM.S.DIST(X239,TRUE))</f>
        <v/>
      </c>
      <c r="Z239" s="13">
        <f>IF(Y239="","",IF(Y239&lt;='组合输入'!$K6,"AAA",IF(Y239&lt;='组合输入'!$L6,"AA",IF(Y239&lt;='组合输入'!$M6,"A",IF(Y239&lt;='组合输入'!$N6,"BBB",IF(Y239&lt;='组合输入'!$O6,"BB",IF(Y239&lt;='组合输入'!$P6,"B",IF(Y239&lt;='组合输入'!$Q6,"CCC","D")))))))</f>
        <v/>
      </c>
      <c r="AA239" s="12">
        <f>IF(Z239="","",INDEX('状态价值'!$D6:$K6,MATCH(Z239,'状态价值'!$D$1:$K$1,0)))</f>
        <v/>
      </c>
      <c r="AB239" s="15">
        <f>NORM.S.INV(RAND())</f>
        <v/>
      </c>
      <c r="AC239" s="15">
        <f>IF('组合输入'!$C7="","",'组合输入'!$H7*$B239+SQRT(1-'组合输入'!$H7^2)*AB239)</f>
        <v/>
      </c>
      <c r="AD239" s="7">
        <f>IF(AC239="","",NORM.S.DIST(AC239,TRUE))</f>
        <v/>
      </c>
      <c r="AE239" s="13">
        <f>IF(AD239="","",IF(AD239&lt;='组合输入'!$K7,"AAA",IF(AD239&lt;='组合输入'!$L7,"AA",IF(AD239&lt;='组合输入'!$M7,"A",IF(AD239&lt;='组合输入'!$N7,"BBB",IF(AD239&lt;='组合输入'!$O7,"BB",IF(AD239&lt;='组合输入'!$P7,"B",IF(AD239&lt;='组合输入'!$Q7,"CCC","D")))))))</f>
        <v/>
      </c>
      <c r="AF239" s="12">
        <f>IF(AE239="","",INDEX('状态价值'!$D7:$K7,MATCH(AE239,'状态价值'!$D$1:$K$1,0)))</f>
        <v/>
      </c>
      <c r="AG239" s="15">
        <f>NORM.S.INV(RAND())</f>
        <v/>
      </c>
      <c r="AH239" s="15">
        <f>IF('组合输入'!$C8="","",'组合输入'!$H8*$B239+SQRT(1-'组合输入'!$H8^2)*AG239)</f>
        <v/>
      </c>
      <c r="AI239" s="7">
        <f>IF(AH239="","",NORM.S.DIST(AH239,TRUE))</f>
        <v/>
      </c>
      <c r="AJ239" s="13">
        <f>IF(AI239="","",IF(AI239&lt;='组合输入'!$K8,"AAA",IF(AI239&lt;='组合输入'!$L8,"AA",IF(AI239&lt;='组合输入'!$M8,"A",IF(AI239&lt;='组合输入'!$N8,"BBB",IF(AI239&lt;='组合输入'!$O8,"BB",IF(AI239&lt;='组合输入'!$P8,"B",IF(AI239&lt;='组合输入'!$Q8,"CCC","D")))))))</f>
        <v/>
      </c>
      <c r="AK239" s="12">
        <f>IF(AJ239="","",INDEX('状态价值'!$D8:$K8,MATCH(AJ239,'状态价值'!$D$1:$K$1,0)))</f>
        <v/>
      </c>
      <c r="AL239" s="15">
        <f>NORM.S.INV(RAND())</f>
        <v/>
      </c>
      <c r="AM239" s="15">
        <f>IF('组合输入'!$C9="","",'组合输入'!$H9*$B239+SQRT(1-'组合输入'!$H9^2)*AL239)</f>
        <v/>
      </c>
      <c r="AN239" s="7">
        <f>IF(AM239="","",NORM.S.DIST(AM239,TRUE))</f>
        <v/>
      </c>
      <c r="AO239" s="13">
        <f>IF(AN239="","",IF(AN239&lt;='组合输入'!$K9,"AAA",IF(AN239&lt;='组合输入'!$L9,"AA",IF(AN239&lt;='组合输入'!$M9,"A",IF(AN239&lt;='组合输入'!$N9,"BBB",IF(AN239&lt;='组合输入'!$O9,"BB",IF(AN239&lt;='组合输入'!$P9,"B",IF(AN239&lt;='组合输入'!$Q9,"CCC","D")))))))</f>
        <v/>
      </c>
      <c r="AP239" s="12">
        <f>IF(AO239="","",INDEX('状态价值'!$D9:$K9,MATCH(AO239,'状态价值'!$D$1:$K$1,0)))</f>
        <v/>
      </c>
      <c r="AQ239" s="15">
        <f>NORM.S.INV(RAND())</f>
        <v/>
      </c>
      <c r="AR239" s="15">
        <f>IF('组合输入'!$C10="","",'组合输入'!$H10*$B239+SQRT(1-'组合输入'!$H10^2)*AQ239)</f>
        <v/>
      </c>
      <c r="AS239" s="7">
        <f>IF(AR239="","",NORM.S.DIST(AR239,TRUE))</f>
        <v/>
      </c>
      <c r="AT239" s="13">
        <f>IF(AS239="","",IF(AS239&lt;='组合输入'!$K10,"AAA",IF(AS239&lt;='组合输入'!$L10,"AA",IF(AS239&lt;='组合输入'!$M10,"A",IF(AS239&lt;='组合输入'!$N10,"BBB",IF(AS239&lt;='组合输入'!$O10,"BB",IF(AS239&lt;='组合输入'!$P10,"B",IF(AS239&lt;='组合输入'!$Q10,"CCC","D")))))))</f>
        <v/>
      </c>
      <c r="AU239" s="12">
        <f>IF(AT239="","",INDEX('状态价值'!$D10:$K10,MATCH(AT239,'状态价值'!$D$1:$K$1,0)))</f>
        <v/>
      </c>
      <c r="AV239" s="15">
        <f>NORM.S.INV(RAND())</f>
        <v/>
      </c>
      <c r="AW239" s="15">
        <f>IF('组合输入'!$C11="","",'组合输入'!$H11*$B239+SQRT(1-'组合输入'!$H11^2)*AV239)</f>
        <v/>
      </c>
      <c r="AX239" s="7">
        <f>IF(AW239="","",NORM.S.DIST(AW239,TRUE))</f>
        <v/>
      </c>
      <c r="AY239" s="13">
        <f>IF(AX239="","",IF(AX239&lt;='组合输入'!$K11,"AAA",IF(AX239&lt;='组合输入'!$L11,"AA",IF(AX239&lt;='组合输入'!$M11,"A",IF(AX239&lt;='组合输入'!$N11,"BBB",IF(AX239&lt;='组合输入'!$O11,"BB",IF(AX239&lt;='组合输入'!$P11,"B",IF(AX239&lt;='组合输入'!$Q11,"CCC","D")))))))</f>
        <v/>
      </c>
      <c r="AZ239" s="12">
        <f>IF(AY239="","",INDEX('状态价值'!$D11:$K11,MATCH(AY239,'状态价值'!$D$1:$K$1,0)))</f>
        <v/>
      </c>
      <c r="BA239" s="12">
        <f>G239+L239+Q239+V239+AA239+AF239+AK239+AP239+AU239+AZ239</f>
        <v/>
      </c>
      <c r="BB239" s="12">
        <f>SUM('组合输入'!$J$2:$J$11)-BA239</f>
        <v/>
      </c>
    </row>
    <row r="240">
      <c r="A240" s="11" t="n">
        <v>239</v>
      </c>
      <c r="B240" s="14">
        <f>NORM.S.INV(RAND())</f>
        <v/>
      </c>
      <c r="C240" s="14">
        <f>NORM.S.INV(RAND())</f>
        <v/>
      </c>
      <c r="D240" s="15">
        <f>IF('组合输入'!$C2="","",'组合输入'!$H2*$B240+SQRT(1-'组合输入'!$H2^2)*C240)</f>
        <v/>
      </c>
      <c r="E240" s="7">
        <f>IF(D240="","",NORM.S.DIST(D240,TRUE))</f>
        <v/>
      </c>
      <c r="F240" s="13">
        <f>IF(E240="","",IF(E240&lt;='组合输入'!$K2,"AAA",IF(E240&lt;='组合输入'!$L2,"AA",IF(E240&lt;='组合输入'!$M2,"A",IF(E240&lt;='组合输入'!$N2,"BBB",IF(E240&lt;='组合输入'!$O2,"BB",IF(E240&lt;='组合输入'!$P2,"B",IF(E240&lt;='组合输入'!$Q2,"CCC","D")))))))</f>
        <v/>
      </c>
      <c r="G240" s="12">
        <f>IF(F240="","",INDEX('状态价值'!$D2:$K2,MATCH(F240,'状态价值'!$D$1:$K$1,0)))</f>
        <v/>
      </c>
      <c r="H240" s="15">
        <f>NORM.S.INV(RAND())</f>
        <v/>
      </c>
      <c r="I240" s="15">
        <f>IF('组合输入'!$C3="","",'组合输入'!$H3*$B240+SQRT(1-'组合输入'!$H3^2)*H240)</f>
        <v/>
      </c>
      <c r="J240" s="7">
        <f>IF(I240="","",NORM.S.DIST(I240,TRUE))</f>
        <v/>
      </c>
      <c r="K240" s="13">
        <f>IF(J240="","",IF(J240&lt;='组合输入'!$K3,"AAA",IF(J240&lt;='组合输入'!$L3,"AA",IF(J240&lt;='组合输入'!$M3,"A",IF(J240&lt;='组合输入'!$N3,"BBB",IF(J240&lt;='组合输入'!$O3,"BB",IF(J240&lt;='组合输入'!$P3,"B",IF(J240&lt;='组合输入'!$Q3,"CCC","D")))))))</f>
        <v/>
      </c>
      <c r="L240" s="12">
        <f>IF(K240="","",INDEX('状态价值'!$D3:$K3,MATCH(K240,'状态价值'!$D$1:$K$1,0)))</f>
        <v/>
      </c>
      <c r="M240" s="15">
        <f>NORM.S.INV(RAND())</f>
        <v/>
      </c>
      <c r="N240" s="15">
        <f>IF('组合输入'!$C4="","",'组合输入'!$H4*$B240+SQRT(1-'组合输入'!$H4^2)*M240)</f>
        <v/>
      </c>
      <c r="O240" s="7">
        <f>IF(N240="","",NORM.S.DIST(N240,TRUE))</f>
        <v/>
      </c>
      <c r="P240" s="13">
        <f>IF(O240="","",IF(O240&lt;='组合输入'!$K4,"AAA",IF(O240&lt;='组合输入'!$L4,"AA",IF(O240&lt;='组合输入'!$M4,"A",IF(O240&lt;='组合输入'!$N4,"BBB",IF(O240&lt;='组合输入'!$O4,"BB",IF(O240&lt;='组合输入'!$P4,"B",IF(O240&lt;='组合输入'!$Q4,"CCC","D")))))))</f>
        <v/>
      </c>
      <c r="Q240" s="12">
        <f>IF(P240="","",INDEX('状态价值'!$D4:$K4,MATCH(P240,'状态价值'!$D$1:$K$1,0)))</f>
        <v/>
      </c>
      <c r="R240" s="15">
        <f>NORM.S.INV(RAND())</f>
        <v/>
      </c>
      <c r="S240" s="15">
        <f>IF('组合输入'!$C5="","",'组合输入'!$H5*$B240+SQRT(1-'组合输入'!$H5^2)*R240)</f>
        <v/>
      </c>
      <c r="T240" s="7">
        <f>IF(S240="","",NORM.S.DIST(S240,TRUE))</f>
        <v/>
      </c>
      <c r="U240" s="13">
        <f>IF(T240="","",IF(T240&lt;='组合输入'!$K5,"AAA",IF(T240&lt;='组合输入'!$L5,"AA",IF(T240&lt;='组合输入'!$M5,"A",IF(T240&lt;='组合输入'!$N5,"BBB",IF(T240&lt;='组合输入'!$O5,"BB",IF(T240&lt;='组合输入'!$P5,"B",IF(T240&lt;='组合输入'!$Q5,"CCC","D")))))))</f>
        <v/>
      </c>
      <c r="V240" s="12">
        <f>IF(U240="","",INDEX('状态价值'!$D5:$K5,MATCH(U240,'状态价值'!$D$1:$K$1,0)))</f>
        <v/>
      </c>
      <c r="W240" s="15">
        <f>NORM.S.INV(RAND())</f>
        <v/>
      </c>
      <c r="X240" s="15">
        <f>IF('组合输入'!$C6="","",'组合输入'!$H6*$B240+SQRT(1-'组合输入'!$H6^2)*W240)</f>
        <v/>
      </c>
      <c r="Y240" s="7">
        <f>IF(X240="","",NORM.S.DIST(X240,TRUE))</f>
        <v/>
      </c>
      <c r="Z240" s="13">
        <f>IF(Y240="","",IF(Y240&lt;='组合输入'!$K6,"AAA",IF(Y240&lt;='组合输入'!$L6,"AA",IF(Y240&lt;='组合输入'!$M6,"A",IF(Y240&lt;='组合输入'!$N6,"BBB",IF(Y240&lt;='组合输入'!$O6,"BB",IF(Y240&lt;='组合输入'!$P6,"B",IF(Y240&lt;='组合输入'!$Q6,"CCC","D")))))))</f>
        <v/>
      </c>
      <c r="AA240" s="12">
        <f>IF(Z240="","",INDEX('状态价值'!$D6:$K6,MATCH(Z240,'状态价值'!$D$1:$K$1,0)))</f>
        <v/>
      </c>
      <c r="AB240" s="15">
        <f>NORM.S.INV(RAND())</f>
        <v/>
      </c>
      <c r="AC240" s="15">
        <f>IF('组合输入'!$C7="","",'组合输入'!$H7*$B240+SQRT(1-'组合输入'!$H7^2)*AB240)</f>
        <v/>
      </c>
      <c r="AD240" s="7">
        <f>IF(AC240="","",NORM.S.DIST(AC240,TRUE))</f>
        <v/>
      </c>
      <c r="AE240" s="13">
        <f>IF(AD240="","",IF(AD240&lt;='组合输入'!$K7,"AAA",IF(AD240&lt;='组合输入'!$L7,"AA",IF(AD240&lt;='组合输入'!$M7,"A",IF(AD240&lt;='组合输入'!$N7,"BBB",IF(AD240&lt;='组合输入'!$O7,"BB",IF(AD240&lt;='组合输入'!$P7,"B",IF(AD240&lt;='组合输入'!$Q7,"CCC","D")))))))</f>
        <v/>
      </c>
      <c r="AF240" s="12">
        <f>IF(AE240="","",INDEX('状态价值'!$D7:$K7,MATCH(AE240,'状态价值'!$D$1:$K$1,0)))</f>
        <v/>
      </c>
      <c r="AG240" s="15">
        <f>NORM.S.INV(RAND())</f>
        <v/>
      </c>
      <c r="AH240" s="15">
        <f>IF('组合输入'!$C8="","",'组合输入'!$H8*$B240+SQRT(1-'组合输入'!$H8^2)*AG240)</f>
        <v/>
      </c>
      <c r="AI240" s="7">
        <f>IF(AH240="","",NORM.S.DIST(AH240,TRUE))</f>
        <v/>
      </c>
      <c r="AJ240" s="13">
        <f>IF(AI240="","",IF(AI240&lt;='组合输入'!$K8,"AAA",IF(AI240&lt;='组合输入'!$L8,"AA",IF(AI240&lt;='组合输入'!$M8,"A",IF(AI240&lt;='组合输入'!$N8,"BBB",IF(AI240&lt;='组合输入'!$O8,"BB",IF(AI240&lt;='组合输入'!$P8,"B",IF(AI240&lt;='组合输入'!$Q8,"CCC","D")))))))</f>
        <v/>
      </c>
      <c r="AK240" s="12">
        <f>IF(AJ240="","",INDEX('状态价值'!$D8:$K8,MATCH(AJ240,'状态价值'!$D$1:$K$1,0)))</f>
        <v/>
      </c>
      <c r="AL240" s="15">
        <f>NORM.S.INV(RAND())</f>
        <v/>
      </c>
      <c r="AM240" s="15">
        <f>IF('组合输入'!$C9="","",'组合输入'!$H9*$B240+SQRT(1-'组合输入'!$H9^2)*AL240)</f>
        <v/>
      </c>
      <c r="AN240" s="7">
        <f>IF(AM240="","",NORM.S.DIST(AM240,TRUE))</f>
        <v/>
      </c>
      <c r="AO240" s="13">
        <f>IF(AN240="","",IF(AN240&lt;='组合输入'!$K9,"AAA",IF(AN240&lt;='组合输入'!$L9,"AA",IF(AN240&lt;='组合输入'!$M9,"A",IF(AN240&lt;='组合输入'!$N9,"BBB",IF(AN240&lt;='组合输入'!$O9,"BB",IF(AN240&lt;='组合输入'!$P9,"B",IF(AN240&lt;='组合输入'!$Q9,"CCC","D")))))))</f>
        <v/>
      </c>
      <c r="AP240" s="12">
        <f>IF(AO240="","",INDEX('状态价值'!$D9:$K9,MATCH(AO240,'状态价值'!$D$1:$K$1,0)))</f>
        <v/>
      </c>
      <c r="AQ240" s="15">
        <f>NORM.S.INV(RAND())</f>
        <v/>
      </c>
      <c r="AR240" s="15">
        <f>IF('组合输入'!$C10="","",'组合输入'!$H10*$B240+SQRT(1-'组合输入'!$H10^2)*AQ240)</f>
        <v/>
      </c>
      <c r="AS240" s="7">
        <f>IF(AR240="","",NORM.S.DIST(AR240,TRUE))</f>
        <v/>
      </c>
      <c r="AT240" s="13">
        <f>IF(AS240="","",IF(AS240&lt;='组合输入'!$K10,"AAA",IF(AS240&lt;='组合输入'!$L10,"AA",IF(AS240&lt;='组合输入'!$M10,"A",IF(AS240&lt;='组合输入'!$N10,"BBB",IF(AS240&lt;='组合输入'!$O10,"BB",IF(AS240&lt;='组合输入'!$P10,"B",IF(AS240&lt;='组合输入'!$Q10,"CCC","D")))))))</f>
        <v/>
      </c>
      <c r="AU240" s="12">
        <f>IF(AT240="","",INDEX('状态价值'!$D10:$K10,MATCH(AT240,'状态价值'!$D$1:$K$1,0)))</f>
        <v/>
      </c>
      <c r="AV240" s="15">
        <f>NORM.S.INV(RAND())</f>
        <v/>
      </c>
      <c r="AW240" s="15">
        <f>IF('组合输入'!$C11="","",'组合输入'!$H11*$B240+SQRT(1-'组合输入'!$H11^2)*AV240)</f>
        <v/>
      </c>
      <c r="AX240" s="7">
        <f>IF(AW240="","",NORM.S.DIST(AW240,TRUE))</f>
        <v/>
      </c>
      <c r="AY240" s="13">
        <f>IF(AX240="","",IF(AX240&lt;='组合输入'!$K11,"AAA",IF(AX240&lt;='组合输入'!$L11,"AA",IF(AX240&lt;='组合输入'!$M11,"A",IF(AX240&lt;='组合输入'!$N11,"BBB",IF(AX240&lt;='组合输入'!$O11,"BB",IF(AX240&lt;='组合输入'!$P11,"B",IF(AX240&lt;='组合输入'!$Q11,"CCC","D")))))))</f>
        <v/>
      </c>
      <c r="AZ240" s="12">
        <f>IF(AY240="","",INDEX('状态价值'!$D11:$K11,MATCH(AY240,'状态价值'!$D$1:$K$1,0)))</f>
        <v/>
      </c>
      <c r="BA240" s="12">
        <f>G240+L240+Q240+V240+AA240+AF240+AK240+AP240+AU240+AZ240</f>
        <v/>
      </c>
      <c r="BB240" s="12">
        <f>SUM('组合输入'!$J$2:$J$11)-BA240</f>
        <v/>
      </c>
    </row>
    <row r="241">
      <c r="A241" s="11" t="n">
        <v>240</v>
      </c>
      <c r="B241" s="14">
        <f>NORM.S.INV(RAND())</f>
        <v/>
      </c>
      <c r="C241" s="14">
        <f>NORM.S.INV(RAND())</f>
        <v/>
      </c>
      <c r="D241" s="15">
        <f>IF('组合输入'!$C2="","",'组合输入'!$H2*$B241+SQRT(1-'组合输入'!$H2^2)*C241)</f>
        <v/>
      </c>
      <c r="E241" s="7">
        <f>IF(D241="","",NORM.S.DIST(D241,TRUE))</f>
        <v/>
      </c>
      <c r="F241" s="13">
        <f>IF(E241="","",IF(E241&lt;='组合输入'!$K2,"AAA",IF(E241&lt;='组合输入'!$L2,"AA",IF(E241&lt;='组合输入'!$M2,"A",IF(E241&lt;='组合输入'!$N2,"BBB",IF(E241&lt;='组合输入'!$O2,"BB",IF(E241&lt;='组合输入'!$P2,"B",IF(E241&lt;='组合输入'!$Q2,"CCC","D")))))))</f>
        <v/>
      </c>
      <c r="G241" s="12">
        <f>IF(F241="","",INDEX('状态价值'!$D2:$K2,MATCH(F241,'状态价值'!$D$1:$K$1,0)))</f>
        <v/>
      </c>
      <c r="H241" s="15">
        <f>NORM.S.INV(RAND())</f>
        <v/>
      </c>
      <c r="I241" s="15">
        <f>IF('组合输入'!$C3="","",'组合输入'!$H3*$B241+SQRT(1-'组合输入'!$H3^2)*H241)</f>
        <v/>
      </c>
      <c r="J241" s="7">
        <f>IF(I241="","",NORM.S.DIST(I241,TRUE))</f>
        <v/>
      </c>
      <c r="K241" s="13">
        <f>IF(J241="","",IF(J241&lt;='组合输入'!$K3,"AAA",IF(J241&lt;='组合输入'!$L3,"AA",IF(J241&lt;='组合输入'!$M3,"A",IF(J241&lt;='组合输入'!$N3,"BBB",IF(J241&lt;='组合输入'!$O3,"BB",IF(J241&lt;='组合输入'!$P3,"B",IF(J241&lt;='组合输入'!$Q3,"CCC","D")))))))</f>
        <v/>
      </c>
      <c r="L241" s="12">
        <f>IF(K241="","",INDEX('状态价值'!$D3:$K3,MATCH(K241,'状态价值'!$D$1:$K$1,0)))</f>
        <v/>
      </c>
      <c r="M241" s="15">
        <f>NORM.S.INV(RAND())</f>
        <v/>
      </c>
      <c r="N241" s="15">
        <f>IF('组合输入'!$C4="","",'组合输入'!$H4*$B241+SQRT(1-'组合输入'!$H4^2)*M241)</f>
        <v/>
      </c>
      <c r="O241" s="7">
        <f>IF(N241="","",NORM.S.DIST(N241,TRUE))</f>
        <v/>
      </c>
      <c r="P241" s="13">
        <f>IF(O241="","",IF(O241&lt;='组合输入'!$K4,"AAA",IF(O241&lt;='组合输入'!$L4,"AA",IF(O241&lt;='组合输入'!$M4,"A",IF(O241&lt;='组合输入'!$N4,"BBB",IF(O241&lt;='组合输入'!$O4,"BB",IF(O241&lt;='组合输入'!$P4,"B",IF(O241&lt;='组合输入'!$Q4,"CCC","D")))))))</f>
        <v/>
      </c>
      <c r="Q241" s="12">
        <f>IF(P241="","",INDEX('状态价值'!$D4:$K4,MATCH(P241,'状态价值'!$D$1:$K$1,0)))</f>
        <v/>
      </c>
      <c r="R241" s="15">
        <f>NORM.S.INV(RAND())</f>
        <v/>
      </c>
      <c r="S241" s="15">
        <f>IF('组合输入'!$C5="","",'组合输入'!$H5*$B241+SQRT(1-'组合输入'!$H5^2)*R241)</f>
        <v/>
      </c>
      <c r="T241" s="7">
        <f>IF(S241="","",NORM.S.DIST(S241,TRUE))</f>
        <v/>
      </c>
      <c r="U241" s="13">
        <f>IF(T241="","",IF(T241&lt;='组合输入'!$K5,"AAA",IF(T241&lt;='组合输入'!$L5,"AA",IF(T241&lt;='组合输入'!$M5,"A",IF(T241&lt;='组合输入'!$N5,"BBB",IF(T241&lt;='组合输入'!$O5,"BB",IF(T241&lt;='组合输入'!$P5,"B",IF(T241&lt;='组合输入'!$Q5,"CCC","D")))))))</f>
        <v/>
      </c>
      <c r="V241" s="12">
        <f>IF(U241="","",INDEX('状态价值'!$D5:$K5,MATCH(U241,'状态价值'!$D$1:$K$1,0)))</f>
        <v/>
      </c>
      <c r="W241" s="15">
        <f>NORM.S.INV(RAND())</f>
        <v/>
      </c>
      <c r="X241" s="15">
        <f>IF('组合输入'!$C6="","",'组合输入'!$H6*$B241+SQRT(1-'组合输入'!$H6^2)*W241)</f>
        <v/>
      </c>
      <c r="Y241" s="7">
        <f>IF(X241="","",NORM.S.DIST(X241,TRUE))</f>
        <v/>
      </c>
      <c r="Z241" s="13">
        <f>IF(Y241="","",IF(Y241&lt;='组合输入'!$K6,"AAA",IF(Y241&lt;='组合输入'!$L6,"AA",IF(Y241&lt;='组合输入'!$M6,"A",IF(Y241&lt;='组合输入'!$N6,"BBB",IF(Y241&lt;='组合输入'!$O6,"BB",IF(Y241&lt;='组合输入'!$P6,"B",IF(Y241&lt;='组合输入'!$Q6,"CCC","D")))))))</f>
        <v/>
      </c>
      <c r="AA241" s="12">
        <f>IF(Z241="","",INDEX('状态价值'!$D6:$K6,MATCH(Z241,'状态价值'!$D$1:$K$1,0)))</f>
        <v/>
      </c>
      <c r="AB241" s="15">
        <f>NORM.S.INV(RAND())</f>
        <v/>
      </c>
      <c r="AC241" s="15">
        <f>IF('组合输入'!$C7="","",'组合输入'!$H7*$B241+SQRT(1-'组合输入'!$H7^2)*AB241)</f>
        <v/>
      </c>
      <c r="AD241" s="7">
        <f>IF(AC241="","",NORM.S.DIST(AC241,TRUE))</f>
        <v/>
      </c>
      <c r="AE241" s="13">
        <f>IF(AD241="","",IF(AD241&lt;='组合输入'!$K7,"AAA",IF(AD241&lt;='组合输入'!$L7,"AA",IF(AD241&lt;='组合输入'!$M7,"A",IF(AD241&lt;='组合输入'!$N7,"BBB",IF(AD241&lt;='组合输入'!$O7,"BB",IF(AD241&lt;='组合输入'!$P7,"B",IF(AD241&lt;='组合输入'!$Q7,"CCC","D")))))))</f>
        <v/>
      </c>
      <c r="AF241" s="12">
        <f>IF(AE241="","",INDEX('状态价值'!$D7:$K7,MATCH(AE241,'状态价值'!$D$1:$K$1,0)))</f>
        <v/>
      </c>
      <c r="AG241" s="15">
        <f>NORM.S.INV(RAND())</f>
        <v/>
      </c>
      <c r="AH241" s="15">
        <f>IF('组合输入'!$C8="","",'组合输入'!$H8*$B241+SQRT(1-'组合输入'!$H8^2)*AG241)</f>
        <v/>
      </c>
      <c r="AI241" s="7">
        <f>IF(AH241="","",NORM.S.DIST(AH241,TRUE))</f>
        <v/>
      </c>
      <c r="AJ241" s="13">
        <f>IF(AI241="","",IF(AI241&lt;='组合输入'!$K8,"AAA",IF(AI241&lt;='组合输入'!$L8,"AA",IF(AI241&lt;='组合输入'!$M8,"A",IF(AI241&lt;='组合输入'!$N8,"BBB",IF(AI241&lt;='组合输入'!$O8,"BB",IF(AI241&lt;='组合输入'!$P8,"B",IF(AI241&lt;='组合输入'!$Q8,"CCC","D")))))))</f>
        <v/>
      </c>
      <c r="AK241" s="12">
        <f>IF(AJ241="","",INDEX('状态价值'!$D8:$K8,MATCH(AJ241,'状态价值'!$D$1:$K$1,0)))</f>
        <v/>
      </c>
      <c r="AL241" s="15">
        <f>NORM.S.INV(RAND())</f>
        <v/>
      </c>
      <c r="AM241" s="15">
        <f>IF('组合输入'!$C9="","",'组合输入'!$H9*$B241+SQRT(1-'组合输入'!$H9^2)*AL241)</f>
        <v/>
      </c>
      <c r="AN241" s="7">
        <f>IF(AM241="","",NORM.S.DIST(AM241,TRUE))</f>
        <v/>
      </c>
      <c r="AO241" s="13">
        <f>IF(AN241="","",IF(AN241&lt;='组合输入'!$K9,"AAA",IF(AN241&lt;='组合输入'!$L9,"AA",IF(AN241&lt;='组合输入'!$M9,"A",IF(AN241&lt;='组合输入'!$N9,"BBB",IF(AN241&lt;='组合输入'!$O9,"BB",IF(AN241&lt;='组合输入'!$P9,"B",IF(AN241&lt;='组合输入'!$Q9,"CCC","D")))))))</f>
        <v/>
      </c>
      <c r="AP241" s="12">
        <f>IF(AO241="","",INDEX('状态价值'!$D9:$K9,MATCH(AO241,'状态价值'!$D$1:$K$1,0)))</f>
        <v/>
      </c>
      <c r="AQ241" s="15">
        <f>NORM.S.INV(RAND())</f>
        <v/>
      </c>
      <c r="AR241" s="15">
        <f>IF('组合输入'!$C10="","",'组合输入'!$H10*$B241+SQRT(1-'组合输入'!$H10^2)*AQ241)</f>
        <v/>
      </c>
      <c r="AS241" s="7">
        <f>IF(AR241="","",NORM.S.DIST(AR241,TRUE))</f>
        <v/>
      </c>
      <c r="AT241" s="13">
        <f>IF(AS241="","",IF(AS241&lt;='组合输入'!$K10,"AAA",IF(AS241&lt;='组合输入'!$L10,"AA",IF(AS241&lt;='组合输入'!$M10,"A",IF(AS241&lt;='组合输入'!$N10,"BBB",IF(AS241&lt;='组合输入'!$O10,"BB",IF(AS241&lt;='组合输入'!$P10,"B",IF(AS241&lt;='组合输入'!$Q10,"CCC","D")))))))</f>
        <v/>
      </c>
      <c r="AU241" s="12">
        <f>IF(AT241="","",INDEX('状态价值'!$D10:$K10,MATCH(AT241,'状态价值'!$D$1:$K$1,0)))</f>
        <v/>
      </c>
      <c r="AV241" s="15">
        <f>NORM.S.INV(RAND())</f>
        <v/>
      </c>
      <c r="AW241" s="15">
        <f>IF('组合输入'!$C11="","",'组合输入'!$H11*$B241+SQRT(1-'组合输入'!$H11^2)*AV241)</f>
        <v/>
      </c>
      <c r="AX241" s="7">
        <f>IF(AW241="","",NORM.S.DIST(AW241,TRUE))</f>
        <v/>
      </c>
      <c r="AY241" s="13">
        <f>IF(AX241="","",IF(AX241&lt;='组合输入'!$K11,"AAA",IF(AX241&lt;='组合输入'!$L11,"AA",IF(AX241&lt;='组合输入'!$M11,"A",IF(AX241&lt;='组合输入'!$N11,"BBB",IF(AX241&lt;='组合输入'!$O11,"BB",IF(AX241&lt;='组合输入'!$P11,"B",IF(AX241&lt;='组合输入'!$Q11,"CCC","D")))))))</f>
        <v/>
      </c>
      <c r="AZ241" s="12">
        <f>IF(AY241="","",INDEX('状态价值'!$D11:$K11,MATCH(AY241,'状态价值'!$D$1:$K$1,0)))</f>
        <v/>
      </c>
      <c r="BA241" s="12">
        <f>G241+L241+Q241+V241+AA241+AF241+AK241+AP241+AU241+AZ241</f>
        <v/>
      </c>
      <c r="BB241" s="12">
        <f>SUM('组合输入'!$J$2:$J$11)-BA241</f>
        <v/>
      </c>
    </row>
    <row r="242">
      <c r="A242" s="11" t="n">
        <v>241</v>
      </c>
      <c r="B242" s="14">
        <f>NORM.S.INV(RAND())</f>
        <v/>
      </c>
      <c r="C242" s="14">
        <f>NORM.S.INV(RAND())</f>
        <v/>
      </c>
      <c r="D242" s="15">
        <f>IF('组合输入'!$C2="","",'组合输入'!$H2*$B242+SQRT(1-'组合输入'!$H2^2)*C242)</f>
        <v/>
      </c>
      <c r="E242" s="7">
        <f>IF(D242="","",NORM.S.DIST(D242,TRUE))</f>
        <v/>
      </c>
      <c r="F242" s="13">
        <f>IF(E242="","",IF(E242&lt;='组合输入'!$K2,"AAA",IF(E242&lt;='组合输入'!$L2,"AA",IF(E242&lt;='组合输入'!$M2,"A",IF(E242&lt;='组合输入'!$N2,"BBB",IF(E242&lt;='组合输入'!$O2,"BB",IF(E242&lt;='组合输入'!$P2,"B",IF(E242&lt;='组合输入'!$Q2,"CCC","D")))))))</f>
        <v/>
      </c>
      <c r="G242" s="12">
        <f>IF(F242="","",INDEX('状态价值'!$D2:$K2,MATCH(F242,'状态价值'!$D$1:$K$1,0)))</f>
        <v/>
      </c>
      <c r="H242" s="15">
        <f>NORM.S.INV(RAND())</f>
        <v/>
      </c>
      <c r="I242" s="15">
        <f>IF('组合输入'!$C3="","",'组合输入'!$H3*$B242+SQRT(1-'组合输入'!$H3^2)*H242)</f>
        <v/>
      </c>
      <c r="J242" s="7">
        <f>IF(I242="","",NORM.S.DIST(I242,TRUE))</f>
        <v/>
      </c>
      <c r="K242" s="13">
        <f>IF(J242="","",IF(J242&lt;='组合输入'!$K3,"AAA",IF(J242&lt;='组合输入'!$L3,"AA",IF(J242&lt;='组合输入'!$M3,"A",IF(J242&lt;='组合输入'!$N3,"BBB",IF(J242&lt;='组合输入'!$O3,"BB",IF(J242&lt;='组合输入'!$P3,"B",IF(J242&lt;='组合输入'!$Q3,"CCC","D")))))))</f>
        <v/>
      </c>
      <c r="L242" s="12">
        <f>IF(K242="","",INDEX('状态价值'!$D3:$K3,MATCH(K242,'状态价值'!$D$1:$K$1,0)))</f>
        <v/>
      </c>
      <c r="M242" s="15">
        <f>NORM.S.INV(RAND())</f>
        <v/>
      </c>
      <c r="N242" s="15">
        <f>IF('组合输入'!$C4="","",'组合输入'!$H4*$B242+SQRT(1-'组合输入'!$H4^2)*M242)</f>
        <v/>
      </c>
      <c r="O242" s="7">
        <f>IF(N242="","",NORM.S.DIST(N242,TRUE))</f>
        <v/>
      </c>
      <c r="P242" s="13">
        <f>IF(O242="","",IF(O242&lt;='组合输入'!$K4,"AAA",IF(O242&lt;='组合输入'!$L4,"AA",IF(O242&lt;='组合输入'!$M4,"A",IF(O242&lt;='组合输入'!$N4,"BBB",IF(O242&lt;='组合输入'!$O4,"BB",IF(O242&lt;='组合输入'!$P4,"B",IF(O242&lt;='组合输入'!$Q4,"CCC","D")))))))</f>
        <v/>
      </c>
      <c r="Q242" s="12">
        <f>IF(P242="","",INDEX('状态价值'!$D4:$K4,MATCH(P242,'状态价值'!$D$1:$K$1,0)))</f>
        <v/>
      </c>
      <c r="R242" s="15">
        <f>NORM.S.INV(RAND())</f>
        <v/>
      </c>
      <c r="S242" s="15">
        <f>IF('组合输入'!$C5="","",'组合输入'!$H5*$B242+SQRT(1-'组合输入'!$H5^2)*R242)</f>
        <v/>
      </c>
      <c r="T242" s="7">
        <f>IF(S242="","",NORM.S.DIST(S242,TRUE))</f>
        <v/>
      </c>
      <c r="U242" s="13">
        <f>IF(T242="","",IF(T242&lt;='组合输入'!$K5,"AAA",IF(T242&lt;='组合输入'!$L5,"AA",IF(T242&lt;='组合输入'!$M5,"A",IF(T242&lt;='组合输入'!$N5,"BBB",IF(T242&lt;='组合输入'!$O5,"BB",IF(T242&lt;='组合输入'!$P5,"B",IF(T242&lt;='组合输入'!$Q5,"CCC","D")))))))</f>
        <v/>
      </c>
      <c r="V242" s="12">
        <f>IF(U242="","",INDEX('状态价值'!$D5:$K5,MATCH(U242,'状态价值'!$D$1:$K$1,0)))</f>
        <v/>
      </c>
      <c r="W242" s="15">
        <f>NORM.S.INV(RAND())</f>
        <v/>
      </c>
      <c r="X242" s="15">
        <f>IF('组合输入'!$C6="","",'组合输入'!$H6*$B242+SQRT(1-'组合输入'!$H6^2)*W242)</f>
        <v/>
      </c>
      <c r="Y242" s="7">
        <f>IF(X242="","",NORM.S.DIST(X242,TRUE))</f>
        <v/>
      </c>
      <c r="Z242" s="13">
        <f>IF(Y242="","",IF(Y242&lt;='组合输入'!$K6,"AAA",IF(Y242&lt;='组合输入'!$L6,"AA",IF(Y242&lt;='组合输入'!$M6,"A",IF(Y242&lt;='组合输入'!$N6,"BBB",IF(Y242&lt;='组合输入'!$O6,"BB",IF(Y242&lt;='组合输入'!$P6,"B",IF(Y242&lt;='组合输入'!$Q6,"CCC","D")))))))</f>
        <v/>
      </c>
      <c r="AA242" s="12">
        <f>IF(Z242="","",INDEX('状态价值'!$D6:$K6,MATCH(Z242,'状态价值'!$D$1:$K$1,0)))</f>
        <v/>
      </c>
      <c r="AB242" s="15">
        <f>NORM.S.INV(RAND())</f>
        <v/>
      </c>
      <c r="AC242" s="15">
        <f>IF('组合输入'!$C7="","",'组合输入'!$H7*$B242+SQRT(1-'组合输入'!$H7^2)*AB242)</f>
        <v/>
      </c>
      <c r="AD242" s="7">
        <f>IF(AC242="","",NORM.S.DIST(AC242,TRUE))</f>
        <v/>
      </c>
      <c r="AE242" s="13">
        <f>IF(AD242="","",IF(AD242&lt;='组合输入'!$K7,"AAA",IF(AD242&lt;='组合输入'!$L7,"AA",IF(AD242&lt;='组合输入'!$M7,"A",IF(AD242&lt;='组合输入'!$N7,"BBB",IF(AD242&lt;='组合输入'!$O7,"BB",IF(AD242&lt;='组合输入'!$P7,"B",IF(AD242&lt;='组合输入'!$Q7,"CCC","D")))))))</f>
        <v/>
      </c>
      <c r="AF242" s="12">
        <f>IF(AE242="","",INDEX('状态价值'!$D7:$K7,MATCH(AE242,'状态价值'!$D$1:$K$1,0)))</f>
        <v/>
      </c>
      <c r="AG242" s="15">
        <f>NORM.S.INV(RAND())</f>
        <v/>
      </c>
      <c r="AH242" s="15">
        <f>IF('组合输入'!$C8="","",'组合输入'!$H8*$B242+SQRT(1-'组合输入'!$H8^2)*AG242)</f>
        <v/>
      </c>
      <c r="AI242" s="7">
        <f>IF(AH242="","",NORM.S.DIST(AH242,TRUE))</f>
        <v/>
      </c>
      <c r="AJ242" s="13">
        <f>IF(AI242="","",IF(AI242&lt;='组合输入'!$K8,"AAA",IF(AI242&lt;='组合输入'!$L8,"AA",IF(AI242&lt;='组合输入'!$M8,"A",IF(AI242&lt;='组合输入'!$N8,"BBB",IF(AI242&lt;='组合输入'!$O8,"BB",IF(AI242&lt;='组合输入'!$P8,"B",IF(AI242&lt;='组合输入'!$Q8,"CCC","D")))))))</f>
        <v/>
      </c>
      <c r="AK242" s="12">
        <f>IF(AJ242="","",INDEX('状态价值'!$D8:$K8,MATCH(AJ242,'状态价值'!$D$1:$K$1,0)))</f>
        <v/>
      </c>
      <c r="AL242" s="15">
        <f>NORM.S.INV(RAND())</f>
        <v/>
      </c>
      <c r="AM242" s="15">
        <f>IF('组合输入'!$C9="","",'组合输入'!$H9*$B242+SQRT(1-'组合输入'!$H9^2)*AL242)</f>
        <v/>
      </c>
      <c r="AN242" s="7">
        <f>IF(AM242="","",NORM.S.DIST(AM242,TRUE))</f>
        <v/>
      </c>
      <c r="AO242" s="13">
        <f>IF(AN242="","",IF(AN242&lt;='组合输入'!$K9,"AAA",IF(AN242&lt;='组合输入'!$L9,"AA",IF(AN242&lt;='组合输入'!$M9,"A",IF(AN242&lt;='组合输入'!$N9,"BBB",IF(AN242&lt;='组合输入'!$O9,"BB",IF(AN242&lt;='组合输入'!$P9,"B",IF(AN242&lt;='组合输入'!$Q9,"CCC","D")))))))</f>
        <v/>
      </c>
      <c r="AP242" s="12">
        <f>IF(AO242="","",INDEX('状态价值'!$D9:$K9,MATCH(AO242,'状态价值'!$D$1:$K$1,0)))</f>
        <v/>
      </c>
      <c r="AQ242" s="15">
        <f>NORM.S.INV(RAND())</f>
        <v/>
      </c>
      <c r="AR242" s="15">
        <f>IF('组合输入'!$C10="","",'组合输入'!$H10*$B242+SQRT(1-'组合输入'!$H10^2)*AQ242)</f>
        <v/>
      </c>
      <c r="AS242" s="7">
        <f>IF(AR242="","",NORM.S.DIST(AR242,TRUE))</f>
        <v/>
      </c>
      <c r="AT242" s="13">
        <f>IF(AS242="","",IF(AS242&lt;='组合输入'!$K10,"AAA",IF(AS242&lt;='组合输入'!$L10,"AA",IF(AS242&lt;='组合输入'!$M10,"A",IF(AS242&lt;='组合输入'!$N10,"BBB",IF(AS242&lt;='组合输入'!$O10,"BB",IF(AS242&lt;='组合输入'!$P10,"B",IF(AS242&lt;='组合输入'!$Q10,"CCC","D")))))))</f>
        <v/>
      </c>
      <c r="AU242" s="12">
        <f>IF(AT242="","",INDEX('状态价值'!$D10:$K10,MATCH(AT242,'状态价值'!$D$1:$K$1,0)))</f>
        <v/>
      </c>
      <c r="AV242" s="15">
        <f>NORM.S.INV(RAND())</f>
        <v/>
      </c>
      <c r="AW242" s="15">
        <f>IF('组合输入'!$C11="","",'组合输入'!$H11*$B242+SQRT(1-'组合输入'!$H11^2)*AV242)</f>
        <v/>
      </c>
      <c r="AX242" s="7">
        <f>IF(AW242="","",NORM.S.DIST(AW242,TRUE))</f>
        <v/>
      </c>
      <c r="AY242" s="13">
        <f>IF(AX242="","",IF(AX242&lt;='组合输入'!$K11,"AAA",IF(AX242&lt;='组合输入'!$L11,"AA",IF(AX242&lt;='组合输入'!$M11,"A",IF(AX242&lt;='组合输入'!$N11,"BBB",IF(AX242&lt;='组合输入'!$O11,"BB",IF(AX242&lt;='组合输入'!$P11,"B",IF(AX242&lt;='组合输入'!$Q11,"CCC","D")))))))</f>
        <v/>
      </c>
      <c r="AZ242" s="12">
        <f>IF(AY242="","",INDEX('状态价值'!$D11:$K11,MATCH(AY242,'状态价值'!$D$1:$K$1,0)))</f>
        <v/>
      </c>
      <c r="BA242" s="12">
        <f>G242+L242+Q242+V242+AA242+AF242+AK242+AP242+AU242+AZ242</f>
        <v/>
      </c>
      <c r="BB242" s="12">
        <f>SUM('组合输入'!$J$2:$J$11)-BA242</f>
        <v/>
      </c>
    </row>
    <row r="243">
      <c r="A243" s="11" t="n">
        <v>242</v>
      </c>
      <c r="B243" s="14">
        <f>NORM.S.INV(RAND())</f>
        <v/>
      </c>
      <c r="C243" s="14">
        <f>NORM.S.INV(RAND())</f>
        <v/>
      </c>
      <c r="D243" s="15">
        <f>IF('组合输入'!$C2="","",'组合输入'!$H2*$B243+SQRT(1-'组合输入'!$H2^2)*C243)</f>
        <v/>
      </c>
      <c r="E243" s="7">
        <f>IF(D243="","",NORM.S.DIST(D243,TRUE))</f>
        <v/>
      </c>
      <c r="F243" s="13">
        <f>IF(E243="","",IF(E243&lt;='组合输入'!$K2,"AAA",IF(E243&lt;='组合输入'!$L2,"AA",IF(E243&lt;='组合输入'!$M2,"A",IF(E243&lt;='组合输入'!$N2,"BBB",IF(E243&lt;='组合输入'!$O2,"BB",IF(E243&lt;='组合输入'!$P2,"B",IF(E243&lt;='组合输入'!$Q2,"CCC","D")))))))</f>
        <v/>
      </c>
      <c r="G243" s="12">
        <f>IF(F243="","",INDEX('状态价值'!$D2:$K2,MATCH(F243,'状态价值'!$D$1:$K$1,0)))</f>
        <v/>
      </c>
      <c r="H243" s="15">
        <f>NORM.S.INV(RAND())</f>
        <v/>
      </c>
      <c r="I243" s="15">
        <f>IF('组合输入'!$C3="","",'组合输入'!$H3*$B243+SQRT(1-'组合输入'!$H3^2)*H243)</f>
        <v/>
      </c>
      <c r="J243" s="7">
        <f>IF(I243="","",NORM.S.DIST(I243,TRUE))</f>
        <v/>
      </c>
      <c r="K243" s="13">
        <f>IF(J243="","",IF(J243&lt;='组合输入'!$K3,"AAA",IF(J243&lt;='组合输入'!$L3,"AA",IF(J243&lt;='组合输入'!$M3,"A",IF(J243&lt;='组合输入'!$N3,"BBB",IF(J243&lt;='组合输入'!$O3,"BB",IF(J243&lt;='组合输入'!$P3,"B",IF(J243&lt;='组合输入'!$Q3,"CCC","D")))))))</f>
        <v/>
      </c>
      <c r="L243" s="12">
        <f>IF(K243="","",INDEX('状态价值'!$D3:$K3,MATCH(K243,'状态价值'!$D$1:$K$1,0)))</f>
        <v/>
      </c>
      <c r="M243" s="15">
        <f>NORM.S.INV(RAND())</f>
        <v/>
      </c>
      <c r="N243" s="15">
        <f>IF('组合输入'!$C4="","",'组合输入'!$H4*$B243+SQRT(1-'组合输入'!$H4^2)*M243)</f>
        <v/>
      </c>
      <c r="O243" s="7">
        <f>IF(N243="","",NORM.S.DIST(N243,TRUE))</f>
        <v/>
      </c>
      <c r="P243" s="13">
        <f>IF(O243="","",IF(O243&lt;='组合输入'!$K4,"AAA",IF(O243&lt;='组合输入'!$L4,"AA",IF(O243&lt;='组合输入'!$M4,"A",IF(O243&lt;='组合输入'!$N4,"BBB",IF(O243&lt;='组合输入'!$O4,"BB",IF(O243&lt;='组合输入'!$P4,"B",IF(O243&lt;='组合输入'!$Q4,"CCC","D")))))))</f>
        <v/>
      </c>
      <c r="Q243" s="12">
        <f>IF(P243="","",INDEX('状态价值'!$D4:$K4,MATCH(P243,'状态价值'!$D$1:$K$1,0)))</f>
        <v/>
      </c>
      <c r="R243" s="15">
        <f>NORM.S.INV(RAND())</f>
        <v/>
      </c>
      <c r="S243" s="15">
        <f>IF('组合输入'!$C5="","",'组合输入'!$H5*$B243+SQRT(1-'组合输入'!$H5^2)*R243)</f>
        <v/>
      </c>
      <c r="T243" s="7">
        <f>IF(S243="","",NORM.S.DIST(S243,TRUE))</f>
        <v/>
      </c>
      <c r="U243" s="13">
        <f>IF(T243="","",IF(T243&lt;='组合输入'!$K5,"AAA",IF(T243&lt;='组合输入'!$L5,"AA",IF(T243&lt;='组合输入'!$M5,"A",IF(T243&lt;='组合输入'!$N5,"BBB",IF(T243&lt;='组合输入'!$O5,"BB",IF(T243&lt;='组合输入'!$P5,"B",IF(T243&lt;='组合输入'!$Q5,"CCC","D")))))))</f>
        <v/>
      </c>
      <c r="V243" s="12">
        <f>IF(U243="","",INDEX('状态价值'!$D5:$K5,MATCH(U243,'状态价值'!$D$1:$K$1,0)))</f>
        <v/>
      </c>
      <c r="W243" s="15">
        <f>NORM.S.INV(RAND())</f>
        <v/>
      </c>
      <c r="X243" s="15">
        <f>IF('组合输入'!$C6="","",'组合输入'!$H6*$B243+SQRT(1-'组合输入'!$H6^2)*W243)</f>
        <v/>
      </c>
      <c r="Y243" s="7">
        <f>IF(X243="","",NORM.S.DIST(X243,TRUE))</f>
        <v/>
      </c>
      <c r="Z243" s="13">
        <f>IF(Y243="","",IF(Y243&lt;='组合输入'!$K6,"AAA",IF(Y243&lt;='组合输入'!$L6,"AA",IF(Y243&lt;='组合输入'!$M6,"A",IF(Y243&lt;='组合输入'!$N6,"BBB",IF(Y243&lt;='组合输入'!$O6,"BB",IF(Y243&lt;='组合输入'!$P6,"B",IF(Y243&lt;='组合输入'!$Q6,"CCC","D")))))))</f>
        <v/>
      </c>
      <c r="AA243" s="12">
        <f>IF(Z243="","",INDEX('状态价值'!$D6:$K6,MATCH(Z243,'状态价值'!$D$1:$K$1,0)))</f>
        <v/>
      </c>
      <c r="AB243" s="15">
        <f>NORM.S.INV(RAND())</f>
        <v/>
      </c>
      <c r="AC243" s="15">
        <f>IF('组合输入'!$C7="","",'组合输入'!$H7*$B243+SQRT(1-'组合输入'!$H7^2)*AB243)</f>
        <v/>
      </c>
      <c r="AD243" s="7">
        <f>IF(AC243="","",NORM.S.DIST(AC243,TRUE))</f>
        <v/>
      </c>
      <c r="AE243" s="13">
        <f>IF(AD243="","",IF(AD243&lt;='组合输入'!$K7,"AAA",IF(AD243&lt;='组合输入'!$L7,"AA",IF(AD243&lt;='组合输入'!$M7,"A",IF(AD243&lt;='组合输入'!$N7,"BBB",IF(AD243&lt;='组合输入'!$O7,"BB",IF(AD243&lt;='组合输入'!$P7,"B",IF(AD243&lt;='组合输入'!$Q7,"CCC","D")))))))</f>
        <v/>
      </c>
      <c r="AF243" s="12">
        <f>IF(AE243="","",INDEX('状态价值'!$D7:$K7,MATCH(AE243,'状态价值'!$D$1:$K$1,0)))</f>
        <v/>
      </c>
      <c r="AG243" s="15">
        <f>NORM.S.INV(RAND())</f>
        <v/>
      </c>
      <c r="AH243" s="15">
        <f>IF('组合输入'!$C8="","",'组合输入'!$H8*$B243+SQRT(1-'组合输入'!$H8^2)*AG243)</f>
        <v/>
      </c>
      <c r="AI243" s="7">
        <f>IF(AH243="","",NORM.S.DIST(AH243,TRUE))</f>
        <v/>
      </c>
      <c r="AJ243" s="13">
        <f>IF(AI243="","",IF(AI243&lt;='组合输入'!$K8,"AAA",IF(AI243&lt;='组合输入'!$L8,"AA",IF(AI243&lt;='组合输入'!$M8,"A",IF(AI243&lt;='组合输入'!$N8,"BBB",IF(AI243&lt;='组合输入'!$O8,"BB",IF(AI243&lt;='组合输入'!$P8,"B",IF(AI243&lt;='组合输入'!$Q8,"CCC","D")))))))</f>
        <v/>
      </c>
      <c r="AK243" s="12">
        <f>IF(AJ243="","",INDEX('状态价值'!$D8:$K8,MATCH(AJ243,'状态价值'!$D$1:$K$1,0)))</f>
        <v/>
      </c>
      <c r="AL243" s="15">
        <f>NORM.S.INV(RAND())</f>
        <v/>
      </c>
      <c r="AM243" s="15">
        <f>IF('组合输入'!$C9="","",'组合输入'!$H9*$B243+SQRT(1-'组合输入'!$H9^2)*AL243)</f>
        <v/>
      </c>
      <c r="AN243" s="7">
        <f>IF(AM243="","",NORM.S.DIST(AM243,TRUE))</f>
        <v/>
      </c>
      <c r="AO243" s="13">
        <f>IF(AN243="","",IF(AN243&lt;='组合输入'!$K9,"AAA",IF(AN243&lt;='组合输入'!$L9,"AA",IF(AN243&lt;='组合输入'!$M9,"A",IF(AN243&lt;='组合输入'!$N9,"BBB",IF(AN243&lt;='组合输入'!$O9,"BB",IF(AN243&lt;='组合输入'!$P9,"B",IF(AN243&lt;='组合输入'!$Q9,"CCC","D")))))))</f>
        <v/>
      </c>
      <c r="AP243" s="12">
        <f>IF(AO243="","",INDEX('状态价值'!$D9:$K9,MATCH(AO243,'状态价值'!$D$1:$K$1,0)))</f>
        <v/>
      </c>
      <c r="AQ243" s="15">
        <f>NORM.S.INV(RAND())</f>
        <v/>
      </c>
      <c r="AR243" s="15">
        <f>IF('组合输入'!$C10="","",'组合输入'!$H10*$B243+SQRT(1-'组合输入'!$H10^2)*AQ243)</f>
        <v/>
      </c>
      <c r="AS243" s="7">
        <f>IF(AR243="","",NORM.S.DIST(AR243,TRUE))</f>
        <v/>
      </c>
      <c r="AT243" s="13">
        <f>IF(AS243="","",IF(AS243&lt;='组合输入'!$K10,"AAA",IF(AS243&lt;='组合输入'!$L10,"AA",IF(AS243&lt;='组合输入'!$M10,"A",IF(AS243&lt;='组合输入'!$N10,"BBB",IF(AS243&lt;='组合输入'!$O10,"BB",IF(AS243&lt;='组合输入'!$P10,"B",IF(AS243&lt;='组合输入'!$Q10,"CCC","D")))))))</f>
        <v/>
      </c>
      <c r="AU243" s="12">
        <f>IF(AT243="","",INDEX('状态价值'!$D10:$K10,MATCH(AT243,'状态价值'!$D$1:$K$1,0)))</f>
        <v/>
      </c>
      <c r="AV243" s="15">
        <f>NORM.S.INV(RAND())</f>
        <v/>
      </c>
      <c r="AW243" s="15">
        <f>IF('组合输入'!$C11="","",'组合输入'!$H11*$B243+SQRT(1-'组合输入'!$H11^2)*AV243)</f>
        <v/>
      </c>
      <c r="AX243" s="7">
        <f>IF(AW243="","",NORM.S.DIST(AW243,TRUE))</f>
        <v/>
      </c>
      <c r="AY243" s="13">
        <f>IF(AX243="","",IF(AX243&lt;='组合输入'!$K11,"AAA",IF(AX243&lt;='组合输入'!$L11,"AA",IF(AX243&lt;='组合输入'!$M11,"A",IF(AX243&lt;='组合输入'!$N11,"BBB",IF(AX243&lt;='组合输入'!$O11,"BB",IF(AX243&lt;='组合输入'!$P11,"B",IF(AX243&lt;='组合输入'!$Q11,"CCC","D")))))))</f>
        <v/>
      </c>
      <c r="AZ243" s="12">
        <f>IF(AY243="","",INDEX('状态价值'!$D11:$K11,MATCH(AY243,'状态价值'!$D$1:$K$1,0)))</f>
        <v/>
      </c>
      <c r="BA243" s="12">
        <f>G243+L243+Q243+V243+AA243+AF243+AK243+AP243+AU243+AZ243</f>
        <v/>
      </c>
      <c r="BB243" s="12">
        <f>SUM('组合输入'!$J$2:$J$11)-BA243</f>
        <v/>
      </c>
    </row>
    <row r="244">
      <c r="A244" s="11" t="n">
        <v>243</v>
      </c>
      <c r="B244" s="14">
        <f>NORM.S.INV(RAND())</f>
        <v/>
      </c>
      <c r="C244" s="14">
        <f>NORM.S.INV(RAND())</f>
        <v/>
      </c>
      <c r="D244" s="15">
        <f>IF('组合输入'!$C2="","",'组合输入'!$H2*$B244+SQRT(1-'组合输入'!$H2^2)*C244)</f>
        <v/>
      </c>
      <c r="E244" s="7">
        <f>IF(D244="","",NORM.S.DIST(D244,TRUE))</f>
        <v/>
      </c>
      <c r="F244" s="13">
        <f>IF(E244="","",IF(E244&lt;='组合输入'!$K2,"AAA",IF(E244&lt;='组合输入'!$L2,"AA",IF(E244&lt;='组合输入'!$M2,"A",IF(E244&lt;='组合输入'!$N2,"BBB",IF(E244&lt;='组合输入'!$O2,"BB",IF(E244&lt;='组合输入'!$P2,"B",IF(E244&lt;='组合输入'!$Q2,"CCC","D")))))))</f>
        <v/>
      </c>
      <c r="G244" s="12">
        <f>IF(F244="","",INDEX('状态价值'!$D2:$K2,MATCH(F244,'状态价值'!$D$1:$K$1,0)))</f>
        <v/>
      </c>
      <c r="H244" s="15">
        <f>NORM.S.INV(RAND())</f>
        <v/>
      </c>
      <c r="I244" s="15">
        <f>IF('组合输入'!$C3="","",'组合输入'!$H3*$B244+SQRT(1-'组合输入'!$H3^2)*H244)</f>
        <v/>
      </c>
      <c r="J244" s="7">
        <f>IF(I244="","",NORM.S.DIST(I244,TRUE))</f>
        <v/>
      </c>
      <c r="K244" s="13">
        <f>IF(J244="","",IF(J244&lt;='组合输入'!$K3,"AAA",IF(J244&lt;='组合输入'!$L3,"AA",IF(J244&lt;='组合输入'!$M3,"A",IF(J244&lt;='组合输入'!$N3,"BBB",IF(J244&lt;='组合输入'!$O3,"BB",IF(J244&lt;='组合输入'!$P3,"B",IF(J244&lt;='组合输入'!$Q3,"CCC","D")))))))</f>
        <v/>
      </c>
      <c r="L244" s="12">
        <f>IF(K244="","",INDEX('状态价值'!$D3:$K3,MATCH(K244,'状态价值'!$D$1:$K$1,0)))</f>
        <v/>
      </c>
      <c r="M244" s="15">
        <f>NORM.S.INV(RAND())</f>
        <v/>
      </c>
      <c r="N244" s="15">
        <f>IF('组合输入'!$C4="","",'组合输入'!$H4*$B244+SQRT(1-'组合输入'!$H4^2)*M244)</f>
        <v/>
      </c>
      <c r="O244" s="7">
        <f>IF(N244="","",NORM.S.DIST(N244,TRUE))</f>
        <v/>
      </c>
      <c r="P244" s="13">
        <f>IF(O244="","",IF(O244&lt;='组合输入'!$K4,"AAA",IF(O244&lt;='组合输入'!$L4,"AA",IF(O244&lt;='组合输入'!$M4,"A",IF(O244&lt;='组合输入'!$N4,"BBB",IF(O244&lt;='组合输入'!$O4,"BB",IF(O244&lt;='组合输入'!$P4,"B",IF(O244&lt;='组合输入'!$Q4,"CCC","D")))))))</f>
        <v/>
      </c>
      <c r="Q244" s="12">
        <f>IF(P244="","",INDEX('状态价值'!$D4:$K4,MATCH(P244,'状态价值'!$D$1:$K$1,0)))</f>
        <v/>
      </c>
      <c r="R244" s="15">
        <f>NORM.S.INV(RAND())</f>
        <v/>
      </c>
      <c r="S244" s="15">
        <f>IF('组合输入'!$C5="","",'组合输入'!$H5*$B244+SQRT(1-'组合输入'!$H5^2)*R244)</f>
        <v/>
      </c>
      <c r="T244" s="7">
        <f>IF(S244="","",NORM.S.DIST(S244,TRUE))</f>
        <v/>
      </c>
      <c r="U244" s="13">
        <f>IF(T244="","",IF(T244&lt;='组合输入'!$K5,"AAA",IF(T244&lt;='组合输入'!$L5,"AA",IF(T244&lt;='组合输入'!$M5,"A",IF(T244&lt;='组合输入'!$N5,"BBB",IF(T244&lt;='组合输入'!$O5,"BB",IF(T244&lt;='组合输入'!$P5,"B",IF(T244&lt;='组合输入'!$Q5,"CCC","D")))))))</f>
        <v/>
      </c>
      <c r="V244" s="12">
        <f>IF(U244="","",INDEX('状态价值'!$D5:$K5,MATCH(U244,'状态价值'!$D$1:$K$1,0)))</f>
        <v/>
      </c>
      <c r="W244" s="15">
        <f>NORM.S.INV(RAND())</f>
        <v/>
      </c>
      <c r="X244" s="15">
        <f>IF('组合输入'!$C6="","",'组合输入'!$H6*$B244+SQRT(1-'组合输入'!$H6^2)*W244)</f>
        <v/>
      </c>
      <c r="Y244" s="7">
        <f>IF(X244="","",NORM.S.DIST(X244,TRUE))</f>
        <v/>
      </c>
      <c r="Z244" s="13">
        <f>IF(Y244="","",IF(Y244&lt;='组合输入'!$K6,"AAA",IF(Y244&lt;='组合输入'!$L6,"AA",IF(Y244&lt;='组合输入'!$M6,"A",IF(Y244&lt;='组合输入'!$N6,"BBB",IF(Y244&lt;='组合输入'!$O6,"BB",IF(Y244&lt;='组合输入'!$P6,"B",IF(Y244&lt;='组合输入'!$Q6,"CCC","D")))))))</f>
        <v/>
      </c>
      <c r="AA244" s="12">
        <f>IF(Z244="","",INDEX('状态价值'!$D6:$K6,MATCH(Z244,'状态价值'!$D$1:$K$1,0)))</f>
        <v/>
      </c>
      <c r="AB244" s="15">
        <f>NORM.S.INV(RAND())</f>
        <v/>
      </c>
      <c r="AC244" s="15">
        <f>IF('组合输入'!$C7="","",'组合输入'!$H7*$B244+SQRT(1-'组合输入'!$H7^2)*AB244)</f>
        <v/>
      </c>
      <c r="AD244" s="7">
        <f>IF(AC244="","",NORM.S.DIST(AC244,TRUE))</f>
        <v/>
      </c>
      <c r="AE244" s="13">
        <f>IF(AD244="","",IF(AD244&lt;='组合输入'!$K7,"AAA",IF(AD244&lt;='组合输入'!$L7,"AA",IF(AD244&lt;='组合输入'!$M7,"A",IF(AD244&lt;='组合输入'!$N7,"BBB",IF(AD244&lt;='组合输入'!$O7,"BB",IF(AD244&lt;='组合输入'!$P7,"B",IF(AD244&lt;='组合输入'!$Q7,"CCC","D")))))))</f>
        <v/>
      </c>
      <c r="AF244" s="12">
        <f>IF(AE244="","",INDEX('状态价值'!$D7:$K7,MATCH(AE244,'状态价值'!$D$1:$K$1,0)))</f>
        <v/>
      </c>
      <c r="AG244" s="15">
        <f>NORM.S.INV(RAND())</f>
        <v/>
      </c>
      <c r="AH244" s="15">
        <f>IF('组合输入'!$C8="","",'组合输入'!$H8*$B244+SQRT(1-'组合输入'!$H8^2)*AG244)</f>
        <v/>
      </c>
      <c r="AI244" s="7">
        <f>IF(AH244="","",NORM.S.DIST(AH244,TRUE))</f>
        <v/>
      </c>
      <c r="AJ244" s="13">
        <f>IF(AI244="","",IF(AI244&lt;='组合输入'!$K8,"AAA",IF(AI244&lt;='组合输入'!$L8,"AA",IF(AI244&lt;='组合输入'!$M8,"A",IF(AI244&lt;='组合输入'!$N8,"BBB",IF(AI244&lt;='组合输入'!$O8,"BB",IF(AI244&lt;='组合输入'!$P8,"B",IF(AI244&lt;='组合输入'!$Q8,"CCC","D")))))))</f>
        <v/>
      </c>
      <c r="AK244" s="12">
        <f>IF(AJ244="","",INDEX('状态价值'!$D8:$K8,MATCH(AJ244,'状态价值'!$D$1:$K$1,0)))</f>
        <v/>
      </c>
      <c r="AL244" s="15">
        <f>NORM.S.INV(RAND())</f>
        <v/>
      </c>
      <c r="AM244" s="15">
        <f>IF('组合输入'!$C9="","",'组合输入'!$H9*$B244+SQRT(1-'组合输入'!$H9^2)*AL244)</f>
        <v/>
      </c>
      <c r="AN244" s="7">
        <f>IF(AM244="","",NORM.S.DIST(AM244,TRUE))</f>
        <v/>
      </c>
      <c r="AO244" s="13">
        <f>IF(AN244="","",IF(AN244&lt;='组合输入'!$K9,"AAA",IF(AN244&lt;='组合输入'!$L9,"AA",IF(AN244&lt;='组合输入'!$M9,"A",IF(AN244&lt;='组合输入'!$N9,"BBB",IF(AN244&lt;='组合输入'!$O9,"BB",IF(AN244&lt;='组合输入'!$P9,"B",IF(AN244&lt;='组合输入'!$Q9,"CCC","D")))))))</f>
        <v/>
      </c>
      <c r="AP244" s="12">
        <f>IF(AO244="","",INDEX('状态价值'!$D9:$K9,MATCH(AO244,'状态价值'!$D$1:$K$1,0)))</f>
        <v/>
      </c>
      <c r="AQ244" s="15">
        <f>NORM.S.INV(RAND())</f>
        <v/>
      </c>
      <c r="AR244" s="15">
        <f>IF('组合输入'!$C10="","",'组合输入'!$H10*$B244+SQRT(1-'组合输入'!$H10^2)*AQ244)</f>
        <v/>
      </c>
      <c r="AS244" s="7">
        <f>IF(AR244="","",NORM.S.DIST(AR244,TRUE))</f>
        <v/>
      </c>
      <c r="AT244" s="13">
        <f>IF(AS244="","",IF(AS244&lt;='组合输入'!$K10,"AAA",IF(AS244&lt;='组合输入'!$L10,"AA",IF(AS244&lt;='组合输入'!$M10,"A",IF(AS244&lt;='组合输入'!$N10,"BBB",IF(AS244&lt;='组合输入'!$O10,"BB",IF(AS244&lt;='组合输入'!$P10,"B",IF(AS244&lt;='组合输入'!$Q10,"CCC","D")))))))</f>
        <v/>
      </c>
      <c r="AU244" s="12">
        <f>IF(AT244="","",INDEX('状态价值'!$D10:$K10,MATCH(AT244,'状态价值'!$D$1:$K$1,0)))</f>
        <v/>
      </c>
      <c r="AV244" s="15">
        <f>NORM.S.INV(RAND())</f>
        <v/>
      </c>
      <c r="AW244" s="15">
        <f>IF('组合输入'!$C11="","",'组合输入'!$H11*$B244+SQRT(1-'组合输入'!$H11^2)*AV244)</f>
        <v/>
      </c>
      <c r="AX244" s="7">
        <f>IF(AW244="","",NORM.S.DIST(AW244,TRUE))</f>
        <v/>
      </c>
      <c r="AY244" s="13">
        <f>IF(AX244="","",IF(AX244&lt;='组合输入'!$K11,"AAA",IF(AX244&lt;='组合输入'!$L11,"AA",IF(AX244&lt;='组合输入'!$M11,"A",IF(AX244&lt;='组合输入'!$N11,"BBB",IF(AX244&lt;='组合输入'!$O11,"BB",IF(AX244&lt;='组合输入'!$P11,"B",IF(AX244&lt;='组合输入'!$Q11,"CCC","D")))))))</f>
        <v/>
      </c>
      <c r="AZ244" s="12">
        <f>IF(AY244="","",INDEX('状态价值'!$D11:$K11,MATCH(AY244,'状态价值'!$D$1:$K$1,0)))</f>
        <v/>
      </c>
      <c r="BA244" s="12">
        <f>G244+L244+Q244+V244+AA244+AF244+AK244+AP244+AU244+AZ244</f>
        <v/>
      </c>
      <c r="BB244" s="12">
        <f>SUM('组合输入'!$J$2:$J$11)-BA244</f>
        <v/>
      </c>
    </row>
    <row r="245">
      <c r="A245" s="11" t="n">
        <v>244</v>
      </c>
      <c r="B245" s="14">
        <f>NORM.S.INV(RAND())</f>
        <v/>
      </c>
      <c r="C245" s="14">
        <f>NORM.S.INV(RAND())</f>
        <v/>
      </c>
      <c r="D245" s="15">
        <f>IF('组合输入'!$C2="","",'组合输入'!$H2*$B245+SQRT(1-'组合输入'!$H2^2)*C245)</f>
        <v/>
      </c>
      <c r="E245" s="7">
        <f>IF(D245="","",NORM.S.DIST(D245,TRUE))</f>
        <v/>
      </c>
      <c r="F245" s="13">
        <f>IF(E245="","",IF(E245&lt;='组合输入'!$K2,"AAA",IF(E245&lt;='组合输入'!$L2,"AA",IF(E245&lt;='组合输入'!$M2,"A",IF(E245&lt;='组合输入'!$N2,"BBB",IF(E245&lt;='组合输入'!$O2,"BB",IF(E245&lt;='组合输入'!$P2,"B",IF(E245&lt;='组合输入'!$Q2,"CCC","D")))))))</f>
        <v/>
      </c>
      <c r="G245" s="12">
        <f>IF(F245="","",INDEX('状态价值'!$D2:$K2,MATCH(F245,'状态价值'!$D$1:$K$1,0)))</f>
        <v/>
      </c>
      <c r="H245" s="15">
        <f>NORM.S.INV(RAND())</f>
        <v/>
      </c>
      <c r="I245" s="15">
        <f>IF('组合输入'!$C3="","",'组合输入'!$H3*$B245+SQRT(1-'组合输入'!$H3^2)*H245)</f>
        <v/>
      </c>
      <c r="J245" s="7">
        <f>IF(I245="","",NORM.S.DIST(I245,TRUE))</f>
        <v/>
      </c>
      <c r="K245" s="13">
        <f>IF(J245="","",IF(J245&lt;='组合输入'!$K3,"AAA",IF(J245&lt;='组合输入'!$L3,"AA",IF(J245&lt;='组合输入'!$M3,"A",IF(J245&lt;='组合输入'!$N3,"BBB",IF(J245&lt;='组合输入'!$O3,"BB",IF(J245&lt;='组合输入'!$P3,"B",IF(J245&lt;='组合输入'!$Q3,"CCC","D")))))))</f>
        <v/>
      </c>
      <c r="L245" s="12">
        <f>IF(K245="","",INDEX('状态价值'!$D3:$K3,MATCH(K245,'状态价值'!$D$1:$K$1,0)))</f>
        <v/>
      </c>
      <c r="M245" s="15">
        <f>NORM.S.INV(RAND())</f>
        <v/>
      </c>
      <c r="N245" s="15">
        <f>IF('组合输入'!$C4="","",'组合输入'!$H4*$B245+SQRT(1-'组合输入'!$H4^2)*M245)</f>
        <v/>
      </c>
      <c r="O245" s="7">
        <f>IF(N245="","",NORM.S.DIST(N245,TRUE))</f>
        <v/>
      </c>
      <c r="P245" s="13">
        <f>IF(O245="","",IF(O245&lt;='组合输入'!$K4,"AAA",IF(O245&lt;='组合输入'!$L4,"AA",IF(O245&lt;='组合输入'!$M4,"A",IF(O245&lt;='组合输入'!$N4,"BBB",IF(O245&lt;='组合输入'!$O4,"BB",IF(O245&lt;='组合输入'!$P4,"B",IF(O245&lt;='组合输入'!$Q4,"CCC","D")))))))</f>
        <v/>
      </c>
      <c r="Q245" s="12">
        <f>IF(P245="","",INDEX('状态价值'!$D4:$K4,MATCH(P245,'状态价值'!$D$1:$K$1,0)))</f>
        <v/>
      </c>
      <c r="R245" s="15">
        <f>NORM.S.INV(RAND())</f>
        <v/>
      </c>
      <c r="S245" s="15">
        <f>IF('组合输入'!$C5="","",'组合输入'!$H5*$B245+SQRT(1-'组合输入'!$H5^2)*R245)</f>
        <v/>
      </c>
      <c r="T245" s="7">
        <f>IF(S245="","",NORM.S.DIST(S245,TRUE))</f>
        <v/>
      </c>
      <c r="U245" s="13">
        <f>IF(T245="","",IF(T245&lt;='组合输入'!$K5,"AAA",IF(T245&lt;='组合输入'!$L5,"AA",IF(T245&lt;='组合输入'!$M5,"A",IF(T245&lt;='组合输入'!$N5,"BBB",IF(T245&lt;='组合输入'!$O5,"BB",IF(T245&lt;='组合输入'!$P5,"B",IF(T245&lt;='组合输入'!$Q5,"CCC","D")))))))</f>
        <v/>
      </c>
      <c r="V245" s="12">
        <f>IF(U245="","",INDEX('状态价值'!$D5:$K5,MATCH(U245,'状态价值'!$D$1:$K$1,0)))</f>
        <v/>
      </c>
      <c r="W245" s="15">
        <f>NORM.S.INV(RAND())</f>
        <v/>
      </c>
      <c r="X245" s="15">
        <f>IF('组合输入'!$C6="","",'组合输入'!$H6*$B245+SQRT(1-'组合输入'!$H6^2)*W245)</f>
        <v/>
      </c>
      <c r="Y245" s="7">
        <f>IF(X245="","",NORM.S.DIST(X245,TRUE))</f>
        <v/>
      </c>
      <c r="Z245" s="13">
        <f>IF(Y245="","",IF(Y245&lt;='组合输入'!$K6,"AAA",IF(Y245&lt;='组合输入'!$L6,"AA",IF(Y245&lt;='组合输入'!$M6,"A",IF(Y245&lt;='组合输入'!$N6,"BBB",IF(Y245&lt;='组合输入'!$O6,"BB",IF(Y245&lt;='组合输入'!$P6,"B",IF(Y245&lt;='组合输入'!$Q6,"CCC","D")))))))</f>
        <v/>
      </c>
      <c r="AA245" s="12">
        <f>IF(Z245="","",INDEX('状态价值'!$D6:$K6,MATCH(Z245,'状态价值'!$D$1:$K$1,0)))</f>
        <v/>
      </c>
      <c r="AB245" s="15">
        <f>NORM.S.INV(RAND())</f>
        <v/>
      </c>
      <c r="AC245" s="15">
        <f>IF('组合输入'!$C7="","",'组合输入'!$H7*$B245+SQRT(1-'组合输入'!$H7^2)*AB245)</f>
        <v/>
      </c>
      <c r="AD245" s="7">
        <f>IF(AC245="","",NORM.S.DIST(AC245,TRUE))</f>
        <v/>
      </c>
      <c r="AE245" s="13">
        <f>IF(AD245="","",IF(AD245&lt;='组合输入'!$K7,"AAA",IF(AD245&lt;='组合输入'!$L7,"AA",IF(AD245&lt;='组合输入'!$M7,"A",IF(AD245&lt;='组合输入'!$N7,"BBB",IF(AD245&lt;='组合输入'!$O7,"BB",IF(AD245&lt;='组合输入'!$P7,"B",IF(AD245&lt;='组合输入'!$Q7,"CCC","D")))))))</f>
        <v/>
      </c>
      <c r="AF245" s="12">
        <f>IF(AE245="","",INDEX('状态价值'!$D7:$K7,MATCH(AE245,'状态价值'!$D$1:$K$1,0)))</f>
        <v/>
      </c>
      <c r="AG245" s="15">
        <f>NORM.S.INV(RAND())</f>
        <v/>
      </c>
      <c r="AH245" s="15">
        <f>IF('组合输入'!$C8="","",'组合输入'!$H8*$B245+SQRT(1-'组合输入'!$H8^2)*AG245)</f>
        <v/>
      </c>
      <c r="AI245" s="7">
        <f>IF(AH245="","",NORM.S.DIST(AH245,TRUE))</f>
        <v/>
      </c>
      <c r="AJ245" s="13">
        <f>IF(AI245="","",IF(AI245&lt;='组合输入'!$K8,"AAA",IF(AI245&lt;='组合输入'!$L8,"AA",IF(AI245&lt;='组合输入'!$M8,"A",IF(AI245&lt;='组合输入'!$N8,"BBB",IF(AI245&lt;='组合输入'!$O8,"BB",IF(AI245&lt;='组合输入'!$P8,"B",IF(AI245&lt;='组合输入'!$Q8,"CCC","D")))))))</f>
        <v/>
      </c>
      <c r="AK245" s="12">
        <f>IF(AJ245="","",INDEX('状态价值'!$D8:$K8,MATCH(AJ245,'状态价值'!$D$1:$K$1,0)))</f>
        <v/>
      </c>
      <c r="AL245" s="15">
        <f>NORM.S.INV(RAND())</f>
        <v/>
      </c>
      <c r="AM245" s="15">
        <f>IF('组合输入'!$C9="","",'组合输入'!$H9*$B245+SQRT(1-'组合输入'!$H9^2)*AL245)</f>
        <v/>
      </c>
      <c r="AN245" s="7">
        <f>IF(AM245="","",NORM.S.DIST(AM245,TRUE))</f>
        <v/>
      </c>
      <c r="AO245" s="13">
        <f>IF(AN245="","",IF(AN245&lt;='组合输入'!$K9,"AAA",IF(AN245&lt;='组合输入'!$L9,"AA",IF(AN245&lt;='组合输入'!$M9,"A",IF(AN245&lt;='组合输入'!$N9,"BBB",IF(AN245&lt;='组合输入'!$O9,"BB",IF(AN245&lt;='组合输入'!$P9,"B",IF(AN245&lt;='组合输入'!$Q9,"CCC","D")))))))</f>
        <v/>
      </c>
      <c r="AP245" s="12">
        <f>IF(AO245="","",INDEX('状态价值'!$D9:$K9,MATCH(AO245,'状态价值'!$D$1:$K$1,0)))</f>
        <v/>
      </c>
      <c r="AQ245" s="15">
        <f>NORM.S.INV(RAND())</f>
        <v/>
      </c>
      <c r="AR245" s="15">
        <f>IF('组合输入'!$C10="","",'组合输入'!$H10*$B245+SQRT(1-'组合输入'!$H10^2)*AQ245)</f>
        <v/>
      </c>
      <c r="AS245" s="7">
        <f>IF(AR245="","",NORM.S.DIST(AR245,TRUE))</f>
        <v/>
      </c>
      <c r="AT245" s="13">
        <f>IF(AS245="","",IF(AS245&lt;='组合输入'!$K10,"AAA",IF(AS245&lt;='组合输入'!$L10,"AA",IF(AS245&lt;='组合输入'!$M10,"A",IF(AS245&lt;='组合输入'!$N10,"BBB",IF(AS245&lt;='组合输入'!$O10,"BB",IF(AS245&lt;='组合输入'!$P10,"B",IF(AS245&lt;='组合输入'!$Q10,"CCC","D")))))))</f>
        <v/>
      </c>
      <c r="AU245" s="12">
        <f>IF(AT245="","",INDEX('状态价值'!$D10:$K10,MATCH(AT245,'状态价值'!$D$1:$K$1,0)))</f>
        <v/>
      </c>
      <c r="AV245" s="15">
        <f>NORM.S.INV(RAND())</f>
        <v/>
      </c>
      <c r="AW245" s="15">
        <f>IF('组合输入'!$C11="","",'组合输入'!$H11*$B245+SQRT(1-'组合输入'!$H11^2)*AV245)</f>
        <v/>
      </c>
      <c r="AX245" s="7">
        <f>IF(AW245="","",NORM.S.DIST(AW245,TRUE))</f>
        <v/>
      </c>
      <c r="AY245" s="13">
        <f>IF(AX245="","",IF(AX245&lt;='组合输入'!$K11,"AAA",IF(AX245&lt;='组合输入'!$L11,"AA",IF(AX245&lt;='组合输入'!$M11,"A",IF(AX245&lt;='组合输入'!$N11,"BBB",IF(AX245&lt;='组合输入'!$O11,"BB",IF(AX245&lt;='组合输入'!$P11,"B",IF(AX245&lt;='组合输入'!$Q11,"CCC","D")))))))</f>
        <v/>
      </c>
      <c r="AZ245" s="12">
        <f>IF(AY245="","",INDEX('状态价值'!$D11:$K11,MATCH(AY245,'状态价值'!$D$1:$K$1,0)))</f>
        <v/>
      </c>
      <c r="BA245" s="12">
        <f>G245+L245+Q245+V245+AA245+AF245+AK245+AP245+AU245+AZ245</f>
        <v/>
      </c>
      <c r="BB245" s="12">
        <f>SUM('组合输入'!$J$2:$J$11)-BA245</f>
        <v/>
      </c>
    </row>
    <row r="246">
      <c r="A246" s="11" t="n">
        <v>245</v>
      </c>
      <c r="B246" s="14">
        <f>NORM.S.INV(RAND())</f>
        <v/>
      </c>
      <c r="C246" s="14">
        <f>NORM.S.INV(RAND())</f>
        <v/>
      </c>
      <c r="D246" s="15">
        <f>IF('组合输入'!$C2="","",'组合输入'!$H2*$B246+SQRT(1-'组合输入'!$H2^2)*C246)</f>
        <v/>
      </c>
      <c r="E246" s="7">
        <f>IF(D246="","",NORM.S.DIST(D246,TRUE))</f>
        <v/>
      </c>
      <c r="F246" s="13">
        <f>IF(E246="","",IF(E246&lt;='组合输入'!$K2,"AAA",IF(E246&lt;='组合输入'!$L2,"AA",IF(E246&lt;='组合输入'!$M2,"A",IF(E246&lt;='组合输入'!$N2,"BBB",IF(E246&lt;='组合输入'!$O2,"BB",IF(E246&lt;='组合输入'!$P2,"B",IF(E246&lt;='组合输入'!$Q2,"CCC","D")))))))</f>
        <v/>
      </c>
      <c r="G246" s="12">
        <f>IF(F246="","",INDEX('状态价值'!$D2:$K2,MATCH(F246,'状态价值'!$D$1:$K$1,0)))</f>
        <v/>
      </c>
      <c r="H246" s="15">
        <f>NORM.S.INV(RAND())</f>
        <v/>
      </c>
      <c r="I246" s="15">
        <f>IF('组合输入'!$C3="","",'组合输入'!$H3*$B246+SQRT(1-'组合输入'!$H3^2)*H246)</f>
        <v/>
      </c>
      <c r="J246" s="7">
        <f>IF(I246="","",NORM.S.DIST(I246,TRUE))</f>
        <v/>
      </c>
      <c r="K246" s="13">
        <f>IF(J246="","",IF(J246&lt;='组合输入'!$K3,"AAA",IF(J246&lt;='组合输入'!$L3,"AA",IF(J246&lt;='组合输入'!$M3,"A",IF(J246&lt;='组合输入'!$N3,"BBB",IF(J246&lt;='组合输入'!$O3,"BB",IF(J246&lt;='组合输入'!$P3,"B",IF(J246&lt;='组合输入'!$Q3,"CCC","D")))))))</f>
        <v/>
      </c>
      <c r="L246" s="12">
        <f>IF(K246="","",INDEX('状态价值'!$D3:$K3,MATCH(K246,'状态价值'!$D$1:$K$1,0)))</f>
        <v/>
      </c>
      <c r="M246" s="15">
        <f>NORM.S.INV(RAND())</f>
        <v/>
      </c>
      <c r="N246" s="15">
        <f>IF('组合输入'!$C4="","",'组合输入'!$H4*$B246+SQRT(1-'组合输入'!$H4^2)*M246)</f>
        <v/>
      </c>
      <c r="O246" s="7">
        <f>IF(N246="","",NORM.S.DIST(N246,TRUE))</f>
        <v/>
      </c>
      <c r="P246" s="13">
        <f>IF(O246="","",IF(O246&lt;='组合输入'!$K4,"AAA",IF(O246&lt;='组合输入'!$L4,"AA",IF(O246&lt;='组合输入'!$M4,"A",IF(O246&lt;='组合输入'!$N4,"BBB",IF(O246&lt;='组合输入'!$O4,"BB",IF(O246&lt;='组合输入'!$P4,"B",IF(O246&lt;='组合输入'!$Q4,"CCC","D")))))))</f>
        <v/>
      </c>
      <c r="Q246" s="12">
        <f>IF(P246="","",INDEX('状态价值'!$D4:$K4,MATCH(P246,'状态价值'!$D$1:$K$1,0)))</f>
        <v/>
      </c>
      <c r="R246" s="15">
        <f>NORM.S.INV(RAND())</f>
        <v/>
      </c>
      <c r="S246" s="15">
        <f>IF('组合输入'!$C5="","",'组合输入'!$H5*$B246+SQRT(1-'组合输入'!$H5^2)*R246)</f>
        <v/>
      </c>
      <c r="T246" s="7">
        <f>IF(S246="","",NORM.S.DIST(S246,TRUE))</f>
        <v/>
      </c>
      <c r="U246" s="13">
        <f>IF(T246="","",IF(T246&lt;='组合输入'!$K5,"AAA",IF(T246&lt;='组合输入'!$L5,"AA",IF(T246&lt;='组合输入'!$M5,"A",IF(T246&lt;='组合输入'!$N5,"BBB",IF(T246&lt;='组合输入'!$O5,"BB",IF(T246&lt;='组合输入'!$P5,"B",IF(T246&lt;='组合输入'!$Q5,"CCC","D")))))))</f>
        <v/>
      </c>
      <c r="V246" s="12">
        <f>IF(U246="","",INDEX('状态价值'!$D5:$K5,MATCH(U246,'状态价值'!$D$1:$K$1,0)))</f>
        <v/>
      </c>
      <c r="W246" s="15">
        <f>NORM.S.INV(RAND())</f>
        <v/>
      </c>
      <c r="X246" s="15">
        <f>IF('组合输入'!$C6="","",'组合输入'!$H6*$B246+SQRT(1-'组合输入'!$H6^2)*W246)</f>
        <v/>
      </c>
      <c r="Y246" s="7">
        <f>IF(X246="","",NORM.S.DIST(X246,TRUE))</f>
        <v/>
      </c>
      <c r="Z246" s="13">
        <f>IF(Y246="","",IF(Y246&lt;='组合输入'!$K6,"AAA",IF(Y246&lt;='组合输入'!$L6,"AA",IF(Y246&lt;='组合输入'!$M6,"A",IF(Y246&lt;='组合输入'!$N6,"BBB",IF(Y246&lt;='组合输入'!$O6,"BB",IF(Y246&lt;='组合输入'!$P6,"B",IF(Y246&lt;='组合输入'!$Q6,"CCC","D")))))))</f>
        <v/>
      </c>
      <c r="AA246" s="12">
        <f>IF(Z246="","",INDEX('状态价值'!$D6:$K6,MATCH(Z246,'状态价值'!$D$1:$K$1,0)))</f>
        <v/>
      </c>
      <c r="AB246" s="15">
        <f>NORM.S.INV(RAND())</f>
        <v/>
      </c>
      <c r="AC246" s="15">
        <f>IF('组合输入'!$C7="","",'组合输入'!$H7*$B246+SQRT(1-'组合输入'!$H7^2)*AB246)</f>
        <v/>
      </c>
      <c r="AD246" s="7">
        <f>IF(AC246="","",NORM.S.DIST(AC246,TRUE))</f>
        <v/>
      </c>
      <c r="AE246" s="13">
        <f>IF(AD246="","",IF(AD246&lt;='组合输入'!$K7,"AAA",IF(AD246&lt;='组合输入'!$L7,"AA",IF(AD246&lt;='组合输入'!$M7,"A",IF(AD246&lt;='组合输入'!$N7,"BBB",IF(AD246&lt;='组合输入'!$O7,"BB",IF(AD246&lt;='组合输入'!$P7,"B",IF(AD246&lt;='组合输入'!$Q7,"CCC","D")))))))</f>
        <v/>
      </c>
      <c r="AF246" s="12">
        <f>IF(AE246="","",INDEX('状态价值'!$D7:$K7,MATCH(AE246,'状态价值'!$D$1:$K$1,0)))</f>
        <v/>
      </c>
      <c r="AG246" s="15">
        <f>NORM.S.INV(RAND())</f>
        <v/>
      </c>
      <c r="AH246" s="15">
        <f>IF('组合输入'!$C8="","",'组合输入'!$H8*$B246+SQRT(1-'组合输入'!$H8^2)*AG246)</f>
        <v/>
      </c>
      <c r="AI246" s="7">
        <f>IF(AH246="","",NORM.S.DIST(AH246,TRUE))</f>
        <v/>
      </c>
      <c r="AJ246" s="13">
        <f>IF(AI246="","",IF(AI246&lt;='组合输入'!$K8,"AAA",IF(AI246&lt;='组合输入'!$L8,"AA",IF(AI246&lt;='组合输入'!$M8,"A",IF(AI246&lt;='组合输入'!$N8,"BBB",IF(AI246&lt;='组合输入'!$O8,"BB",IF(AI246&lt;='组合输入'!$P8,"B",IF(AI246&lt;='组合输入'!$Q8,"CCC","D")))))))</f>
        <v/>
      </c>
      <c r="AK246" s="12">
        <f>IF(AJ246="","",INDEX('状态价值'!$D8:$K8,MATCH(AJ246,'状态价值'!$D$1:$K$1,0)))</f>
        <v/>
      </c>
      <c r="AL246" s="15">
        <f>NORM.S.INV(RAND())</f>
        <v/>
      </c>
      <c r="AM246" s="15">
        <f>IF('组合输入'!$C9="","",'组合输入'!$H9*$B246+SQRT(1-'组合输入'!$H9^2)*AL246)</f>
        <v/>
      </c>
      <c r="AN246" s="7">
        <f>IF(AM246="","",NORM.S.DIST(AM246,TRUE))</f>
        <v/>
      </c>
      <c r="AO246" s="13">
        <f>IF(AN246="","",IF(AN246&lt;='组合输入'!$K9,"AAA",IF(AN246&lt;='组合输入'!$L9,"AA",IF(AN246&lt;='组合输入'!$M9,"A",IF(AN246&lt;='组合输入'!$N9,"BBB",IF(AN246&lt;='组合输入'!$O9,"BB",IF(AN246&lt;='组合输入'!$P9,"B",IF(AN246&lt;='组合输入'!$Q9,"CCC","D")))))))</f>
        <v/>
      </c>
      <c r="AP246" s="12">
        <f>IF(AO246="","",INDEX('状态价值'!$D9:$K9,MATCH(AO246,'状态价值'!$D$1:$K$1,0)))</f>
        <v/>
      </c>
      <c r="AQ246" s="15">
        <f>NORM.S.INV(RAND())</f>
        <v/>
      </c>
      <c r="AR246" s="15">
        <f>IF('组合输入'!$C10="","",'组合输入'!$H10*$B246+SQRT(1-'组合输入'!$H10^2)*AQ246)</f>
        <v/>
      </c>
      <c r="AS246" s="7">
        <f>IF(AR246="","",NORM.S.DIST(AR246,TRUE))</f>
        <v/>
      </c>
      <c r="AT246" s="13">
        <f>IF(AS246="","",IF(AS246&lt;='组合输入'!$K10,"AAA",IF(AS246&lt;='组合输入'!$L10,"AA",IF(AS246&lt;='组合输入'!$M10,"A",IF(AS246&lt;='组合输入'!$N10,"BBB",IF(AS246&lt;='组合输入'!$O10,"BB",IF(AS246&lt;='组合输入'!$P10,"B",IF(AS246&lt;='组合输入'!$Q10,"CCC","D")))))))</f>
        <v/>
      </c>
      <c r="AU246" s="12">
        <f>IF(AT246="","",INDEX('状态价值'!$D10:$K10,MATCH(AT246,'状态价值'!$D$1:$K$1,0)))</f>
        <v/>
      </c>
      <c r="AV246" s="15">
        <f>NORM.S.INV(RAND())</f>
        <v/>
      </c>
      <c r="AW246" s="15">
        <f>IF('组合输入'!$C11="","",'组合输入'!$H11*$B246+SQRT(1-'组合输入'!$H11^2)*AV246)</f>
        <v/>
      </c>
      <c r="AX246" s="7">
        <f>IF(AW246="","",NORM.S.DIST(AW246,TRUE))</f>
        <v/>
      </c>
      <c r="AY246" s="13">
        <f>IF(AX246="","",IF(AX246&lt;='组合输入'!$K11,"AAA",IF(AX246&lt;='组合输入'!$L11,"AA",IF(AX246&lt;='组合输入'!$M11,"A",IF(AX246&lt;='组合输入'!$N11,"BBB",IF(AX246&lt;='组合输入'!$O11,"BB",IF(AX246&lt;='组合输入'!$P11,"B",IF(AX246&lt;='组合输入'!$Q11,"CCC","D")))))))</f>
        <v/>
      </c>
      <c r="AZ246" s="12">
        <f>IF(AY246="","",INDEX('状态价值'!$D11:$K11,MATCH(AY246,'状态价值'!$D$1:$K$1,0)))</f>
        <v/>
      </c>
      <c r="BA246" s="12">
        <f>G246+L246+Q246+V246+AA246+AF246+AK246+AP246+AU246+AZ246</f>
        <v/>
      </c>
      <c r="BB246" s="12">
        <f>SUM('组合输入'!$J$2:$J$11)-BA246</f>
        <v/>
      </c>
    </row>
    <row r="247">
      <c r="A247" s="11" t="n">
        <v>246</v>
      </c>
      <c r="B247" s="14">
        <f>NORM.S.INV(RAND())</f>
        <v/>
      </c>
      <c r="C247" s="14">
        <f>NORM.S.INV(RAND())</f>
        <v/>
      </c>
      <c r="D247" s="15">
        <f>IF('组合输入'!$C2="","",'组合输入'!$H2*$B247+SQRT(1-'组合输入'!$H2^2)*C247)</f>
        <v/>
      </c>
      <c r="E247" s="7">
        <f>IF(D247="","",NORM.S.DIST(D247,TRUE))</f>
        <v/>
      </c>
      <c r="F247" s="13">
        <f>IF(E247="","",IF(E247&lt;='组合输入'!$K2,"AAA",IF(E247&lt;='组合输入'!$L2,"AA",IF(E247&lt;='组合输入'!$M2,"A",IF(E247&lt;='组合输入'!$N2,"BBB",IF(E247&lt;='组合输入'!$O2,"BB",IF(E247&lt;='组合输入'!$P2,"B",IF(E247&lt;='组合输入'!$Q2,"CCC","D")))))))</f>
        <v/>
      </c>
      <c r="G247" s="12">
        <f>IF(F247="","",INDEX('状态价值'!$D2:$K2,MATCH(F247,'状态价值'!$D$1:$K$1,0)))</f>
        <v/>
      </c>
      <c r="H247" s="15">
        <f>NORM.S.INV(RAND())</f>
        <v/>
      </c>
      <c r="I247" s="15">
        <f>IF('组合输入'!$C3="","",'组合输入'!$H3*$B247+SQRT(1-'组合输入'!$H3^2)*H247)</f>
        <v/>
      </c>
      <c r="J247" s="7">
        <f>IF(I247="","",NORM.S.DIST(I247,TRUE))</f>
        <v/>
      </c>
      <c r="K247" s="13">
        <f>IF(J247="","",IF(J247&lt;='组合输入'!$K3,"AAA",IF(J247&lt;='组合输入'!$L3,"AA",IF(J247&lt;='组合输入'!$M3,"A",IF(J247&lt;='组合输入'!$N3,"BBB",IF(J247&lt;='组合输入'!$O3,"BB",IF(J247&lt;='组合输入'!$P3,"B",IF(J247&lt;='组合输入'!$Q3,"CCC","D")))))))</f>
        <v/>
      </c>
      <c r="L247" s="12">
        <f>IF(K247="","",INDEX('状态价值'!$D3:$K3,MATCH(K247,'状态价值'!$D$1:$K$1,0)))</f>
        <v/>
      </c>
      <c r="M247" s="15">
        <f>NORM.S.INV(RAND())</f>
        <v/>
      </c>
      <c r="N247" s="15">
        <f>IF('组合输入'!$C4="","",'组合输入'!$H4*$B247+SQRT(1-'组合输入'!$H4^2)*M247)</f>
        <v/>
      </c>
      <c r="O247" s="7">
        <f>IF(N247="","",NORM.S.DIST(N247,TRUE))</f>
        <v/>
      </c>
      <c r="P247" s="13">
        <f>IF(O247="","",IF(O247&lt;='组合输入'!$K4,"AAA",IF(O247&lt;='组合输入'!$L4,"AA",IF(O247&lt;='组合输入'!$M4,"A",IF(O247&lt;='组合输入'!$N4,"BBB",IF(O247&lt;='组合输入'!$O4,"BB",IF(O247&lt;='组合输入'!$P4,"B",IF(O247&lt;='组合输入'!$Q4,"CCC","D")))))))</f>
        <v/>
      </c>
      <c r="Q247" s="12">
        <f>IF(P247="","",INDEX('状态价值'!$D4:$K4,MATCH(P247,'状态价值'!$D$1:$K$1,0)))</f>
        <v/>
      </c>
      <c r="R247" s="15">
        <f>NORM.S.INV(RAND())</f>
        <v/>
      </c>
      <c r="S247" s="15">
        <f>IF('组合输入'!$C5="","",'组合输入'!$H5*$B247+SQRT(1-'组合输入'!$H5^2)*R247)</f>
        <v/>
      </c>
      <c r="T247" s="7">
        <f>IF(S247="","",NORM.S.DIST(S247,TRUE))</f>
        <v/>
      </c>
      <c r="U247" s="13">
        <f>IF(T247="","",IF(T247&lt;='组合输入'!$K5,"AAA",IF(T247&lt;='组合输入'!$L5,"AA",IF(T247&lt;='组合输入'!$M5,"A",IF(T247&lt;='组合输入'!$N5,"BBB",IF(T247&lt;='组合输入'!$O5,"BB",IF(T247&lt;='组合输入'!$P5,"B",IF(T247&lt;='组合输入'!$Q5,"CCC","D")))))))</f>
        <v/>
      </c>
      <c r="V247" s="12">
        <f>IF(U247="","",INDEX('状态价值'!$D5:$K5,MATCH(U247,'状态价值'!$D$1:$K$1,0)))</f>
        <v/>
      </c>
      <c r="W247" s="15">
        <f>NORM.S.INV(RAND())</f>
        <v/>
      </c>
      <c r="X247" s="15">
        <f>IF('组合输入'!$C6="","",'组合输入'!$H6*$B247+SQRT(1-'组合输入'!$H6^2)*W247)</f>
        <v/>
      </c>
      <c r="Y247" s="7">
        <f>IF(X247="","",NORM.S.DIST(X247,TRUE))</f>
        <v/>
      </c>
      <c r="Z247" s="13">
        <f>IF(Y247="","",IF(Y247&lt;='组合输入'!$K6,"AAA",IF(Y247&lt;='组合输入'!$L6,"AA",IF(Y247&lt;='组合输入'!$M6,"A",IF(Y247&lt;='组合输入'!$N6,"BBB",IF(Y247&lt;='组合输入'!$O6,"BB",IF(Y247&lt;='组合输入'!$P6,"B",IF(Y247&lt;='组合输入'!$Q6,"CCC","D")))))))</f>
        <v/>
      </c>
      <c r="AA247" s="12">
        <f>IF(Z247="","",INDEX('状态价值'!$D6:$K6,MATCH(Z247,'状态价值'!$D$1:$K$1,0)))</f>
        <v/>
      </c>
      <c r="AB247" s="15">
        <f>NORM.S.INV(RAND())</f>
        <v/>
      </c>
      <c r="AC247" s="15">
        <f>IF('组合输入'!$C7="","",'组合输入'!$H7*$B247+SQRT(1-'组合输入'!$H7^2)*AB247)</f>
        <v/>
      </c>
      <c r="AD247" s="7">
        <f>IF(AC247="","",NORM.S.DIST(AC247,TRUE))</f>
        <v/>
      </c>
      <c r="AE247" s="13">
        <f>IF(AD247="","",IF(AD247&lt;='组合输入'!$K7,"AAA",IF(AD247&lt;='组合输入'!$L7,"AA",IF(AD247&lt;='组合输入'!$M7,"A",IF(AD247&lt;='组合输入'!$N7,"BBB",IF(AD247&lt;='组合输入'!$O7,"BB",IF(AD247&lt;='组合输入'!$P7,"B",IF(AD247&lt;='组合输入'!$Q7,"CCC","D")))))))</f>
        <v/>
      </c>
      <c r="AF247" s="12">
        <f>IF(AE247="","",INDEX('状态价值'!$D7:$K7,MATCH(AE247,'状态价值'!$D$1:$K$1,0)))</f>
        <v/>
      </c>
      <c r="AG247" s="15">
        <f>NORM.S.INV(RAND())</f>
        <v/>
      </c>
      <c r="AH247" s="15">
        <f>IF('组合输入'!$C8="","",'组合输入'!$H8*$B247+SQRT(1-'组合输入'!$H8^2)*AG247)</f>
        <v/>
      </c>
      <c r="AI247" s="7">
        <f>IF(AH247="","",NORM.S.DIST(AH247,TRUE))</f>
        <v/>
      </c>
      <c r="AJ247" s="13">
        <f>IF(AI247="","",IF(AI247&lt;='组合输入'!$K8,"AAA",IF(AI247&lt;='组合输入'!$L8,"AA",IF(AI247&lt;='组合输入'!$M8,"A",IF(AI247&lt;='组合输入'!$N8,"BBB",IF(AI247&lt;='组合输入'!$O8,"BB",IF(AI247&lt;='组合输入'!$P8,"B",IF(AI247&lt;='组合输入'!$Q8,"CCC","D")))))))</f>
        <v/>
      </c>
      <c r="AK247" s="12">
        <f>IF(AJ247="","",INDEX('状态价值'!$D8:$K8,MATCH(AJ247,'状态价值'!$D$1:$K$1,0)))</f>
        <v/>
      </c>
      <c r="AL247" s="15">
        <f>NORM.S.INV(RAND())</f>
        <v/>
      </c>
      <c r="AM247" s="15">
        <f>IF('组合输入'!$C9="","",'组合输入'!$H9*$B247+SQRT(1-'组合输入'!$H9^2)*AL247)</f>
        <v/>
      </c>
      <c r="AN247" s="7">
        <f>IF(AM247="","",NORM.S.DIST(AM247,TRUE))</f>
        <v/>
      </c>
      <c r="AO247" s="13">
        <f>IF(AN247="","",IF(AN247&lt;='组合输入'!$K9,"AAA",IF(AN247&lt;='组合输入'!$L9,"AA",IF(AN247&lt;='组合输入'!$M9,"A",IF(AN247&lt;='组合输入'!$N9,"BBB",IF(AN247&lt;='组合输入'!$O9,"BB",IF(AN247&lt;='组合输入'!$P9,"B",IF(AN247&lt;='组合输入'!$Q9,"CCC","D")))))))</f>
        <v/>
      </c>
      <c r="AP247" s="12">
        <f>IF(AO247="","",INDEX('状态价值'!$D9:$K9,MATCH(AO247,'状态价值'!$D$1:$K$1,0)))</f>
        <v/>
      </c>
      <c r="AQ247" s="15">
        <f>NORM.S.INV(RAND())</f>
        <v/>
      </c>
      <c r="AR247" s="15">
        <f>IF('组合输入'!$C10="","",'组合输入'!$H10*$B247+SQRT(1-'组合输入'!$H10^2)*AQ247)</f>
        <v/>
      </c>
      <c r="AS247" s="7">
        <f>IF(AR247="","",NORM.S.DIST(AR247,TRUE))</f>
        <v/>
      </c>
      <c r="AT247" s="13">
        <f>IF(AS247="","",IF(AS247&lt;='组合输入'!$K10,"AAA",IF(AS247&lt;='组合输入'!$L10,"AA",IF(AS247&lt;='组合输入'!$M10,"A",IF(AS247&lt;='组合输入'!$N10,"BBB",IF(AS247&lt;='组合输入'!$O10,"BB",IF(AS247&lt;='组合输入'!$P10,"B",IF(AS247&lt;='组合输入'!$Q10,"CCC","D")))))))</f>
        <v/>
      </c>
      <c r="AU247" s="12">
        <f>IF(AT247="","",INDEX('状态价值'!$D10:$K10,MATCH(AT247,'状态价值'!$D$1:$K$1,0)))</f>
        <v/>
      </c>
      <c r="AV247" s="15">
        <f>NORM.S.INV(RAND())</f>
        <v/>
      </c>
      <c r="AW247" s="15">
        <f>IF('组合输入'!$C11="","",'组合输入'!$H11*$B247+SQRT(1-'组合输入'!$H11^2)*AV247)</f>
        <v/>
      </c>
      <c r="AX247" s="7">
        <f>IF(AW247="","",NORM.S.DIST(AW247,TRUE))</f>
        <v/>
      </c>
      <c r="AY247" s="13">
        <f>IF(AX247="","",IF(AX247&lt;='组合输入'!$K11,"AAA",IF(AX247&lt;='组合输入'!$L11,"AA",IF(AX247&lt;='组合输入'!$M11,"A",IF(AX247&lt;='组合输入'!$N11,"BBB",IF(AX247&lt;='组合输入'!$O11,"BB",IF(AX247&lt;='组合输入'!$P11,"B",IF(AX247&lt;='组合输入'!$Q11,"CCC","D")))))))</f>
        <v/>
      </c>
      <c r="AZ247" s="12">
        <f>IF(AY247="","",INDEX('状态价值'!$D11:$K11,MATCH(AY247,'状态价值'!$D$1:$K$1,0)))</f>
        <v/>
      </c>
      <c r="BA247" s="12">
        <f>G247+L247+Q247+V247+AA247+AF247+AK247+AP247+AU247+AZ247</f>
        <v/>
      </c>
      <c r="BB247" s="12">
        <f>SUM('组合输入'!$J$2:$J$11)-BA247</f>
        <v/>
      </c>
    </row>
    <row r="248">
      <c r="A248" s="11" t="n">
        <v>247</v>
      </c>
      <c r="B248" s="14">
        <f>NORM.S.INV(RAND())</f>
        <v/>
      </c>
      <c r="C248" s="14">
        <f>NORM.S.INV(RAND())</f>
        <v/>
      </c>
      <c r="D248" s="15">
        <f>IF('组合输入'!$C2="","",'组合输入'!$H2*$B248+SQRT(1-'组合输入'!$H2^2)*C248)</f>
        <v/>
      </c>
      <c r="E248" s="7">
        <f>IF(D248="","",NORM.S.DIST(D248,TRUE))</f>
        <v/>
      </c>
      <c r="F248" s="13">
        <f>IF(E248="","",IF(E248&lt;='组合输入'!$K2,"AAA",IF(E248&lt;='组合输入'!$L2,"AA",IF(E248&lt;='组合输入'!$M2,"A",IF(E248&lt;='组合输入'!$N2,"BBB",IF(E248&lt;='组合输入'!$O2,"BB",IF(E248&lt;='组合输入'!$P2,"B",IF(E248&lt;='组合输入'!$Q2,"CCC","D")))))))</f>
        <v/>
      </c>
      <c r="G248" s="12">
        <f>IF(F248="","",INDEX('状态价值'!$D2:$K2,MATCH(F248,'状态价值'!$D$1:$K$1,0)))</f>
        <v/>
      </c>
      <c r="H248" s="15">
        <f>NORM.S.INV(RAND())</f>
        <v/>
      </c>
      <c r="I248" s="15">
        <f>IF('组合输入'!$C3="","",'组合输入'!$H3*$B248+SQRT(1-'组合输入'!$H3^2)*H248)</f>
        <v/>
      </c>
      <c r="J248" s="7">
        <f>IF(I248="","",NORM.S.DIST(I248,TRUE))</f>
        <v/>
      </c>
      <c r="K248" s="13">
        <f>IF(J248="","",IF(J248&lt;='组合输入'!$K3,"AAA",IF(J248&lt;='组合输入'!$L3,"AA",IF(J248&lt;='组合输入'!$M3,"A",IF(J248&lt;='组合输入'!$N3,"BBB",IF(J248&lt;='组合输入'!$O3,"BB",IF(J248&lt;='组合输入'!$P3,"B",IF(J248&lt;='组合输入'!$Q3,"CCC","D")))))))</f>
        <v/>
      </c>
      <c r="L248" s="12">
        <f>IF(K248="","",INDEX('状态价值'!$D3:$K3,MATCH(K248,'状态价值'!$D$1:$K$1,0)))</f>
        <v/>
      </c>
      <c r="M248" s="15">
        <f>NORM.S.INV(RAND())</f>
        <v/>
      </c>
      <c r="N248" s="15">
        <f>IF('组合输入'!$C4="","",'组合输入'!$H4*$B248+SQRT(1-'组合输入'!$H4^2)*M248)</f>
        <v/>
      </c>
      <c r="O248" s="7">
        <f>IF(N248="","",NORM.S.DIST(N248,TRUE))</f>
        <v/>
      </c>
      <c r="P248" s="13">
        <f>IF(O248="","",IF(O248&lt;='组合输入'!$K4,"AAA",IF(O248&lt;='组合输入'!$L4,"AA",IF(O248&lt;='组合输入'!$M4,"A",IF(O248&lt;='组合输入'!$N4,"BBB",IF(O248&lt;='组合输入'!$O4,"BB",IF(O248&lt;='组合输入'!$P4,"B",IF(O248&lt;='组合输入'!$Q4,"CCC","D")))))))</f>
        <v/>
      </c>
      <c r="Q248" s="12">
        <f>IF(P248="","",INDEX('状态价值'!$D4:$K4,MATCH(P248,'状态价值'!$D$1:$K$1,0)))</f>
        <v/>
      </c>
      <c r="R248" s="15">
        <f>NORM.S.INV(RAND())</f>
        <v/>
      </c>
      <c r="S248" s="15">
        <f>IF('组合输入'!$C5="","",'组合输入'!$H5*$B248+SQRT(1-'组合输入'!$H5^2)*R248)</f>
        <v/>
      </c>
      <c r="T248" s="7">
        <f>IF(S248="","",NORM.S.DIST(S248,TRUE))</f>
        <v/>
      </c>
      <c r="U248" s="13">
        <f>IF(T248="","",IF(T248&lt;='组合输入'!$K5,"AAA",IF(T248&lt;='组合输入'!$L5,"AA",IF(T248&lt;='组合输入'!$M5,"A",IF(T248&lt;='组合输入'!$N5,"BBB",IF(T248&lt;='组合输入'!$O5,"BB",IF(T248&lt;='组合输入'!$P5,"B",IF(T248&lt;='组合输入'!$Q5,"CCC","D")))))))</f>
        <v/>
      </c>
      <c r="V248" s="12">
        <f>IF(U248="","",INDEX('状态价值'!$D5:$K5,MATCH(U248,'状态价值'!$D$1:$K$1,0)))</f>
        <v/>
      </c>
      <c r="W248" s="15">
        <f>NORM.S.INV(RAND())</f>
        <v/>
      </c>
      <c r="X248" s="15">
        <f>IF('组合输入'!$C6="","",'组合输入'!$H6*$B248+SQRT(1-'组合输入'!$H6^2)*W248)</f>
        <v/>
      </c>
      <c r="Y248" s="7">
        <f>IF(X248="","",NORM.S.DIST(X248,TRUE))</f>
        <v/>
      </c>
      <c r="Z248" s="13">
        <f>IF(Y248="","",IF(Y248&lt;='组合输入'!$K6,"AAA",IF(Y248&lt;='组合输入'!$L6,"AA",IF(Y248&lt;='组合输入'!$M6,"A",IF(Y248&lt;='组合输入'!$N6,"BBB",IF(Y248&lt;='组合输入'!$O6,"BB",IF(Y248&lt;='组合输入'!$P6,"B",IF(Y248&lt;='组合输入'!$Q6,"CCC","D")))))))</f>
        <v/>
      </c>
      <c r="AA248" s="12">
        <f>IF(Z248="","",INDEX('状态价值'!$D6:$K6,MATCH(Z248,'状态价值'!$D$1:$K$1,0)))</f>
        <v/>
      </c>
      <c r="AB248" s="15">
        <f>NORM.S.INV(RAND())</f>
        <v/>
      </c>
      <c r="AC248" s="15">
        <f>IF('组合输入'!$C7="","",'组合输入'!$H7*$B248+SQRT(1-'组合输入'!$H7^2)*AB248)</f>
        <v/>
      </c>
      <c r="AD248" s="7">
        <f>IF(AC248="","",NORM.S.DIST(AC248,TRUE))</f>
        <v/>
      </c>
      <c r="AE248" s="13">
        <f>IF(AD248="","",IF(AD248&lt;='组合输入'!$K7,"AAA",IF(AD248&lt;='组合输入'!$L7,"AA",IF(AD248&lt;='组合输入'!$M7,"A",IF(AD248&lt;='组合输入'!$N7,"BBB",IF(AD248&lt;='组合输入'!$O7,"BB",IF(AD248&lt;='组合输入'!$P7,"B",IF(AD248&lt;='组合输入'!$Q7,"CCC","D")))))))</f>
        <v/>
      </c>
      <c r="AF248" s="12">
        <f>IF(AE248="","",INDEX('状态价值'!$D7:$K7,MATCH(AE248,'状态价值'!$D$1:$K$1,0)))</f>
        <v/>
      </c>
      <c r="AG248" s="15">
        <f>NORM.S.INV(RAND())</f>
        <v/>
      </c>
      <c r="AH248" s="15">
        <f>IF('组合输入'!$C8="","",'组合输入'!$H8*$B248+SQRT(1-'组合输入'!$H8^2)*AG248)</f>
        <v/>
      </c>
      <c r="AI248" s="7">
        <f>IF(AH248="","",NORM.S.DIST(AH248,TRUE))</f>
        <v/>
      </c>
      <c r="AJ248" s="13">
        <f>IF(AI248="","",IF(AI248&lt;='组合输入'!$K8,"AAA",IF(AI248&lt;='组合输入'!$L8,"AA",IF(AI248&lt;='组合输入'!$M8,"A",IF(AI248&lt;='组合输入'!$N8,"BBB",IF(AI248&lt;='组合输入'!$O8,"BB",IF(AI248&lt;='组合输入'!$P8,"B",IF(AI248&lt;='组合输入'!$Q8,"CCC","D")))))))</f>
        <v/>
      </c>
      <c r="AK248" s="12">
        <f>IF(AJ248="","",INDEX('状态价值'!$D8:$K8,MATCH(AJ248,'状态价值'!$D$1:$K$1,0)))</f>
        <v/>
      </c>
      <c r="AL248" s="15">
        <f>NORM.S.INV(RAND())</f>
        <v/>
      </c>
      <c r="AM248" s="15">
        <f>IF('组合输入'!$C9="","",'组合输入'!$H9*$B248+SQRT(1-'组合输入'!$H9^2)*AL248)</f>
        <v/>
      </c>
      <c r="AN248" s="7">
        <f>IF(AM248="","",NORM.S.DIST(AM248,TRUE))</f>
        <v/>
      </c>
      <c r="AO248" s="13">
        <f>IF(AN248="","",IF(AN248&lt;='组合输入'!$K9,"AAA",IF(AN248&lt;='组合输入'!$L9,"AA",IF(AN248&lt;='组合输入'!$M9,"A",IF(AN248&lt;='组合输入'!$N9,"BBB",IF(AN248&lt;='组合输入'!$O9,"BB",IF(AN248&lt;='组合输入'!$P9,"B",IF(AN248&lt;='组合输入'!$Q9,"CCC","D")))))))</f>
        <v/>
      </c>
      <c r="AP248" s="12">
        <f>IF(AO248="","",INDEX('状态价值'!$D9:$K9,MATCH(AO248,'状态价值'!$D$1:$K$1,0)))</f>
        <v/>
      </c>
      <c r="AQ248" s="15">
        <f>NORM.S.INV(RAND())</f>
        <v/>
      </c>
      <c r="AR248" s="15">
        <f>IF('组合输入'!$C10="","",'组合输入'!$H10*$B248+SQRT(1-'组合输入'!$H10^2)*AQ248)</f>
        <v/>
      </c>
      <c r="AS248" s="7">
        <f>IF(AR248="","",NORM.S.DIST(AR248,TRUE))</f>
        <v/>
      </c>
      <c r="AT248" s="13">
        <f>IF(AS248="","",IF(AS248&lt;='组合输入'!$K10,"AAA",IF(AS248&lt;='组合输入'!$L10,"AA",IF(AS248&lt;='组合输入'!$M10,"A",IF(AS248&lt;='组合输入'!$N10,"BBB",IF(AS248&lt;='组合输入'!$O10,"BB",IF(AS248&lt;='组合输入'!$P10,"B",IF(AS248&lt;='组合输入'!$Q10,"CCC","D")))))))</f>
        <v/>
      </c>
      <c r="AU248" s="12">
        <f>IF(AT248="","",INDEX('状态价值'!$D10:$K10,MATCH(AT248,'状态价值'!$D$1:$K$1,0)))</f>
        <v/>
      </c>
      <c r="AV248" s="15">
        <f>NORM.S.INV(RAND())</f>
        <v/>
      </c>
      <c r="AW248" s="15">
        <f>IF('组合输入'!$C11="","",'组合输入'!$H11*$B248+SQRT(1-'组合输入'!$H11^2)*AV248)</f>
        <v/>
      </c>
      <c r="AX248" s="7">
        <f>IF(AW248="","",NORM.S.DIST(AW248,TRUE))</f>
        <v/>
      </c>
      <c r="AY248" s="13">
        <f>IF(AX248="","",IF(AX248&lt;='组合输入'!$K11,"AAA",IF(AX248&lt;='组合输入'!$L11,"AA",IF(AX248&lt;='组合输入'!$M11,"A",IF(AX248&lt;='组合输入'!$N11,"BBB",IF(AX248&lt;='组合输入'!$O11,"BB",IF(AX248&lt;='组合输入'!$P11,"B",IF(AX248&lt;='组合输入'!$Q11,"CCC","D")))))))</f>
        <v/>
      </c>
      <c r="AZ248" s="12">
        <f>IF(AY248="","",INDEX('状态价值'!$D11:$K11,MATCH(AY248,'状态价值'!$D$1:$K$1,0)))</f>
        <v/>
      </c>
      <c r="BA248" s="12">
        <f>G248+L248+Q248+V248+AA248+AF248+AK248+AP248+AU248+AZ248</f>
        <v/>
      </c>
      <c r="BB248" s="12">
        <f>SUM('组合输入'!$J$2:$J$11)-BA248</f>
        <v/>
      </c>
    </row>
    <row r="249">
      <c r="A249" s="11" t="n">
        <v>248</v>
      </c>
      <c r="B249" s="14">
        <f>NORM.S.INV(RAND())</f>
        <v/>
      </c>
      <c r="C249" s="14">
        <f>NORM.S.INV(RAND())</f>
        <v/>
      </c>
      <c r="D249" s="15">
        <f>IF('组合输入'!$C2="","",'组合输入'!$H2*$B249+SQRT(1-'组合输入'!$H2^2)*C249)</f>
        <v/>
      </c>
      <c r="E249" s="7">
        <f>IF(D249="","",NORM.S.DIST(D249,TRUE))</f>
        <v/>
      </c>
      <c r="F249" s="13">
        <f>IF(E249="","",IF(E249&lt;='组合输入'!$K2,"AAA",IF(E249&lt;='组合输入'!$L2,"AA",IF(E249&lt;='组合输入'!$M2,"A",IF(E249&lt;='组合输入'!$N2,"BBB",IF(E249&lt;='组合输入'!$O2,"BB",IF(E249&lt;='组合输入'!$P2,"B",IF(E249&lt;='组合输入'!$Q2,"CCC","D")))))))</f>
        <v/>
      </c>
      <c r="G249" s="12">
        <f>IF(F249="","",INDEX('状态价值'!$D2:$K2,MATCH(F249,'状态价值'!$D$1:$K$1,0)))</f>
        <v/>
      </c>
      <c r="H249" s="15">
        <f>NORM.S.INV(RAND())</f>
        <v/>
      </c>
      <c r="I249" s="15">
        <f>IF('组合输入'!$C3="","",'组合输入'!$H3*$B249+SQRT(1-'组合输入'!$H3^2)*H249)</f>
        <v/>
      </c>
      <c r="J249" s="7">
        <f>IF(I249="","",NORM.S.DIST(I249,TRUE))</f>
        <v/>
      </c>
      <c r="K249" s="13">
        <f>IF(J249="","",IF(J249&lt;='组合输入'!$K3,"AAA",IF(J249&lt;='组合输入'!$L3,"AA",IF(J249&lt;='组合输入'!$M3,"A",IF(J249&lt;='组合输入'!$N3,"BBB",IF(J249&lt;='组合输入'!$O3,"BB",IF(J249&lt;='组合输入'!$P3,"B",IF(J249&lt;='组合输入'!$Q3,"CCC","D")))))))</f>
        <v/>
      </c>
      <c r="L249" s="12">
        <f>IF(K249="","",INDEX('状态价值'!$D3:$K3,MATCH(K249,'状态价值'!$D$1:$K$1,0)))</f>
        <v/>
      </c>
      <c r="M249" s="15">
        <f>NORM.S.INV(RAND())</f>
        <v/>
      </c>
      <c r="N249" s="15">
        <f>IF('组合输入'!$C4="","",'组合输入'!$H4*$B249+SQRT(1-'组合输入'!$H4^2)*M249)</f>
        <v/>
      </c>
      <c r="O249" s="7">
        <f>IF(N249="","",NORM.S.DIST(N249,TRUE))</f>
        <v/>
      </c>
      <c r="P249" s="13">
        <f>IF(O249="","",IF(O249&lt;='组合输入'!$K4,"AAA",IF(O249&lt;='组合输入'!$L4,"AA",IF(O249&lt;='组合输入'!$M4,"A",IF(O249&lt;='组合输入'!$N4,"BBB",IF(O249&lt;='组合输入'!$O4,"BB",IF(O249&lt;='组合输入'!$P4,"B",IF(O249&lt;='组合输入'!$Q4,"CCC","D")))))))</f>
        <v/>
      </c>
      <c r="Q249" s="12">
        <f>IF(P249="","",INDEX('状态价值'!$D4:$K4,MATCH(P249,'状态价值'!$D$1:$K$1,0)))</f>
        <v/>
      </c>
      <c r="R249" s="15">
        <f>NORM.S.INV(RAND())</f>
        <v/>
      </c>
      <c r="S249" s="15">
        <f>IF('组合输入'!$C5="","",'组合输入'!$H5*$B249+SQRT(1-'组合输入'!$H5^2)*R249)</f>
        <v/>
      </c>
      <c r="T249" s="7">
        <f>IF(S249="","",NORM.S.DIST(S249,TRUE))</f>
        <v/>
      </c>
      <c r="U249" s="13">
        <f>IF(T249="","",IF(T249&lt;='组合输入'!$K5,"AAA",IF(T249&lt;='组合输入'!$L5,"AA",IF(T249&lt;='组合输入'!$M5,"A",IF(T249&lt;='组合输入'!$N5,"BBB",IF(T249&lt;='组合输入'!$O5,"BB",IF(T249&lt;='组合输入'!$P5,"B",IF(T249&lt;='组合输入'!$Q5,"CCC","D")))))))</f>
        <v/>
      </c>
      <c r="V249" s="12">
        <f>IF(U249="","",INDEX('状态价值'!$D5:$K5,MATCH(U249,'状态价值'!$D$1:$K$1,0)))</f>
        <v/>
      </c>
      <c r="W249" s="15">
        <f>NORM.S.INV(RAND())</f>
        <v/>
      </c>
      <c r="X249" s="15">
        <f>IF('组合输入'!$C6="","",'组合输入'!$H6*$B249+SQRT(1-'组合输入'!$H6^2)*W249)</f>
        <v/>
      </c>
      <c r="Y249" s="7">
        <f>IF(X249="","",NORM.S.DIST(X249,TRUE))</f>
        <v/>
      </c>
      <c r="Z249" s="13">
        <f>IF(Y249="","",IF(Y249&lt;='组合输入'!$K6,"AAA",IF(Y249&lt;='组合输入'!$L6,"AA",IF(Y249&lt;='组合输入'!$M6,"A",IF(Y249&lt;='组合输入'!$N6,"BBB",IF(Y249&lt;='组合输入'!$O6,"BB",IF(Y249&lt;='组合输入'!$P6,"B",IF(Y249&lt;='组合输入'!$Q6,"CCC","D")))))))</f>
        <v/>
      </c>
      <c r="AA249" s="12">
        <f>IF(Z249="","",INDEX('状态价值'!$D6:$K6,MATCH(Z249,'状态价值'!$D$1:$K$1,0)))</f>
        <v/>
      </c>
      <c r="AB249" s="15">
        <f>NORM.S.INV(RAND())</f>
        <v/>
      </c>
      <c r="AC249" s="15">
        <f>IF('组合输入'!$C7="","",'组合输入'!$H7*$B249+SQRT(1-'组合输入'!$H7^2)*AB249)</f>
        <v/>
      </c>
      <c r="AD249" s="7">
        <f>IF(AC249="","",NORM.S.DIST(AC249,TRUE))</f>
        <v/>
      </c>
      <c r="AE249" s="13">
        <f>IF(AD249="","",IF(AD249&lt;='组合输入'!$K7,"AAA",IF(AD249&lt;='组合输入'!$L7,"AA",IF(AD249&lt;='组合输入'!$M7,"A",IF(AD249&lt;='组合输入'!$N7,"BBB",IF(AD249&lt;='组合输入'!$O7,"BB",IF(AD249&lt;='组合输入'!$P7,"B",IF(AD249&lt;='组合输入'!$Q7,"CCC","D")))))))</f>
        <v/>
      </c>
      <c r="AF249" s="12">
        <f>IF(AE249="","",INDEX('状态价值'!$D7:$K7,MATCH(AE249,'状态价值'!$D$1:$K$1,0)))</f>
        <v/>
      </c>
      <c r="AG249" s="15">
        <f>NORM.S.INV(RAND())</f>
        <v/>
      </c>
      <c r="AH249" s="15">
        <f>IF('组合输入'!$C8="","",'组合输入'!$H8*$B249+SQRT(1-'组合输入'!$H8^2)*AG249)</f>
        <v/>
      </c>
      <c r="AI249" s="7">
        <f>IF(AH249="","",NORM.S.DIST(AH249,TRUE))</f>
        <v/>
      </c>
      <c r="AJ249" s="13">
        <f>IF(AI249="","",IF(AI249&lt;='组合输入'!$K8,"AAA",IF(AI249&lt;='组合输入'!$L8,"AA",IF(AI249&lt;='组合输入'!$M8,"A",IF(AI249&lt;='组合输入'!$N8,"BBB",IF(AI249&lt;='组合输入'!$O8,"BB",IF(AI249&lt;='组合输入'!$P8,"B",IF(AI249&lt;='组合输入'!$Q8,"CCC","D")))))))</f>
        <v/>
      </c>
      <c r="AK249" s="12">
        <f>IF(AJ249="","",INDEX('状态价值'!$D8:$K8,MATCH(AJ249,'状态价值'!$D$1:$K$1,0)))</f>
        <v/>
      </c>
      <c r="AL249" s="15">
        <f>NORM.S.INV(RAND())</f>
        <v/>
      </c>
      <c r="AM249" s="15">
        <f>IF('组合输入'!$C9="","",'组合输入'!$H9*$B249+SQRT(1-'组合输入'!$H9^2)*AL249)</f>
        <v/>
      </c>
      <c r="AN249" s="7">
        <f>IF(AM249="","",NORM.S.DIST(AM249,TRUE))</f>
        <v/>
      </c>
      <c r="AO249" s="13">
        <f>IF(AN249="","",IF(AN249&lt;='组合输入'!$K9,"AAA",IF(AN249&lt;='组合输入'!$L9,"AA",IF(AN249&lt;='组合输入'!$M9,"A",IF(AN249&lt;='组合输入'!$N9,"BBB",IF(AN249&lt;='组合输入'!$O9,"BB",IF(AN249&lt;='组合输入'!$P9,"B",IF(AN249&lt;='组合输入'!$Q9,"CCC","D")))))))</f>
        <v/>
      </c>
      <c r="AP249" s="12">
        <f>IF(AO249="","",INDEX('状态价值'!$D9:$K9,MATCH(AO249,'状态价值'!$D$1:$K$1,0)))</f>
        <v/>
      </c>
      <c r="AQ249" s="15">
        <f>NORM.S.INV(RAND())</f>
        <v/>
      </c>
      <c r="AR249" s="15">
        <f>IF('组合输入'!$C10="","",'组合输入'!$H10*$B249+SQRT(1-'组合输入'!$H10^2)*AQ249)</f>
        <v/>
      </c>
      <c r="AS249" s="7">
        <f>IF(AR249="","",NORM.S.DIST(AR249,TRUE))</f>
        <v/>
      </c>
      <c r="AT249" s="13">
        <f>IF(AS249="","",IF(AS249&lt;='组合输入'!$K10,"AAA",IF(AS249&lt;='组合输入'!$L10,"AA",IF(AS249&lt;='组合输入'!$M10,"A",IF(AS249&lt;='组合输入'!$N10,"BBB",IF(AS249&lt;='组合输入'!$O10,"BB",IF(AS249&lt;='组合输入'!$P10,"B",IF(AS249&lt;='组合输入'!$Q10,"CCC","D")))))))</f>
        <v/>
      </c>
      <c r="AU249" s="12">
        <f>IF(AT249="","",INDEX('状态价值'!$D10:$K10,MATCH(AT249,'状态价值'!$D$1:$K$1,0)))</f>
        <v/>
      </c>
      <c r="AV249" s="15">
        <f>NORM.S.INV(RAND())</f>
        <v/>
      </c>
      <c r="AW249" s="15">
        <f>IF('组合输入'!$C11="","",'组合输入'!$H11*$B249+SQRT(1-'组合输入'!$H11^2)*AV249)</f>
        <v/>
      </c>
      <c r="AX249" s="7">
        <f>IF(AW249="","",NORM.S.DIST(AW249,TRUE))</f>
        <v/>
      </c>
      <c r="AY249" s="13">
        <f>IF(AX249="","",IF(AX249&lt;='组合输入'!$K11,"AAA",IF(AX249&lt;='组合输入'!$L11,"AA",IF(AX249&lt;='组合输入'!$M11,"A",IF(AX249&lt;='组合输入'!$N11,"BBB",IF(AX249&lt;='组合输入'!$O11,"BB",IF(AX249&lt;='组合输入'!$P11,"B",IF(AX249&lt;='组合输入'!$Q11,"CCC","D")))))))</f>
        <v/>
      </c>
      <c r="AZ249" s="12">
        <f>IF(AY249="","",INDEX('状态价值'!$D11:$K11,MATCH(AY249,'状态价值'!$D$1:$K$1,0)))</f>
        <v/>
      </c>
      <c r="BA249" s="12">
        <f>G249+L249+Q249+V249+AA249+AF249+AK249+AP249+AU249+AZ249</f>
        <v/>
      </c>
      <c r="BB249" s="12">
        <f>SUM('组合输入'!$J$2:$J$11)-BA249</f>
        <v/>
      </c>
    </row>
    <row r="250">
      <c r="A250" s="11" t="n">
        <v>249</v>
      </c>
      <c r="B250" s="14">
        <f>NORM.S.INV(RAND())</f>
        <v/>
      </c>
      <c r="C250" s="14">
        <f>NORM.S.INV(RAND())</f>
        <v/>
      </c>
      <c r="D250" s="15">
        <f>IF('组合输入'!$C2="","",'组合输入'!$H2*$B250+SQRT(1-'组合输入'!$H2^2)*C250)</f>
        <v/>
      </c>
      <c r="E250" s="7">
        <f>IF(D250="","",NORM.S.DIST(D250,TRUE))</f>
        <v/>
      </c>
      <c r="F250" s="13">
        <f>IF(E250="","",IF(E250&lt;='组合输入'!$K2,"AAA",IF(E250&lt;='组合输入'!$L2,"AA",IF(E250&lt;='组合输入'!$M2,"A",IF(E250&lt;='组合输入'!$N2,"BBB",IF(E250&lt;='组合输入'!$O2,"BB",IF(E250&lt;='组合输入'!$P2,"B",IF(E250&lt;='组合输入'!$Q2,"CCC","D")))))))</f>
        <v/>
      </c>
      <c r="G250" s="12">
        <f>IF(F250="","",INDEX('状态价值'!$D2:$K2,MATCH(F250,'状态价值'!$D$1:$K$1,0)))</f>
        <v/>
      </c>
      <c r="H250" s="15">
        <f>NORM.S.INV(RAND())</f>
        <v/>
      </c>
      <c r="I250" s="15">
        <f>IF('组合输入'!$C3="","",'组合输入'!$H3*$B250+SQRT(1-'组合输入'!$H3^2)*H250)</f>
        <v/>
      </c>
      <c r="J250" s="7">
        <f>IF(I250="","",NORM.S.DIST(I250,TRUE))</f>
        <v/>
      </c>
      <c r="K250" s="13">
        <f>IF(J250="","",IF(J250&lt;='组合输入'!$K3,"AAA",IF(J250&lt;='组合输入'!$L3,"AA",IF(J250&lt;='组合输入'!$M3,"A",IF(J250&lt;='组合输入'!$N3,"BBB",IF(J250&lt;='组合输入'!$O3,"BB",IF(J250&lt;='组合输入'!$P3,"B",IF(J250&lt;='组合输入'!$Q3,"CCC","D")))))))</f>
        <v/>
      </c>
      <c r="L250" s="12">
        <f>IF(K250="","",INDEX('状态价值'!$D3:$K3,MATCH(K250,'状态价值'!$D$1:$K$1,0)))</f>
        <v/>
      </c>
      <c r="M250" s="15">
        <f>NORM.S.INV(RAND())</f>
        <v/>
      </c>
      <c r="N250" s="15">
        <f>IF('组合输入'!$C4="","",'组合输入'!$H4*$B250+SQRT(1-'组合输入'!$H4^2)*M250)</f>
        <v/>
      </c>
      <c r="O250" s="7">
        <f>IF(N250="","",NORM.S.DIST(N250,TRUE))</f>
        <v/>
      </c>
      <c r="P250" s="13">
        <f>IF(O250="","",IF(O250&lt;='组合输入'!$K4,"AAA",IF(O250&lt;='组合输入'!$L4,"AA",IF(O250&lt;='组合输入'!$M4,"A",IF(O250&lt;='组合输入'!$N4,"BBB",IF(O250&lt;='组合输入'!$O4,"BB",IF(O250&lt;='组合输入'!$P4,"B",IF(O250&lt;='组合输入'!$Q4,"CCC","D")))))))</f>
        <v/>
      </c>
      <c r="Q250" s="12">
        <f>IF(P250="","",INDEX('状态价值'!$D4:$K4,MATCH(P250,'状态价值'!$D$1:$K$1,0)))</f>
        <v/>
      </c>
      <c r="R250" s="15">
        <f>NORM.S.INV(RAND())</f>
        <v/>
      </c>
      <c r="S250" s="15">
        <f>IF('组合输入'!$C5="","",'组合输入'!$H5*$B250+SQRT(1-'组合输入'!$H5^2)*R250)</f>
        <v/>
      </c>
      <c r="T250" s="7">
        <f>IF(S250="","",NORM.S.DIST(S250,TRUE))</f>
        <v/>
      </c>
      <c r="U250" s="13">
        <f>IF(T250="","",IF(T250&lt;='组合输入'!$K5,"AAA",IF(T250&lt;='组合输入'!$L5,"AA",IF(T250&lt;='组合输入'!$M5,"A",IF(T250&lt;='组合输入'!$N5,"BBB",IF(T250&lt;='组合输入'!$O5,"BB",IF(T250&lt;='组合输入'!$P5,"B",IF(T250&lt;='组合输入'!$Q5,"CCC","D")))))))</f>
        <v/>
      </c>
      <c r="V250" s="12">
        <f>IF(U250="","",INDEX('状态价值'!$D5:$K5,MATCH(U250,'状态价值'!$D$1:$K$1,0)))</f>
        <v/>
      </c>
      <c r="W250" s="15">
        <f>NORM.S.INV(RAND())</f>
        <v/>
      </c>
      <c r="X250" s="15">
        <f>IF('组合输入'!$C6="","",'组合输入'!$H6*$B250+SQRT(1-'组合输入'!$H6^2)*W250)</f>
        <v/>
      </c>
      <c r="Y250" s="7">
        <f>IF(X250="","",NORM.S.DIST(X250,TRUE))</f>
        <v/>
      </c>
      <c r="Z250" s="13">
        <f>IF(Y250="","",IF(Y250&lt;='组合输入'!$K6,"AAA",IF(Y250&lt;='组合输入'!$L6,"AA",IF(Y250&lt;='组合输入'!$M6,"A",IF(Y250&lt;='组合输入'!$N6,"BBB",IF(Y250&lt;='组合输入'!$O6,"BB",IF(Y250&lt;='组合输入'!$P6,"B",IF(Y250&lt;='组合输入'!$Q6,"CCC","D")))))))</f>
        <v/>
      </c>
      <c r="AA250" s="12">
        <f>IF(Z250="","",INDEX('状态价值'!$D6:$K6,MATCH(Z250,'状态价值'!$D$1:$K$1,0)))</f>
        <v/>
      </c>
      <c r="AB250" s="15">
        <f>NORM.S.INV(RAND())</f>
        <v/>
      </c>
      <c r="AC250" s="15">
        <f>IF('组合输入'!$C7="","",'组合输入'!$H7*$B250+SQRT(1-'组合输入'!$H7^2)*AB250)</f>
        <v/>
      </c>
      <c r="AD250" s="7">
        <f>IF(AC250="","",NORM.S.DIST(AC250,TRUE))</f>
        <v/>
      </c>
      <c r="AE250" s="13">
        <f>IF(AD250="","",IF(AD250&lt;='组合输入'!$K7,"AAA",IF(AD250&lt;='组合输入'!$L7,"AA",IF(AD250&lt;='组合输入'!$M7,"A",IF(AD250&lt;='组合输入'!$N7,"BBB",IF(AD250&lt;='组合输入'!$O7,"BB",IF(AD250&lt;='组合输入'!$P7,"B",IF(AD250&lt;='组合输入'!$Q7,"CCC","D")))))))</f>
        <v/>
      </c>
      <c r="AF250" s="12">
        <f>IF(AE250="","",INDEX('状态价值'!$D7:$K7,MATCH(AE250,'状态价值'!$D$1:$K$1,0)))</f>
        <v/>
      </c>
      <c r="AG250" s="15">
        <f>NORM.S.INV(RAND())</f>
        <v/>
      </c>
      <c r="AH250" s="15">
        <f>IF('组合输入'!$C8="","",'组合输入'!$H8*$B250+SQRT(1-'组合输入'!$H8^2)*AG250)</f>
        <v/>
      </c>
      <c r="AI250" s="7">
        <f>IF(AH250="","",NORM.S.DIST(AH250,TRUE))</f>
        <v/>
      </c>
      <c r="AJ250" s="13">
        <f>IF(AI250="","",IF(AI250&lt;='组合输入'!$K8,"AAA",IF(AI250&lt;='组合输入'!$L8,"AA",IF(AI250&lt;='组合输入'!$M8,"A",IF(AI250&lt;='组合输入'!$N8,"BBB",IF(AI250&lt;='组合输入'!$O8,"BB",IF(AI250&lt;='组合输入'!$P8,"B",IF(AI250&lt;='组合输入'!$Q8,"CCC","D")))))))</f>
        <v/>
      </c>
      <c r="AK250" s="12">
        <f>IF(AJ250="","",INDEX('状态价值'!$D8:$K8,MATCH(AJ250,'状态价值'!$D$1:$K$1,0)))</f>
        <v/>
      </c>
      <c r="AL250" s="15">
        <f>NORM.S.INV(RAND())</f>
        <v/>
      </c>
      <c r="AM250" s="15">
        <f>IF('组合输入'!$C9="","",'组合输入'!$H9*$B250+SQRT(1-'组合输入'!$H9^2)*AL250)</f>
        <v/>
      </c>
      <c r="AN250" s="7">
        <f>IF(AM250="","",NORM.S.DIST(AM250,TRUE))</f>
        <v/>
      </c>
      <c r="AO250" s="13">
        <f>IF(AN250="","",IF(AN250&lt;='组合输入'!$K9,"AAA",IF(AN250&lt;='组合输入'!$L9,"AA",IF(AN250&lt;='组合输入'!$M9,"A",IF(AN250&lt;='组合输入'!$N9,"BBB",IF(AN250&lt;='组合输入'!$O9,"BB",IF(AN250&lt;='组合输入'!$P9,"B",IF(AN250&lt;='组合输入'!$Q9,"CCC","D")))))))</f>
        <v/>
      </c>
      <c r="AP250" s="12">
        <f>IF(AO250="","",INDEX('状态价值'!$D9:$K9,MATCH(AO250,'状态价值'!$D$1:$K$1,0)))</f>
        <v/>
      </c>
      <c r="AQ250" s="15">
        <f>NORM.S.INV(RAND())</f>
        <v/>
      </c>
      <c r="AR250" s="15">
        <f>IF('组合输入'!$C10="","",'组合输入'!$H10*$B250+SQRT(1-'组合输入'!$H10^2)*AQ250)</f>
        <v/>
      </c>
      <c r="AS250" s="7">
        <f>IF(AR250="","",NORM.S.DIST(AR250,TRUE))</f>
        <v/>
      </c>
      <c r="AT250" s="13">
        <f>IF(AS250="","",IF(AS250&lt;='组合输入'!$K10,"AAA",IF(AS250&lt;='组合输入'!$L10,"AA",IF(AS250&lt;='组合输入'!$M10,"A",IF(AS250&lt;='组合输入'!$N10,"BBB",IF(AS250&lt;='组合输入'!$O10,"BB",IF(AS250&lt;='组合输入'!$P10,"B",IF(AS250&lt;='组合输入'!$Q10,"CCC","D")))))))</f>
        <v/>
      </c>
      <c r="AU250" s="12">
        <f>IF(AT250="","",INDEX('状态价值'!$D10:$K10,MATCH(AT250,'状态价值'!$D$1:$K$1,0)))</f>
        <v/>
      </c>
      <c r="AV250" s="15">
        <f>NORM.S.INV(RAND())</f>
        <v/>
      </c>
      <c r="AW250" s="15">
        <f>IF('组合输入'!$C11="","",'组合输入'!$H11*$B250+SQRT(1-'组合输入'!$H11^2)*AV250)</f>
        <v/>
      </c>
      <c r="AX250" s="7">
        <f>IF(AW250="","",NORM.S.DIST(AW250,TRUE))</f>
        <v/>
      </c>
      <c r="AY250" s="13">
        <f>IF(AX250="","",IF(AX250&lt;='组合输入'!$K11,"AAA",IF(AX250&lt;='组合输入'!$L11,"AA",IF(AX250&lt;='组合输入'!$M11,"A",IF(AX250&lt;='组合输入'!$N11,"BBB",IF(AX250&lt;='组合输入'!$O11,"BB",IF(AX250&lt;='组合输入'!$P11,"B",IF(AX250&lt;='组合输入'!$Q11,"CCC","D")))))))</f>
        <v/>
      </c>
      <c r="AZ250" s="12">
        <f>IF(AY250="","",INDEX('状态价值'!$D11:$K11,MATCH(AY250,'状态价值'!$D$1:$K$1,0)))</f>
        <v/>
      </c>
      <c r="BA250" s="12">
        <f>G250+L250+Q250+V250+AA250+AF250+AK250+AP250+AU250+AZ250</f>
        <v/>
      </c>
      <c r="BB250" s="12">
        <f>SUM('组合输入'!$J$2:$J$11)-BA250</f>
        <v/>
      </c>
    </row>
    <row r="251">
      <c r="A251" s="11" t="n">
        <v>250</v>
      </c>
      <c r="B251" s="14">
        <f>NORM.S.INV(RAND())</f>
        <v/>
      </c>
      <c r="C251" s="14">
        <f>NORM.S.INV(RAND())</f>
        <v/>
      </c>
      <c r="D251" s="15">
        <f>IF('组合输入'!$C2="","",'组合输入'!$H2*$B251+SQRT(1-'组合输入'!$H2^2)*C251)</f>
        <v/>
      </c>
      <c r="E251" s="7">
        <f>IF(D251="","",NORM.S.DIST(D251,TRUE))</f>
        <v/>
      </c>
      <c r="F251" s="13">
        <f>IF(E251="","",IF(E251&lt;='组合输入'!$K2,"AAA",IF(E251&lt;='组合输入'!$L2,"AA",IF(E251&lt;='组合输入'!$M2,"A",IF(E251&lt;='组合输入'!$N2,"BBB",IF(E251&lt;='组合输入'!$O2,"BB",IF(E251&lt;='组合输入'!$P2,"B",IF(E251&lt;='组合输入'!$Q2,"CCC","D")))))))</f>
        <v/>
      </c>
      <c r="G251" s="12">
        <f>IF(F251="","",INDEX('状态价值'!$D2:$K2,MATCH(F251,'状态价值'!$D$1:$K$1,0)))</f>
        <v/>
      </c>
      <c r="H251" s="15">
        <f>NORM.S.INV(RAND())</f>
        <v/>
      </c>
      <c r="I251" s="15">
        <f>IF('组合输入'!$C3="","",'组合输入'!$H3*$B251+SQRT(1-'组合输入'!$H3^2)*H251)</f>
        <v/>
      </c>
      <c r="J251" s="7">
        <f>IF(I251="","",NORM.S.DIST(I251,TRUE))</f>
        <v/>
      </c>
      <c r="K251" s="13">
        <f>IF(J251="","",IF(J251&lt;='组合输入'!$K3,"AAA",IF(J251&lt;='组合输入'!$L3,"AA",IF(J251&lt;='组合输入'!$M3,"A",IF(J251&lt;='组合输入'!$N3,"BBB",IF(J251&lt;='组合输入'!$O3,"BB",IF(J251&lt;='组合输入'!$P3,"B",IF(J251&lt;='组合输入'!$Q3,"CCC","D")))))))</f>
        <v/>
      </c>
      <c r="L251" s="12">
        <f>IF(K251="","",INDEX('状态价值'!$D3:$K3,MATCH(K251,'状态价值'!$D$1:$K$1,0)))</f>
        <v/>
      </c>
      <c r="M251" s="15">
        <f>NORM.S.INV(RAND())</f>
        <v/>
      </c>
      <c r="N251" s="15">
        <f>IF('组合输入'!$C4="","",'组合输入'!$H4*$B251+SQRT(1-'组合输入'!$H4^2)*M251)</f>
        <v/>
      </c>
      <c r="O251" s="7">
        <f>IF(N251="","",NORM.S.DIST(N251,TRUE))</f>
        <v/>
      </c>
      <c r="P251" s="13">
        <f>IF(O251="","",IF(O251&lt;='组合输入'!$K4,"AAA",IF(O251&lt;='组合输入'!$L4,"AA",IF(O251&lt;='组合输入'!$M4,"A",IF(O251&lt;='组合输入'!$N4,"BBB",IF(O251&lt;='组合输入'!$O4,"BB",IF(O251&lt;='组合输入'!$P4,"B",IF(O251&lt;='组合输入'!$Q4,"CCC","D")))))))</f>
        <v/>
      </c>
      <c r="Q251" s="12">
        <f>IF(P251="","",INDEX('状态价值'!$D4:$K4,MATCH(P251,'状态价值'!$D$1:$K$1,0)))</f>
        <v/>
      </c>
      <c r="R251" s="15">
        <f>NORM.S.INV(RAND())</f>
        <v/>
      </c>
      <c r="S251" s="15">
        <f>IF('组合输入'!$C5="","",'组合输入'!$H5*$B251+SQRT(1-'组合输入'!$H5^2)*R251)</f>
        <v/>
      </c>
      <c r="T251" s="7">
        <f>IF(S251="","",NORM.S.DIST(S251,TRUE))</f>
        <v/>
      </c>
      <c r="U251" s="13">
        <f>IF(T251="","",IF(T251&lt;='组合输入'!$K5,"AAA",IF(T251&lt;='组合输入'!$L5,"AA",IF(T251&lt;='组合输入'!$M5,"A",IF(T251&lt;='组合输入'!$N5,"BBB",IF(T251&lt;='组合输入'!$O5,"BB",IF(T251&lt;='组合输入'!$P5,"B",IF(T251&lt;='组合输入'!$Q5,"CCC","D")))))))</f>
        <v/>
      </c>
      <c r="V251" s="12">
        <f>IF(U251="","",INDEX('状态价值'!$D5:$K5,MATCH(U251,'状态价值'!$D$1:$K$1,0)))</f>
        <v/>
      </c>
      <c r="W251" s="15">
        <f>NORM.S.INV(RAND())</f>
        <v/>
      </c>
      <c r="X251" s="15">
        <f>IF('组合输入'!$C6="","",'组合输入'!$H6*$B251+SQRT(1-'组合输入'!$H6^2)*W251)</f>
        <v/>
      </c>
      <c r="Y251" s="7">
        <f>IF(X251="","",NORM.S.DIST(X251,TRUE))</f>
        <v/>
      </c>
      <c r="Z251" s="13">
        <f>IF(Y251="","",IF(Y251&lt;='组合输入'!$K6,"AAA",IF(Y251&lt;='组合输入'!$L6,"AA",IF(Y251&lt;='组合输入'!$M6,"A",IF(Y251&lt;='组合输入'!$N6,"BBB",IF(Y251&lt;='组合输入'!$O6,"BB",IF(Y251&lt;='组合输入'!$P6,"B",IF(Y251&lt;='组合输入'!$Q6,"CCC","D")))))))</f>
        <v/>
      </c>
      <c r="AA251" s="12">
        <f>IF(Z251="","",INDEX('状态价值'!$D6:$K6,MATCH(Z251,'状态价值'!$D$1:$K$1,0)))</f>
        <v/>
      </c>
      <c r="AB251" s="15">
        <f>NORM.S.INV(RAND())</f>
        <v/>
      </c>
      <c r="AC251" s="15">
        <f>IF('组合输入'!$C7="","",'组合输入'!$H7*$B251+SQRT(1-'组合输入'!$H7^2)*AB251)</f>
        <v/>
      </c>
      <c r="AD251" s="7">
        <f>IF(AC251="","",NORM.S.DIST(AC251,TRUE))</f>
        <v/>
      </c>
      <c r="AE251" s="13">
        <f>IF(AD251="","",IF(AD251&lt;='组合输入'!$K7,"AAA",IF(AD251&lt;='组合输入'!$L7,"AA",IF(AD251&lt;='组合输入'!$M7,"A",IF(AD251&lt;='组合输入'!$N7,"BBB",IF(AD251&lt;='组合输入'!$O7,"BB",IF(AD251&lt;='组合输入'!$P7,"B",IF(AD251&lt;='组合输入'!$Q7,"CCC","D")))))))</f>
        <v/>
      </c>
      <c r="AF251" s="12">
        <f>IF(AE251="","",INDEX('状态价值'!$D7:$K7,MATCH(AE251,'状态价值'!$D$1:$K$1,0)))</f>
        <v/>
      </c>
      <c r="AG251" s="15">
        <f>NORM.S.INV(RAND())</f>
        <v/>
      </c>
      <c r="AH251" s="15">
        <f>IF('组合输入'!$C8="","",'组合输入'!$H8*$B251+SQRT(1-'组合输入'!$H8^2)*AG251)</f>
        <v/>
      </c>
      <c r="AI251" s="7">
        <f>IF(AH251="","",NORM.S.DIST(AH251,TRUE))</f>
        <v/>
      </c>
      <c r="AJ251" s="13">
        <f>IF(AI251="","",IF(AI251&lt;='组合输入'!$K8,"AAA",IF(AI251&lt;='组合输入'!$L8,"AA",IF(AI251&lt;='组合输入'!$M8,"A",IF(AI251&lt;='组合输入'!$N8,"BBB",IF(AI251&lt;='组合输入'!$O8,"BB",IF(AI251&lt;='组合输入'!$P8,"B",IF(AI251&lt;='组合输入'!$Q8,"CCC","D")))))))</f>
        <v/>
      </c>
      <c r="AK251" s="12">
        <f>IF(AJ251="","",INDEX('状态价值'!$D8:$K8,MATCH(AJ251,'状态价值'!$D$1:$K$1,0)))</f>
        <v/>
      </c>
      <c r="AL251" s="15">
        <f>NORM.S.INV(RAND())</f>
        <v/>
      </c>
      <c r="AM251" s="15">
        <f>IF('组合输入'!$C9="","",'组合输入'!$H9*$B251+SQRT(1-'组合输入'!$H9^2)*AL251)</f>
        <v/>
      </c>
      <c r="AN251" s="7">
        <f>IF(AM251="","",NORM.S.DIST(AM251,TRUE))</f>
        <v/>
      </c>
      <c r="AO251" s="13">
        <f>IF(AN251="","",IF(AN251&lt;='组合输入'!$K9,"AAA",IF(AN251&lt;='组合输入'!$L9,"AA",IF(AN251&lt;='组合输入'!$M9,"A",IF(AN251&lt;='组合输入'!$N9,"BBB",IF(AN251&lt;='组合输入'!$O9,"BB",IF(AN251&lt;='组合输入'!$P9,"B",IF(AN251&lt;='组合输入'!$Q9,"CCC","D")))))))</f>
        <v/>
      </c>
      <c r="AP251" s="12">
        <f>IF(AO251="","",INDEX('状态价值'!$D9:$K9,MATCH(AO251,'状态价值'!$D$1:$K$1,0)))</f>
        <v/>
      </c>
      <c r="AQ251" s="15">
        <f>NORM.S.INV(RAND())</f>
        <v/>
      </c>
      <c r="AR251" s="15">
        <f>IF('组合输入'!$C10="","",'组合输入'!$H10*$B251+SQRT(1-'组合输入'!$H10^2)*AQ251)</f>
        <v/>
      </c>
      <c r="AS251" s="7">
        <f>IF(AR251="","",NORM.S.DIST(AR251,TRUE))</f>
        <v/>
      </c>
      <c r="AT251" s="13">
        <f>IF(AS251="","",IF(AS251&lt;='组合输入'!$K10,"AAA",IF(AS251&lt;='组合输入'!$L10,"AA",IF(AS251&lt;='组合输入'!$M10,"A",IF(AS251&lt;='组合输入'!$N10,"BBB",IF(AS251&lt;='组合输入'!$O10,"BB",IF(AS251&lt;='组合输入'!$P10,"B",IF(AS251&lt;='组合输入'!$Q10,"CCC","D")))))))</f>
        <v/>
      </c>
      <c r="AU251" s="12">
        <f>IF(AT251="","",INDEX('状态价值'!$D10:$K10,MATCH(AT251,'状态价值'!$D$1:$K$1,0)))</f>
        <v/>
      </c>
      <c r="AV251" s="15">
        <f>NORM.S.INV(RAND())</f>
        <v/>
      </c>
      <c r="AW251" s="15">
        <f>IF('组合输入'!$C11="","",'组合输入'!$H11*$B251+SQRT(1-'组合输入'!$H11^2)*AV251)</f>
        <v/>
      </c>
      <c r="AX251" s="7">
        <f>IF(AW251="","",NORM.S.DIST(AW251,TRUE))</f>
        <v/>
      </c>
      <c r="AY251" s="13">
        <f>IF(AX251="","",IF(AX251&lt;='组合输入'!$K11,"AAA",IF(AX251&lt;='组合输入'!$L11,"AA",IF(AX251&lt;='组合输入'!$M11,"A",IF(AX251&lt;='组合输入'!$N11,"BBB",IF(AX251&lt;='组合输入'!$O11,"BB",IF(AX251&lt;='组合输入'!$P11,"B",IF(AX251&lt;='组合输入'!$Q11,"CCC","D")))))))</f>
        <v/>
      </c>
      <c r="AZ251" s="12">
        <f>IF(AY251="","",INDEX('状态价值'!$D11:$K11,MATCH(AY251,'状态价值'!$D$1:$K$1,0)))</f>
        <v/>
      </c>
      <c r="BA251" s="12">
        <f>G251+L251+Q251+V251+AA251+AF251+AK251+AP251+AU251+AZ251</f>
        <v/>
      </c>
      <c r="BB251" s="12">
        <f>SUM('组合输入'!$J$2:$J$11)-BA251</f>
        <v/>
      </c>
    </row>
    <row r="252">
      <c r="A252" s="11" t="n">
        <v>251</v>
      </c>
      <c r="B252" s="14">
        <f>NORM.S.INV(RAND())</f>
        <v/>
      </c>
      <c r="C252" s="14">
        <f>NORM.S.INV(RAND())</f>
        <v/>
      </c>
      <c r="D252" s="15">
        <f>IF('组合输入'!$C2="","",'组合输入'!$H2*$B252+SQRT(1-'组合输入'!$H2^2)*C252)</f>
        <v/>
      </c>
      <c r="E252" s="7">
        <f>IF(D252="","",NORM.S.DIST(D252,TRUE))</f>
        <v/>
      </c>
      <c r="F252" s="13">
        <f>IF(E252="","",IF(E252&lt;='组合输入'!$K2,"AAA",IF(E252&lt;='组合输入'!$L2,"AA",IF(E252&lt;='组合输入'!$M2,"A",IF(E252&lt;='组合输入'!$N2,"BBB",IF(E252&lt;='组合输入'!$O2,"BB",IF(E252&lt;='组合输入'!$P2,"B",IF(E252&lt;='组合输入'!$Q2,"CCC","D")))))))</f>
        <v/>
      </c>
      <c r="G252" s="12">
        <f>IF(F252="","",INDEX('状态价值'!$D2:$K2,MATCH(F252,'状态价值'!$D$1:$K$1,0)))</f>
        <v/>
      </c>
      <c r="H252" s="15">
        <f>NORM.S.INV(RAND())</f>
        <v/>
      </c>
      <c r="I252" s="15">
        <f>IF('组合输入'!$C3="","",'组合输入'!$H3*$B252+SQRT(1-'组合输入'!$H3^2)*H252)</f>
        <v/>
      </c>
      <c r="J252" s="7">
        <f>IF(I252="","",NORM.S.DIST(I252,TRUE))</f>
        <v/>
      </c>
      <c r="K252" s="13">
        <f>IF(J252="","",IF(J252&lt;='组合输入'!$K3,"AAA",IF(J252&lt;='组合输入'!$L3,"AA",IF(J252&lt;='组合输入'!$M3,"A",IF(J252&lt;='组合输入'!$N3,"BBB",IF(J252&lt;='组合输入'!$O3,"BB",IF(J252&lt;='组合输入'!$P3,"B",IF(J252&lt;='组合输入'!$Q3,"CCC","D")))))))</f>
        <v/>
      </c>
      <c r="L252" s="12">
        <f>IF(K252="","",INDEX('状态价值'!$D3:$K3,MATCH(K252,'状态价值'!$D$1:$K$1,0)))</f>
        <v/>
      </c>
      <c r="M252" s="15">
        <f>NORM.S.INV(RAND())</f>
        <v/>
      </c>
      <c r="N252" s="15">
        <f>IF('组合输入'!$C4="","",'组合输入'!$H4*$B252+SQRT(1-'组合输入'!$H4^2)*M252)</f>
        <v/>
      </c>
      <c r="O252" s="7">
        <f>IF(N252="","",NORM.S.DIST(N252,TRUE))</f>
        <v/>
      </c>
      <c r="P252" s="13">
        <f>IF(O252="","",IF(O252&lt;='组合输入'!$K4,"AAA",IF(O252&lt;='组合输入'!$L4,"AA",IF(O252&lt;='组合输入'!$M4,"A",IF(O252&lt;='组合输入'!$N4,"BBB",IF(O252&lt;='组合输入'!$O4,"BB",IF(O252&lt;='组合输入'!$P4,"B",IF(O252&lt;='组合输入'!$Q4,"CCC","D")))))))</f>
        <v/>
      </c>
      <c r="Q252" s="12">
        <f>IF(P252="","",INDEX('状态价值'!$D4:$K4,MATCH(P252,'状态价值'!$D$1:$K$1,0)))</f>
        <v/>
      </c>
      <c r="R252" s="15">
        <f>NORM.S.INV(RAND())</f>
        <v/>
      </c>
      <c r="S252" s="15">
        <f>IF('组合输入'!$C5="","",'组合输入'!$H5*$B252+SQRT(1-'组合输入'!$H5^2)*R252)</f>
        <v/>
      </c>
      <c r="T252" s="7">
        <f>IF(S252="","",NORM.S.DIST(S252,TRUE))</f>
        <v/>
      </c>
      <c r="U252" s="13">
        <f>IF(T252="","",IF(T252&lt;='组合输入'!$K5,"AAA",IF(T252&lt;='组合输入'!$L5,"AA",IF(T252&lt;='组合输入'!$M5,"A",IF(T252&lt;='组合输入'!$N5,"BBB",IF(T252&lt;='组合输入'!$O5,"BB",IF(T252&lt;='组合输入'!$P5,"B",IF(T252&lt;='组合输入'!$Q5,"CCC","D")))))))</f>
        <v/>
      </c>
      <c r="V252" s="12">
        <f>IF(U252="","",INDEX('状态价值'!$D5:$K5,MATCH(U252,'状态价值'!$D$1:$K$1,0)))</f>
        <v/>
      </c>
      <c r="W252" s="15">
        <f>NORM.S.INV(RAND())</f>
        <v/>
      </c>
      <c r="X252" s="15">
        <f>IF('组合输入'!$C6="","",'组合输入'!$H6*$B252+SQRT(1-'组合输入'!$H6^2)*W252)</f>
        <v/>
      </c>
      <c r="Y252" s="7">
        <f>IF(X252="","",NORM.S.DIST(X252,TRUE))</f>
        <v/>
      </c>
      <c r="Z252" s="13">
        <f>IF(Y252="","",IF(Y252&lt;='组合输入'!$K6,"AAA",IF(Y252&lt;='组合输入'!$L6,"AA",IF(Y252&lt;='组合输入'!$M6,"A",IF(Y252&lt;='组合输入'!$N6,"BBB",IF(Y252&lt;='组合输入'!$O6,"BB",IF(Y252&lt;='组合输入'!$P6,"B",IF(Y252&lt;='组合输入'!$Q6,"CCC","D")))))))</f>
        <v/>
      </c>
      <c r="AA252" s="12">
        <f>IF(Z252="","",INDEX('状态价值'!$D6:$K6,MATCH(Z252,'状态价值'!$D$1:$K$1,0)))</f>
        <v/>
      </c>
      <c r="AB252" s="15">
        <f>NORM.S.INV(RAND())</f>
        <v/>
      </c>
      <c r="AC252" s="15">
        <f>IF('组合输入'!$C7="","",'组合输入'!$H7*$B252+SQRT(1-'组合输入'!$H7^2)*AB252)</f>
        <v/>
      </c>
      <c r="AD252" s="7">
        <f>IF(AC252="","",NORM.S.DIST(AC252,TRUE))</f>
        <v/>
      </c>
      <c r="AE252" s="13">
        <f>IF(AD252="","",IF(AD252&lt;='组合输入'!$K7,"AAA",IF(AD252&lt;='组合输入'!$L7,"AA",IF(AD252&lt;='组合输入'!$M7,"A",IF(AD252&lt;='组合输入'!$N7,"BBB",IF(AD252&lt;='组合输入'!$O7,"BB",IF(AD252&lt;='组合输入'!$P7,"B",IF(AD252&lt;='组合输入'!$Q7,"CCC","D")))))))</f>
        <v/>
      </c>
      <c r="AF252" s="12">
        <f>IF(AE252="","",INDEX('状态价值'!$D7:$K7,MATCH(AE252,'状态价值'!$D$1:$K$1,0)))</f>
        <v/>
      </c>
      <c r="AG252" s="15">
        <f>NORM.S.INV(RAND())</f>
        <v/>
      </c>
      <c r="AH252" s="15">
        <f>IF('组合输入'!$C8="","",'组合输入'!$H8*$B252+SQRT(1-'组合输入'!$H8^2)*AG252)</f>
        <v/>
      </c>
      <c r="AI252" s="7">
        <f>IF(AH252="","",NORM.S.DIST(AH252,TRUE))</f>
        <v/>
      </c>
      <c r="AJ252" s="13">
        <f>IF(AI252="","",IF(AI252&lt;='组合输入'!$K8,"AAA",IF(AI252&lt;='组合输入'!$L8,"AA",IF(AI252&lt;='组合输入'!$M8,"A",IF(AI252&lt;='组合输入'!$N8,"BBB",IF(AI252&lt;='组合输入'!$O8,"BB",IF(AI252&lt;='组合输入'!$P8,"B",IF(AI252&lt;='组合输入'!$Q8,"CCC","D")))))))</f>
        <v/>
      </c>
      <c r="AK252" s="12">
        <f>IF(AJ252="","",INDEX('状态价值'!$D8:$K8,MATCH(AJ252,'状态价值'!$D$1:$K$1,0)))</f>
        <v/>
      </c>
      <c r="AL252" s="15">
        <f>NORM.S.INV(RAND())</f>
        <v/>
      </c>
      <c r="AM252" s="15">
        <f>IF('组合输入'!$C9="","",'组合输入'!$H9*$B252+SQRT(1-'组合输入'!$H9^2)*AL252)</f>
        <v/>
      </c>
      <c r="AN252" s="7">
        <f>IF(AM252="","",NORM.S.DIST(AM252,TRUE))</f>
        <v/>
      </c>
      <c r="AO252" s="13">
        <f>IF(AN252="","",IF(AN252&lt;='组合输入'!$K9,"AAA",IF(AN252&lt;='组合输入'!$L9,"AA",IF(AN252&lt;='组合输入'!$M9,"A",IF(AN252&lt;='组合输入'!$N9,"BBB",IF(AN252&lt;='组合输入'!$O9,"BB",IF(AN252&lt;='组合输入'!$P9,"B",IF(AN252&lt;='组合输入'!$Q9,"CCC","D")))))))</f>
        <v/>
      </c>
      <c r="AP252" s="12">
        <f>IF(AO252="","",INDEX('状态价值'!$D9:$K9,MATCH(AO252,'状态价值'!$D$1:$K$1,0)))</f>
        <v/>
      </c>
      <c r="AQ252" s="15">
        <f>NORM.S.INV(RAND())</f>
        <v/>
      </c>
      <c r="AR252" s="15">
        <f>IF('组合输入'!$C10="","",'组合输入'!$H10*$B252+SQRT(1-'组合输入'!$H10^2)*AQ252)</f>
        <v/>
      </c>
      <c r="AS252" s="7">
        <f>IF(AR252="","",NORM.S.DIST(AR252,TRUE))</f>
        <v/>
      </c>
      <c r="AT252" s="13">
        <f>IF(AS252="","",IF(AS252&lt;='组合输入'!$K10,"AAA",IF(AS252&lt;='组合输入'!$L10,"AA",IF(AS252&lt;='组合输入'!$M10,"A",IF(AS252&lt;='组合输入'!$N10,"BBB",IF(AS252&lt;='组合输入'!$O10,"BB",IF(AS252&lt;='组合输入'!$P10,"B",IF(AS252&lt;='组合输入'!$Q10,"CCC","D")))))))</f>
        <v/>
      </c>
      <c r="AU252" s="12">
        <f>IF(AT252="","",INDEX('状态价值'!$D10:$K10,MATCH(AT252,'状态价值'!$D$1:$K$1,0)))</f>
        <v/>
      </c>
      <c r="AV252" s="15">
        <f>NORM.S.INV(RAND())</f>
        <v/>
      </c>
      <c r="AW252" s="15">
        <f>IF('组合输入'!$C11="","",'组合输入'!$H11*$B252+SQRT(1-'组合输入'!$H11^2)*AV252)</f>
        <v/>
      </c>
      <c r="AX252" s="7">
        <f>IF(AW252="","",NORM.S.DIST(AW252,TRUE))</f>
        <v/>
      </c>
      <c r="AY252" s="13">
        <f>IF(AX252="","",IF(AX252&lt;='组合输入'!$K11,"AAA",IF(AX252&lt;='组合输入'!$L11,"AA",IF(AX252&lt;='组合输入'!$M11,"A",IF(AX252&lt;='组合输入'!$N11,"BBB",IF(AX252&lt;='组合输入'!$O11,"BB",IF(AX252&lt;='组合输入'!$P11,"B",IF(AX252&lt;='组合输入'!$Q11,"CCC","D")))))))</f>
        <v/>
      </c>
      <c r="AZ252" s="12">
        <f>IF(AY252="","",INDEX('状态价值'!$D11:$K11,MATCH(AY252,'状态价值'!$D$1:$K$1,0)))</f>
        <v/>
      </c>
      <c r="BA252" s="12">
        <f>G252+L252+Q252+V252+AA252+AF252+AK252+AP252+AU252+AZ252</f>
        <v/>
      </c>
      <c r="BB252" s="12">
        <f>SUM('组合输入'!$J$2:$J$11)-BA252</f>
        <v/>
      </c>
    </row>
    <row r="253">
      <c r="A253" s="11" t="n">
        <v>252</v>
      </c>
      <c r="B253" s="14">
        <f>NORM.S.INV(RAND())</f>
        <v/>
      </c>
      <c r="C253" s="14">
        <f>NORM.S.INV(RAND())</f>
        <v/>
      </c>
      <c r="D253" s="15">
        <f>IF('组合输入'!$C2="","",'组合输入'!$H2*$B253+SQRT(1-'组合输入'!$H2^2)*C253)</f>
        <v/>
      </c>
      <c r="E253" s="7">
        <f>IF(D253="","",NORM.S.DIST(D253,TRUE))</f>
        <v/>
      </c>
      <c r="F253" s="13">
        <f>IF(E253="","",IF(E253&lt;='组合输入'!$K2,"AAA",IF(E253&lt;='组合输入'!$L2,"AA",IF(E253&lt;='组合输入'!$M2,"A",IF(E253&lt;='组合输入'!$N2,"BBB",IF(E253&lt;='组合输入'!$O2,"BB",IF(E253&lt;='组合输入'!$P2,"B",IF(E253&lt;='组合输入'!$Q2,"CCC","D")))))))</f>
        <v/>
      </c>
      <c r="G253" s="12">
        <f>IF(F253="","",INDEX('状态价值'!$D2:$K2,MATCH(F253,'状态价值'!$D$1:$K$1,0)))</f>
        <v/>
      </c>
      <c r="H253" s="15">
        <f>NORM.S.INV(RAND())</f>
        <v/>
      </c>
      <c r="I253" s="15">
        <f>IF('组合输入'!$C3="","",'组合输入'!$H3*$B253+SQRT(1-'组合输入'!$H3^2)*H253)</f>
        <v/>
      </c>
      <c r="J253" s="7">
        <f>IF(I253="","",NORM.S.DIST(I253,TRUE))</f>
        <v/>
      </c>
      <c r="K253" s="13">
        <f>IF(J253="","",IF(J253&lt;='组合输入'!$K3,"AAA",IF(J253&lt;='组合输入'!$L3,"AA",IF(J253&lt;='组合输入'!$M3,"A",IF(J253&lt;='组合输入'!$N3,"BBB",IF(J253&lt;='组合输入'!$O3,"BB",IF(J253&lt;='组合输入'!$P3,"B",IF(J253&lt;='组合输入'!$Q3,"CCC","D")))))))</f>
        <v/>
      </c>
      <c r="L253" s="12">
        <f>IF(K253="","",INDEX('状态价值'!$D3:$K3,MATCH(K253,'状态价值'!$D$1:$K$1,0)))</f>
        <v/>
      </c>
      <c r="M253" s="15">
        <f>NORM.S.INV(RAND())</f>
        <v/>
      </c>
      <c r="N253" s="15">
        <f>IF('组合输入'!$C4="","",'组合输入'!$H4*$B253+SQRT(1-'组合输入'!$H4^2)*M253)</f>
        <v/>
      </c>
      <c r="O253" s="7">
        <f>IF(N253="","",NORM.S.DIST(N253,TRUE))</f>
        <v/>
      </c>
      <c r="P253" s="13">
        <f>IF(O253="","",IF(O253&lt;='组合输入'!$K4,"AAA",IF(O253&lt;='组合输入'!$L4,"AA",IF(O253&lt;='组合输入'!$M4,"A",IF(O253&lt;='组合输入'!$N4,"BBB",IF(O253&lt;='组合输入'!$O4,"BB",IF(O253&lt;='组合输入'!$P4,"B",IF(O253&lt;='组合输入'!$Q4,"CCC","D")))))))</f>
        <v/>
      </c>
      <c r="Q253" s="12">
        <f>IF(P253="","",INDEX('状态价值'!$D4:$K4,MATCH(P253,'状态价值'!$D$1:$K$1,0)))</f>
        <v/>
      </c>
      <c r="R253" s="15">
        <f>NORM.S.INV(RAND())</f>
        <v/>
      </c>
      <c r="S253" s="15">
        <f>IF('组合输入'!$C5="","",'组合输入'!$H5*$B253+SQRT(1-'组合输入'!$H5^2)*R253)</f>
        <v/>
      </c>
      <c r="T253" s="7">
        <f>IF(S253="","",NORM.S.DIST(S253,TRUE))</f>
        <v/>
      </c>
      <c r="U253" s="13">
        <f>IF(T253="","",IF(T253&lt;='组合输入'!$K5,"AAA",IF(T253&lt;='组合输入'!$L5,"AA",IF(T253&lt;='组合输入'!$M5,"A",IF(T253&lt;='组合输入'!$N5,"BBB",IF(T253&lt;='组合输入'!$O5,"BB",IF(T253&lt;='组合输入'!$P5,"B",IF(T253&lt;='组合输入'!$Q5,"CCC","D")))))))</f>
        <v/>
      </c>
      <c r="V253" s="12">
        <f>IF(U253="","",INDEX('状态价值'!$D5:$K5,MATCH(U253,'状态价值'!$D$1:$K$1,0)))</f>
        <v/>
      </c>
      <c r="W253" s="15">
        <f>NORM.S.INV(RAND())</f>
        <v/>
      </c>
      <c r="X253" s="15">
        <f>IF('组合输入'!$C6="","",'组合输入'!$H6*$B253+SQRT(1-'组合输入'!$H6^2)*W253)</f>
        <v/>
      </c>
      <c r="Y253" s="7">
        <f>IF(X253="","",NORM.S.DIST(X253,TRUE))</f>
        <v/>
      </c>
      <c r="Z253" s="13">
        <f>IF(Y253="","",IF(Y253&lt;='组合输入'!$K6,"AAA",IF(Y253&lt;='组合输入'!$L6,"AA",IF(Y253&lt;='组合输入'!$M6,"A",IF(Y253&lt;='组合输入'!$N6,"BBB",IF(Y253&lt;='组合输入'!$O6,"BB",IF(Y253&lt;='组合输入'!$P6,"B",IF(Y253&lt;='组合输入'!$Q6,"CCC","D")))))))</f>
        <v/>
      </c>
      <c r="AA253" s="12">
        <f>IF(Z253="","",INDEX('状态价值'!$D6:$K6,MATCH(Z253,'状态价值'!$D$1:$K$1,0)))</f>
        <v/>
      </c>
      <c r="AB253" s="15">
        <f>NORM.S.INV(RAND())</f>
        <v/>
      </c>
      <c r="AC253" s="15">
        <f>IF('组合输入'!$C7="","",'组合输入'!$H7*$B253+SQRT(1-'组合输入'!$H7^2)*AB253)</f>
        <v/>
      </c>
      <c r="AD253" s="7">
        <f>IF(AC253="","",NORM.S.DIST(AC253,TRUE))</f>
        <v/>
      </c>
      <c r="AE253" s="13">
        <f>IF(AD253="","",IF(AD253&lt;='组合输入'!$K7,"AAA",IF(AD253&lt;='组合输入'!$L7,"AA",IF(AD253&lt;='组合输入'!$M7,"A",IF(AD253&lt;='组合输入'!$N7,"BBB",IF(AD253&lt;='组合输入'!$O7,"BB",IF(AD253&lt;='组合输入'!$P7,"B",IF(AD253&lt;='组合输入'!$Q7,"CCC","D")))))))</f>
        <v/>
      </c>
      <c r="AF253" s="12">
        <f>IF(AE253="","",INDEX('状态价值'!$D7:$K7,MATCH(AE253,'状态价值'!$D$1:$K$1,0)))</f>
        <v/>
      </c>
      <c r="AG253" s="15">
        <f>NORM.S.INV(RAND())</f>
        <v/>
      </c>
      <c r="AH253" s="15">
        <f>IF('组合输入'!$C8="","",'组合输入'!$H8*$B253+SQRT(1-'组合输入'!$H8^2)*AG253)</f>
        <v/>
      </c>
      <c r="AI253" s="7">
        <f>IF(AH253="","",NORM.S.DIST(AH253,TRUE))</f>
        <v/>
      </c>
      <c r="AJ253" s="13">
        <f>IF(AI253="","",IF(AI253&lt;='组合输入'!$K8,"AAA",IF(AI253&lt;='组合输入'!$L8,"AA",IF(AI253&lt;='组合输入'!$M8,"A",IF(AI253&lt;='组合输入'!$N8,"BBB",IF(AI253&lt;='组合输入'!$O8,"BB",IF(AI253&lt;='组合输入'!$P8,"B",IF(AI253&lt;='组合输入'!$Q8,"CCC","D")))))))</f>
        <v/>
      </c>
      <c r="AK253" s="12">
        <f>IF(AJ253="","",INDEX('状态价值'!$D8:$K8,MATCH(AJ253,'状态价值'!$D$1:$K$1,0)))</f>
        <v/>
      </c>
      <c r="AL253" s="15">
        <f>NORM.S.INV(RAND())</f>
        <v/>
      </c>
      <c r="AM253" s="15">
        <f>IF('组合输入'!$C9="","",'组合输入'!$H9*$B253+SQRT(1-'组合输入'!$H9^2)*AL253)</f>
        <v/>
      </c>
      <c r="AN253" s="7">
        <f>IF(AM253="","",NORM.S.DIST(AM253,TRUE))</f>
        <v/>
      </c>
      <c r="AO253" s="13">
        <f>IF(AN253="","",IF(AN253&lt;='组合输入'!$K9,"AAA",IF(AN253&lt;='组合输入'!$L9,"AA",IF(AN253&lt;='组合输入'!$M9,"A",IF(AN253&lt;='组合输入'!$N9,"BBB",IF(AN253&lt;='组合输入'!$O9,"BB",IF(AN253&lt;='组合输入'!$P9,"B",IF(AN253&lt;='组合输入'!$Q9,"CCC","D")))))))</f>
        <v/>
      </c>
      <c r="AP253" s="12">
        <f>IF(AO253="","",INDEX('状态价值'!$D9:$K9,MATCH(AO253,'状态价值'!$D$1:$K$1,0)))</f>
        <v/>
      </c>
      <c r="AQ253" s="15">
        <f>NORM.S.INV(RAND())</f>
        <v/>
      </c>
      <c r="AR253" s="15">
        <f>IF('组合输入'!$C10="","",'组合输入'!$H10*$B253+SQRT(1-'组合输入'!$H10^2)*AQ253)</f>
        <v/>
      </c>
      <c r="AS253" s="7">
        <f>IF(AR253="","",NORM.S.DIST(AR253,TRUE))</f>
        <v/>
      </c>
      <c r="AT253" s="13">
        <f>IF(AS253="","",IF(AS253&lt;='组合输入'!$K10,"AAA",IF(AS253&lt;='组合输入'!$L10,"AA",IF(AS253&lt;='组合输入'!$M10,"A",IF(AS253&lt;='组合输入'!$N10,"BBB",IF(AS253&lt;='组合输入'!$O10,"BB",IF(AS253&lt;='组合输入'!$P10,"B",IF(AS253&lt;='组合输入'!$Q10,"CCC","D")))))))</f>
        <v/>
      </c>
      <c r="AU253" s="12">
        <f>IF(AT253="","",INDEX('状态价值'!$D10:$K10,MATCH(AT253,'状态价值'!$D$1:$K$1,0)))</f>
        <v/>
      </c>
      <c r="AV253" s="15">
        <f>NORM.S.INV(RAND())</f>
        <v/>
      </c>
      <c r="AW253" s="15">
        <f>IF('组合输入'!$C11="","",'组合输入'!$H11*$B253+SQRT(1-'组合输入'!$H11^2)*AV253)</f>
        <v/>
      </c>
      <c r="AX253" s="7">
        <f>IF(AW253="","",NORM.S.DIST(AW253,TRUE))</f>
        <v/>
      </c>
      <c r="AY253" s="13">
        <f>IF(AX253="","",IF(AX253&lt;='组合输入'!$K11,"AAA",IF(AX253&lt;='组合输入'!$L11,"AA",IF(AX253&lt;='组合输入'!$M11,"A",IF(AX253&lt;='组合输入'!$N11,"BBB",IF(AX253&lt;='组合输入'!$O11,"BB",IF(AX253&lt;='组合输入'!$P11,"B",IF(AX253&lt;='组合输入'!$Q11,"CCC","D")))))))</f>
        <v/>
      </c>
      <c r="AZ253" s="12">
        <f>IF(AY253="","",INDEX('状态价值'!$D11:$K11,MATCH(AY253,'状态价值'!$D$1:$K$1,0)))</f>
        <v/>
      </c>
      <c r="BA253" s="12">
        <f>G253+L253+Q253+V253+AA253+AF253+AK253+AP253+AU253+AZ253</f>
        <v/>
      </c>
      <c r="BB253" s="12">
        <f>SUM('组合输入'!$J$2:$J$11)-BA253</f>
        <v/>
      </c>
    </row>
    <row r="254">
      <c r="A254" s="11" t="n">
        <v>253</v>
      </c>
      <c r="B254" s="14">
        <f>NORM.S.INV(RAND())</f>
        <v/>
      </c>
      <c r="C254" s="14">
        <f>NORM.S.INV(RAND())</f>
        <v/>
      </c>
      <c r="D254" s="15">
        <f>IF('组合输入'!$C2="","",'组合输入'!$H2*$B254+SQRT(1-'组合输入'!$H2^2)*C254)</f>
        <v/>
      </c>
      <c r="E254" s="7">
        <f>IF(D254="","",NORM.S.DIST(D254,TRUE))</f>
        <v/>
      </c>
      <c r="F254" s="13">
        <f>IF(E254="","",IF(E254&lt;='组合输入'!$K2,"AAA",IF(E254&lt;='组合输入'!$L2,"AA",IF(E254&lt;='组合输入'!$M2,"A",IF(E254&lt;='组合输入'!$N2,"BBB",IF(E254&lt;='组合输入'!$O2,"BB",IF(E254&lt;='组合输入'!$P2,"B",IF(E254&lt;='组合输入'!$Q2,"CCC","D")))))))</f>
        <v/>
      </c>
      <c r="G254" s="12">
        <f>IF(F254="","",INDEX('状态价值'!$D2:$K2,MATCH(F254,'状态价值'!$D$1:$K$1,0)))</f>
        <v/>
      </c>
      <c r="H254" s="15">
        <f>NORM.S.INV(RAND())</f>
        <v/>
      </c>
      <c r="I254" s="15">
        <f>IF('组合输入'!$C3="","",'组合输入'!$H3*$B254+SQRT(1-'组合输入'!$H3^2)*H254)</f>
        <v/>
      </c>
      <c r="J254" s="7">
        <f>IF(I254="","",NORM.S.DIST(I254,TRUE))</f>
        <v/>
      </c>
      <c r="K254" s="13">
        <f>IF(J254="","",IF(J254&lt;='组合输入'!$K3,"AAA",IF(J254&lt;='组合输入'!$L3,"AA",IF(J254&lt;='组合输入'!$M3,"A",IF(J254&lt;='组合输入'!$N3,"BBB",IF(J254&lt;='组合输入'!$O3,"BB",IF(J254&lt;='组合输入'!$P3,"B",IF(J254&lt;='组合输入'!$Q3,"CCC","D")))))))</f>
        <v/>
      </c>
      <c r="L254" s="12">
        <f>IF(K254="","",INDEX('状态价值'!$D3:$K3,MATCH(K254,'状态价值'!$D$1:$K$1,0)))</f>
        <v/>
      </c>
      <c r="M254" s="15">
        <f>NORM.S.INV(RAND())</f>
        <v/>
      </c>
      <c r="N254" s="15">
        <f>IF('组合输入'!$C4="","",'组合输入'!$H4*$B254+SQRT(1-'组合输入'!$H4^2)*M254)</f>
        <v/>
      </c>
      <c r="O254" s="7">
        <f>IF(N254="","",NORM.S.DIST(N254,TRUE))</f>
        <v/>
      </c>
      <c r="P254" s="13">
        <f>IF(O254="","",IF(O254&lt;='组合输入'!$K4,"AAA",IF(O254&lt;='组合输入'!$L4,"AA",IF(O254&lt;='组合输入'!$M4,"A",IF(O254&lt;='组合输入'!$N4,"BBB",IF(O254&lt;='组合输入'!$O4,"BB",IF(O254&lt;='组合输入'!$P4,"B",IF(O254&lt;='组合输入'!$Q4,"CCC","D")))))))</f>
        <v/>
      </c>
      <c r="Q254" s="12">
        <f>IF(P254="","",INDEX('状态价值'!$D4:$K4,MATCH(P254,'状态价值'!$D$1:$K$1,0)))</f>
        <v/>
      </c>
      <c r="R254" s="15">
        <f>NORM.S.INV(RAND())</f>
        <v/>
      </c>
      <c r="S254" s="15">
        <f>IF('组合输入'!$C5="","",'组合输入'!$H5*$B254+SQRT(1-'组合输入'!$H5^2)*R254)</f>
        <v/>
      </c>
      <c r="T254" s="7">
        <f>IF(S254="","",NORM.S.DIST(S254,TRUE))</f>
        <v/>
      </c>
      <c r="U254" s="13">
        <f>IF(T254="","",IF(T254&lt;='组合输入'!$K5,"AAA",IF(T254&lt;='组合输入'!$L5,"AA",IF(T254&lt;='组合输入'!$M5,"A",IF(T254&lt;='组合输入'!$N5,"BBB",IF(T254&lt;='组合输入'!$O5,"BB",IF(T254&lt;='组合输入'!$P5,"B",IF(T254&lt;='组合输入'!$Q5,"CCC","D")))))))</f>
        <v/>
      </c>
      <c r="V254" s="12">
        <f>IF(U254="","",INDEX('状态价值'!$D5:$K5,MATCH(U254,'状态价值'!$D$1:$K$1,0)))</f>
        <v/>
      </c>
      <c r="W254" s="15">
        <f>NORM.S.INV(RAND())</f>
        <v/>
      </c>
      <c r="X254" s="15">
        <f>IF('组合输入'!$C6="","",'组合输入'!$H6*$B254+SQRT(1-'组合输入'!$H6^2)*W254)</f>
        <v/>
      </c>
      <c r="Y254" s="7">
        <f>IF(X254="","",NORM.S.DIST(X254,TRUE))</f>
        <v/>
      </c>
      <c r="Z254" s="13">
        <f>IF(Y254="","",IF(Y254&lt;='组合输入'!$K6,"AAA",IF(Y254&lt;='组合输入'!$L6,"AA",IF(Y254&lt;='组合输入'!$M6,"A",IF(Y254&lt;='组合输入'!$N6,"BBB",IF(Y254&lt;='组合输入'!$O6,"BB",IF(Y254&lt;='组合输入'!$P6,"B",IF(Y254&lt;='组合输入'!$Q6,"CCC","D")))))))</f>
        <v/>
      </c>
      <c r="AA254" s="12">
        <f>IF(Z254="","",INDEX('状态价值'!$D6:$K6,MATCH(Z254,'状态价值'!$D$1:$K$1,0)))</f>
        <v/>
      </c>
      <c r="AB254" s="15">
        <f>NORM.S.INV(RAND())</f>
        <v/>
      </c>
      <c r="AC254" s="15">
        <f>IF('组合输入'!$C7="","",'组合输入'!$H7*$B254+SQRT(1-'组合输入'!$H7^2)*AB254)</f>
        <v/>
      </c>
      <c r="AD254" s="7">
        <f>IF(AC254="","",NORM.S.DIST(AC254,TRUE))</f>
        <v/>
      </c>
      <c r="AE254" s="13">
        <f>IF(AD254="","",IF(AD254&lt;='组合输入'!$K7,"AAA",IF(AD254&lt;='组合输入'!$L7,"AA",IF(AD254&lt;='组合输入'!$M7,"A",IF(AD254&lt;='组合输入'!$N7,"BBB",IF(AD254&lt;='组合输入'!$O7,"BB",IF(AD254&lt;='组合输入'!$P7,"B",IF(AD254&lt;='组合输入'!$Q7,"CCC","D")))))))</f>
        <v/>
      </c>
      <c r="AF254" s="12">
        <f>IF(AE254="","",INDEX('状态价值'!$D7:$K7,MATCH(AE254,'状态价值'!$D$1:$K$1,0)))</f>
        <v/>
      </c>
      <c r="AG254" s="15">
        <f>NORM.S.INV(RAND())</f>
        <v/>
      </c>
      <c r="AH254" s="15">
        <f>IF('组合输入'!$C8="","",'组合输入'!$H8*$B254+SQRT(1-'组合输入'!$H8^2)*AG254)</f>
        <v/>
      </c>
      <c r="AI254" s="7">
        <f>IF(AH254="","",NORM.S.DIST(AH254,TRUE))</f>
        <v/>
      </c>
      <c r="AJ254" s="13">
        <f>IF(AI254="","",IF(AI254&lt;='组合输入'!$K8,"AAA",IF(AI254&lt;='组合输入'!$L8,"AA",IF(AI254&lt;='组合输入'!$M8,"A",IF(AI254&lt;='组合输入'!$N8,"BBB",IF(AI254&lt;='组合输入'!$O8,"BB",IF(AI254&lt;='组合输入'!$P8,"B",IF(AI254&lt;='组合输入'!$Q8,"CCC","D")))))))</f>
        <v/>
      </c>
      <c r="AK254" s="12">
        <f>IF(AJ254="","",INDEX('状态价值'!$D8:$K8,MATCH(AJ254,'状态价值'!$D$1:$K$1,0)))</f>
        <v/>
      </c>
      <c r="AL254" s="15">
        <f>NORM.S.INV(RAND())</f>
        <v/>
      </c>
      <c r="AM254" s="15">
        <f>IF('组合输入'!$C9="","",'组合输入'!$H9*$B254+SQRT(1-'组合输入'!$H9^2)*AL254)</f>
        <v/>
      </c>
      <c r="AN254" s="7">
        <f>IF(AM254="","",NORM.S.DIST(AM254,TRUE))</f>
        <v/>
      </c>
      <c r="AO254" s="13">
        <f>IF(AN254="","",IF(AN254&lt;='组合输入'!$K9,"AAA",IF(AN254&lt;='组合输入'!$L9,"AA",IF(AN254&lt;='组合输入'!$M9,"A",IF(AN254&lt;='组合输入'!$N9,"BBB",IF(AN254&lt;='组合输入'!$O9,"BB",IF(AN254&lt;='组合输入'!$P9,"B",IF(AN254&lt;='组合输入'!$Q9,"CCC","D")))))))</f>
        <v/>
      </c>
      <c r="AP254" s="12">
        <f>IF(AO254="","",INDEX('状态价值'!$D9:$K9,MATCH(AO254,'状态价值'!$D$1:$K$1,0)))</f>
        <v/>
      </c>
      <c r="AQ254" s="15">
        <f>NORM.S.INV(RAND())</f>
        <v/>
      </c>
      <c r="AR254" s="15">
        <f>IF('组合输入'!$C10="","",'组合输入'!$H10*$B254+SQRT(1-'组合输入'!$H10^2)*AQ254)</f>
        <v/>
      </c>
      <c r="AS254" s="7">
        <f>IF(AR254="","",NORM.S.DIST(AR254,TRUE))</f>
        <v/>
      </c>
      <c r="AT254" s="13">
        <f>IF(AS254="","",IF(AS254&lt;='组合输入'!$K10,"AAA",IF(AS254&lt;='组合输入'!$L10,"AA",IF(AS254&lt;='组合输入'!$M10,"A",IF(AS254&lt;='组合输入'!$N10,"BBB",IF(AS254&lt;='组合输入'!$O10,"BB",IF(AS254&lt;='组合输入'!$P10,"B",IF(AS254&lt;='组合输入'!$Q10,"CCC","D")))))))</f>
        <v/>
      </c>
      <c r="AU254" s="12">
        <f>IF(AT254="","",INDEX('状态价值'!$D10:$K10,MATCH(AT254,'状态价值'!$D$1:$K$1,0)))</f>
        <v/>
      </c>
      <c r="AV254" s="15">
        <f>NORM.S.INV(RAND())</f>
        <v/>
      </c>
      <c r="AW254" s="15">
        <f>IF('组合输入'!$C11="","",'组合输入'!$H11*$B254+SQRT(1-'组合输入'!$H11^2)*AV254)</f>
        <v/>
      </c>
      <c r="AX254" s="7">
        <f>IF(AW254="","",NORM.S.DIST(AW254,TRUE))</f>
        <v/>
      </c>
      <c r="AY254" s="13">
        <f>IF(AX254="","",IF(AX254&lt;='组合输入'!$K11,"AAA",IF(AX254&lt;='组合输入'!$L11,"AA",IF(AX254&lt;='组合输入'!$M11,"A",IF(AX254&lt;='组合输入'!$N11,"BBB",IF(AX254&lt;='组合输入'!$O11,"BB",IF(AX254&lt;='组合输入'!$P11,"B",IF(AX254&lt;='组合输入'!$Q11,"CCC","D")))))))</f>
        <v/>
      </c>
      <c r="AZ254" s="12">
        <f>IF(AY254="","",INDEX('状态价值'!$D11:$K11,MATCH(AY254,'状态价值'!$D$1:$K$1,0)))</f>
        <v/>
      </c>
      <c r="BA254" s="12">
        <f>G254+L254+Q254+V254+AA254+AF254+AK254+AP254+AU254+AZ254</f>
        <v/>
      </c>
      <c r="BB254" s="12">
        <f>SUM('组合输入'!$J$2:$J$11)-BA254</f>
        <v/>
      </c>
    </row>
    <row r="255">
      <c r="A255" s="11" t="n">
        <v>254</v>
      </c>
      <c r="B255" s="14">
        <f>NORM.S.INV(RAND())</f>
        <v/>
      </c>
      <c r="C255" s="14">
        <f>NORM.S.INV(RAND())</f>
        <v/>
      </c>
      <c r="D255" s="15">
        <f>IF('组合输入'!$C2="","",'组合输入'!$H2*$B255+SQRT(1-'组合输入'!$H2^2)*C255)</f>
        <v/>
      </c>
      <c r="E255" s="7">
        <f>IF(D255="","",NORM.S.DIST(D255,TRUE))</f>
        <v/>
      </c>
      <c r="F255" s="13">
        <f>IF(E255="","",IF(E255&lt;='组合输入'!$K2,"AAA",IF(E255&lt;='组合输入'!$L2,"AA",IF(E255&lt;='组合输入'!$M2,"A",IF(E255&lt;='组合输入'!$N2,"BBB",IF(E255&lt;='组合输入'!$O2,"BB",IF(E255&lt;='组合输入'!$P2,"B",IF(E255&lt;='组合输入'!$Q2,"CCC","D")))))))</f>
        <v/>
      </c>
      <c r="G255" s="12">
        <f>IF(F255="","",INDEX('状态价值'!$D2:$K2,MATCH(F255,'状态价值'!$D$1:$K$1,0)))</f>
        <v/>
      </c>
      <c r="H255" s="15">
        <f>NORM.S.INV(RAND())</f>
        <v/>
      </c>
      <c r="I255" s="15">
        <f>IF('组合输入'!$C3="","",'组合输入'!$H3*$B255+SQRT(1-'组合输入'!$H3^2)*H255)</f>
        <v/>
      </c>
      <c r="J255" s="7">
        <f>IF(I255="","",NORM.S.DIST(I255,TRUE))</f>
        <v/>
      </c>
      <c r="K255" s="13">
        <f>IF(J255="","",IF(J255&lt;='组合输入'!$K3,"AAA",IF(J255&lt;='组合输入'!$L3,"AA",IF(J255&lt;='组合输入'!$M3,"A",IF(J255&lt;='组合输入'!$N3,"BBB",IF(J255&lt;='组合输入'!$O3,"BB",IF(J255&lt;='组合输入'!$P3,"B",IF(J255&lt;='组合输入'!$Q3,"CCC","D")))))))</f>
        <v/>
      </c>
      <c r="L255" s="12">
        <f>IF(K255="","",INDEX('状态价值'!$D3:$K3,MATCH(K255,'状态价值'!$D$1:$K$1,0)))</f>
        <v/>
      </c>
      <c r="M255" s="15">
        <f>NORM.S.INV(RAND())</f>
        <v/>
      </c>
      <c r="N255" s="15">
        <f>IF('组合输入'!$C4="","",'组合输入'!$H4*$B255+SQRT(1-'组合输入'!$H4^2)*M255)</f>
        <v/>
      </c>
      <c r="O255" s="7">
        <f>IF(N255="","",NORM.S.DIST(N255,TRUE))</f>
        <v/>
      </c>
      <c r="P255" s="13">
        <f>IF(O255="","",IF(O255&lt;='组合输入'!$K4,"AAA",IF(O255&lt;='组合输入'!$L4,"AA",IF(O255&lt;='组合输入'!$M4,"A",IF(O255&lt;='组合输入'!$N4,"BBB",IF(O255&lt;='组合输入'!$O4,"BB",IF(O255&lt;='组合输入'!$P4,"B",IF(O255&lt;='组合输入'!$Q4,"CCC","D")))))))</f>
        <v/>
      </c>
      <c r="Q255" s="12">
        <f>IF(P255="","",INDEX('状态价值'!$D4:$K4,MATCH(P255,'状态价值'!$D$1:$K$1,0)))</f>
        <v/>
      </c>
      <c r="R255" s="15">
        <f>NORM.S.INV(RAND())</f>
        <v/>
      </c>
      <c r="S255" s="15">
        <f>IF('组合输入'!$C5="","",'组合输入'!$H5*$B255+SQRT(1-'组合输入'!$H5^2)*R255)</f>
        <v/>
      </c>
      <c r="T255" s="7">
        <f>IF(S255="","",NORM.S.DIST(S255,TRUE))</f>
        <v/>
      </c>
      <c r="U255" s="13">
        <f>IF(T255="","",IF(T255&lt;='组合输入'!$K5,"AAA",IF(T255&lt;='组合输入'!$L5,"AA",IF(T255&lt;='组合输入'!$M5,"A",IF(T255&lt;='组合输入'!$N5,"BBB",IF(T255&lt;='组合输入'!$O5,"BB",IF(T255&lt;='组合输入'!$P5,"B",IF(T255&lt;='组合输入'!$Q5,"CCC","D")))))))</f>
        <v/>
      </c>
      <c r="V255" s="12">
        <f>IF(U255="","",INDEX('状态价值'!$D5:$K5,MATCH(U255,'状态价值'!$D$1:$K$1,0)))</f>
        <v/>
      </c>
      <c r="W255" s="15">
        <f>NORM.S.INV(RAND())</f>
        <v/>
      </c>
      <c r="X255" s="15">
        <f>IF('组合输入'!$C6="","",'组合输入'!$H6*$B255+SQRT(1-'组合输入'!$H6^2)*W255)</f>
        <v/>
      </c>
      <c r="Y255" s="7">
        <f>IF(X255="","",NORM.S.DIST(X255,TRUE))</f>
        <v/>
      </c>
      <c r="Z255" s="13">
        <f>IF(Y255="","",IF(Y255&lt;='组合输入'!$K6,"AAA",IF(Y255&lt;='组合输入'!$L6,"AA",IF(Y255&lt;='组合输入'!$M6,"A",IF(Y255&lt;='组合输入'!$N6,"BBB",IF(Y255&lt;='组合输入'!$O6,"BB",IF(Y255&lt;='组合输入'!$P6,"B",IF(Y255&lt;='组合输入'!$Q6,"CCC","D")))))))</f>
        <v/>
      </c>
      <c r="AA255" s="12">
        <f>IF(Z255="","",INDEX('状态价值'!$D6:$K6,MATCH(Z255,'状态价值'!$D$1:$K$1,0)))</f>
        <v/>
      </c>
      <c r="AB255" s="15">
        <f>NORM.S.INV(RAND())</f>
        <v/>
      </c>
      <c r="AC255" s="15">
        <f>IF('组合输入'!$C7="","",'组合输入'!$H7*$B255+SQRT(1-'组合输入'!$H7^2)*AB255)</f>
        <v/>
      </c>
      <c r="AD255" s="7">
        <f>IF(AC255="","",NORM.S.DIST(AC255,TRUE))</f>
        <v/>
      </c>
      <c r="AE255" s="13">
        <f>IF(AD255="","",IF(AD255&lt;='组合输入'!$K7,"AAA",IF(AD255&lt;='组合输入'!$L7,"AA",IF(AD255&lt;='组合输入'!$M7,"A",IF(AD255&lt;='组合输入'!$N7,"BBB",IF(AD255&lt;='组合输入'!$O7,"BB",IF(AD255&lt;='组合输入'!$P7,"B",IF(AD255&lt;='组合输入'!$Q7,"CCC","D")))))))</f>
        <v/>
      </c>
      <c r="AF255" s="12">
        <f>IF(AE255="","",INDEX('状态价值'!$D7:$K7,MATCH(AE255,'状态价值'!$D$1:$K$1,0)))</f>
        <v/>
      </c>
      <c r="AG255" s="15">
        <f>NORM.S.INV(RAND())</f>
        <v/>
      </c>
      <c r="AH255" s="15">
        <f>IF('组合输入'!$C8="","",'组合输入'!$H8*$B255+SQRT(1-'组合输入'!$H8^2)*AG255)</f>
        <v/>
      </c>
      <c r="AI255" s="7">
        <f>IF(AH255="","",NORM.S.DIST(AH255,TRUE))</f>
        <v/>
      </c>
      <c r="AJ255" s="13">
        <f>IF(AI255="","",IF(AI255&lt;='组合输入'!$K8,"AAA",IF(AI255&lt;='组合输入'!$L8,"AA",IF(AI255&lt;='组合输入'!$M8,"A",IF(AI255&lt;='组合输入'!$N8,"BBB",IF(AI255&lt;='组合输入'!$O8,"BB",IF(AI255&lt;='组合输入'!$P8,"B",IF(AI255&lt;='组合输入'!$Q8,"CCC","D")))))))</f>
        <v/>
      </c>
      <c r="AK255" s="12">
        <f>IF(AJ255="","",INDEX('状态价值'!$D8:$K8,MATCH(AJ255,'状态价值'!$D$1:$K$1,0)))</f>
        <v/>
      </c>
      <c r="AL255" s="15">
        <f>NORM.S.INV(RAND())</f>
        <v/>
      </c>
      <c r="AM255" s="15">
        <f>IF('组合输入'!$C9="","",'组合输入'!$H9*$B255+SQRT(1-'组合输入'!$H9^2)*AL255)</f>
        <v/>
      </c>
      <c r="AN255" s="7">
        <f>IF(AM255="","",NORM.S.DIST(AM255,TRUE))</f>
        <v/>
      </c>
      <c r="AO255" s="13">
        <f>IF(AN255="","",IF(AN255&lt;='组合输入'!$K9,"AAA",IF(AN255&lt;='组合输入'!$L9,"AA",IF(AN255&lt;='组合输入'!$M9,"A",IF(AN255&lt;='组合输入'!$N9,"BBB",IF(AN255&lt;='组合输入'!$O9,"BB",IF(AN255&lt;='组合输入'!$P9,"B",IF(AN255&lt;='组合输入'!$Q9,"CCC","D")))))))</f>
        <v/>
      </c>
      <c r="AP255" s="12">
        <f>IF(AO255="","",INDEX('状态价值'!$D9:$K9,MATCH(AO255,'状态价值'!$D$1:$K$1,0)))</f>
        <v/>
      </c>
      <c r="AQ255" s="15">
        <f>NORM.S.INV(RAND())</f>
        <v/>
      </c>
      <c r="AR255" s="15">
        <f>IF('组合输入'!$C10="","",'组合输入'!$H10*$B255+SQRT(1-'组合输入'!$H10^2)*AQ255)</f>
        <v/>
      </c>
      <c r="AS255" s="7">
        <f>IF(AR255="","",NORM.S.DIST(AR255,TRUE))</f>
        <v/>
      </c>
      <c r="AT255" s="13">
        <f>IF(AS255="","",IF(AS255&lt;='组合输入'!$K10,"AAA",IF(AS255&lt;='组合输入'!$L10,"AA",IF(AS255&lt;='组合输入'!$M10,"A",IF(AS255&lt;='组合输入'!$N10,"BBB",IF(AS255&lt;='组合输入'!$O10,"BB",IF(AS255&lt;='组合输入'!$P10,"B",IF(AS255&lt;='组合输入'!$Q10,"CCC","D")))))))</f>
        <v/>
      </c>
      <c r="AU255" s="12">
        <f>IF(AT255="","",INDEX('状态价值'!$D10:$K10,MATCH(AT255,'状态价值'!$D$1:$K$1,0)))</f>
        <v/>
      </c>
      <c r="AV255" s="15">
        <f>NORM.S.INV(RAND())</f>
        <v/>
      </c>
      <c r="AW255" s="15">
        <f>IF('组合输入'!$C11="","",'组合输入'!$H11*$B255+SQRT(1-'组合输入'!$H11^2)*AV255)</f>
        <v/>
      </c>
      <c r="AX255" s="7">
        <f>IF(AW255="","",NORM.S.DIST(AW255,TRUE))</f>
        <v/>
      </c>
      <c r="AY255" s="13">
        <f>IF(AX255="","",IF(AX255&lt;='组合输入'!$K11,"AAA",IF(AX255&lt;='组合输入'!$L11,"AA",IF(AX255&lt;='组合输入'!$M11,"A",IF(AX255&lt;='组合输入'!$N11,"BBB",IF(AX255&lt;='组合输入'!$O11,"BB",IF(AX255&lt;='组合输入'!$P11,"B",IF(AX255&lt;='组合输入'!$Q11,"CCC","D")))))))</f>
        <v/>
      </c>
      <c r="AZ255" s="12">
        <f>IF(AY255="","",INDEX('状态价值'!$D11:$K11,MATCH(AY255,'状态价值'!$D$1:$K$1,0)))</f>
        <v/>
      </c>
      <c r="BA255" s="12">
        <f>G255+L255+Q255+V255+AA255+AF255+AK255+AP255+AU255+AZ255</f>
        <v/>
      </c>
      <c r="BB255" s="12">
        <f>SUM('组合输入'!$J$2:$J$11)-BA255</f>
        <v/>
      </c>
    </row>
    <row r="256">
      <c r="A256" s="11" t="n">
        <v>255</v>
      </c>
      <c r="B256" s="14">
        <f>NORM.S.INV(RAND())</f>
        <v/>
      </c>
      <c r="C256" s="14">
        <f>NORM.S.INV(RAND())</f>
        <v/>
      </c>
      <c r="D256" s="15">
        <f>IF('组合输入'!$C2="","",'组合输入'!$H2*$B256+SQRT(1-'组合输入'!$H2^2)*C256)</f>
        <v/>
      </c>
      <c r="E256" s="7">
        <f>IF(D256="","",NORM.S.DIST(D256,TRUE))</f>
        <v/>
      </c>
      <c r="F256" s="13">
        <f>IF(E256="","",IF(E256&lt;='组合输入'!$K2,"AAA",IF(E256&lt;='组合输入'!$L2,"AA",IF(E256&lt;='组合输入'!$M2,"A",IF(E256&lt;='组合输入'!$N2,"BBB",IF(E256&lt;='组合输入'!$O2,"BB",IF(E256&lt;='组合输入'!$P2,"B",IF(E256&lt;='组合输入'!$Q2,"CCC","D")))))))</f>
        <v/>
      </c>
      <c r="G256" s="12">
        <f>IF(F256="","",INDEX('状态价值'!$D2:$K2,MATCH(F256,'状态价值'!$D$1:$K$1,0)))</f>
        <v/>
      </c>
      <c r="H256" s="15">
        <f>NORM.S.INV(RAND())</f>
        <v/>
      </c>
      <c r="I256" s="15">
        <f>IF('组合输入'!$C3="","",'组合输入'!$H3*$B256+SQRT(1-'组合输入'!$H3^2)*H256)</f>
        <v/>
      </c>
      <c r="J256" s="7">
        <f>IF(I256="","",NORM.S.DIST(I256,TRUE))</f>
        <v/>
      </c>
      <c r="K256" s="13">
        <f>IF(J256="","",IF(J256&lt;='组合输入'!$K3,"AAA",IF(J256&lt;='组合输入'!$L3,"AA",IF(J256&lt;='组合输入'!$M3,"A",IF(J256&lt;='组合输入'!$N3,"BBB",IF(J256&lt;='组合输入'!$O3,"BB",IF(J256&lt;='组合输入'!$P3,"B",IF(J256&lt;='组合输入'!$Q3,"CCC","D")))))))</f>
        <v/>
      </c>
      <c r="L256" s="12">
        <f>IF(K256="","",INDEX('状态价值'!$D3:$K3,MATCH(K256,'状态价值'!$D$1:$K$1,0)))</f>
        <v/>
      </c>
      <c r="M256" s="15">
        <f>NORM.S.INV(RAND())</f>
        <v/>
      </c>
      <c r="N256" s="15">
        <f>IF('组合输入'!$C4="","",'组合输入'!$H4*$B256+SQRT(1-'组合输入'!$H4^2)*M256)</f>
        <v/>
      </c>
      <c r="O256" s="7">
        <f>IF(N256="","",NORM.S.DIST(N256,TRUE))</f>
        <v/>
      </c>
      <c r="P256" s="13">
        <f>IF(O256="","",IF(O256&lt;='组合输入'!$K4,"AAA",IF(O256&lt;='组合输入'!$L4,"AA",IF(O256&lt;='组合输入'!$M4,"A",IF(O256&lt;='组合输入'!$N4,"BBB",IF(O256&lt;='组合输入'!$O4,"BB",IF(O256&lt;='组合输入'!$P4,"B",IF(O256&lt;='组合输入'!$Q4,"CCC","D")))))))</f>
        <v/>
      </c>
      <c r="Q256" s="12">
        <f>IF(P256="","",INDEX('状态价值'!$D4:$K4,MATCH(P256,'状态价值'!$D$1:$K$1,0)))</f>
        <v/>
      </c>
      <c r="R256" s="15">
        <f>NORM.S.INV(RAND())</f>
        <v/>
      </c>
      <c r="S256" s="15">
        <f>IF('组合输入'!$C5="","",'组合输入'!$H5*$B256+SQRT(1-'组合输入'!$H5^2)*R256)</f>
        <v/>
      </c>
      <c r="T256" s="7">
        <f>IF(S256="","",NORM.S.DIST(S256,TRUE))</f>
        <v/>
      </c>
      <c r="U256" s="13">
        <f>IF(T256="","",IF(T256&lt;='组合输入'!$K5,"AAA",IF(T256&lt;='组合输入'!$L5,"AA",IF(T256&lt;='组合输入'!$M5,"A",IF(T256&lt;='组合输入'!$N5,"BBB",IF(T256&lt;='组合输入'!$O5,"BB",IF(T256&lt;='组合输入'!$P5,"B",IF(T256&lt;='组合输入'!$Q5,"CCC","D")))))))</f>
        <v/>
      </c>
      <c r="V256" s="12">
        <f>IF(U256="","",INDEX('状态价值'!$D5:$K5,MATCH(U256,'状态价值'!$D$1:$K$1,0)))</f>
        <v/>
      </c>
      <c r="W256" s="15">
        <f>NORM.S.INV(RAND())</f>
        <v/>
      </c>
      <c r="X256" s="15">
        <f>IF('组合输入'!$C6="","",'组合输入'!$H6*$B256+SQRT(1-'组合输入'!$H6^2)*W256)</f>
        <v/>
      </c>
      <c r="Y256" s="7">
        <f>IF(X256="","",NORM.S.DIST(X256,TRUE))</f>
        <v/>
      </c>
      <c r="Z256" s="13">
        <f>IF(Y256="","",IF(Y256&lt;='组合输入'!$K6,"AAA",IF(Y256&lt;='组合输入'!$L6,"AA",IF(Y256&lt;='组合输入'!$M6,"A",IF(Y256&lt;='组合输入'!$N6,"BBB",IF(Y256&lt;='组合输入'!$O6,"BB",IF(Y256&lt;='组合输入'!$P6,"B",IF(Y256&lt;='组合输入'!$Q6,"CCC","D")))))))</f>
        <v/>
      </c>
      <c r="AA256" s="12">
        <f>IF(Z256="","",INDEX('状态价值'!$D6:$K6,MATCH(Z256,'状态价值'!$D$1:$K$1,0)))</f>
        <v/>
      </c>
      <c r="AB256" s="15">
        <f>NORM.S.INV(RAND())</f>
        <v/>
      </c>
      <c r="AC256" s="15">
        <f>IF('组合输入'!$C7="","",'组合输入'!$H7*$B256+SQRT(1-'组合输入'!$H7^2)*AB256)</f>
        <v/>
      </c>
      <c r="AD256" s="7">
        <f>IF(AC256="","",NORM.S.DIST(AC256,TRUE))</f>
        <v/>
      </c>
      <c r="AE256" s="13">
        <f>IF(AD256="","",IF(AD256&lt;='组合输入'!$K7,"AAA",IF(AD256&lt;='组合输入'!$L7,"AA",IF(AD256&lt;='组合输入'!$M7,"A",IF(AD256&lt;='组合输入'!$N7,"BBB",IF(AD256&lt;='组合输入'!$O7,"BB",IF(AD256&lt;='组合输入'!$P7,"B",IF(AD256&lt;='组合输入'!$Q7,"CCC","D")))))))</f>
        <v/>
      </c>
      <c r="AF256" s="12">
        <f>IF(AE256="","",INDEX('状态价值'!$D7:$K7,MATCH(AE256,'状态价值'!$D$1:$K$1,0)))</f>
        <v/>
      </c>
      <c r="AG256" s="15">
        <f>NORM.S.INV(RAND())</f>
        <v/>
      </c>
      <c r="AH256" s="15">
        <f>IF('组合输入'!$C8="","",'组合输入'!$H8*$B256+SQRT(1-'组合输入'!$H8^2)*AG256)</f>
        <v/>
      </c>
      <c r="AI256" s="7">
        <f>IF(AH256="","",NORM.S.DIST(AH256,TRUE))</f>
        <v/>
      </c>
      <c r="AJ256" s="13">
        <f>IF(AI256="","",IF(AI256&lt;='组合输入'!$K8,"AAA",IF(AI256&lt;='组合输入'!$L8,"AA",IF(AI256&lt;='组合输入'!$M8,"A",IF(AI256&lt;='组合输入'!$N8,"BBB",IF(AI256&lt;='组合输入'!$O8,"BB",IF(AI256&lt;='组合输入'!$P8,"B",IF(AI256&lt;='组合输入'!$Q8,"CCC","D")))))))</f>
        <v/>
      </c>
      <c r="AK256" s="12">
        <f>IF(AJ256="","",INDEX('状态价值'!$D8:$K8,MATCH(AJ256,'状态价值'!$D$1:$K$1,0)))</f>
        <v/>
      </c>
      <c r="AL256" s="15">
        <f>NORM.S.INV(RAND())</f>
        <v/>
      </c>
      <c r="AM256" s="15">
        <f>IF('组合输入'!$C9="","",'组合输入'!$H9*$B256+SQRT(1-'组合输入'!$H9^2)*AL256)</f>
        <v/>
      </c>
      <c r="AN256" s="7">
        <f>IF(AM256="","",NORM.S.DIST(AM256,TRUE))</f>
        <v/>
      </c>
      <c r="AO256" s="13">
        <f>IF(AN256="","",IF(AN256&lt;='组合输入'!$K9,"AAA",IF(AN256&lt;='组合输入'!$L9,"AA",IF(AN256&lt;='组合输入'!$M9,"A",IF(AN256&lt;='组合输入'!$N9,"BBB",IF(AN256&lt;='组合输入'!$O9,"BB",IF(AN256&lt;='组合输入'!$P9,"B",IF(AN256&lt;='组合输入'!$Q9,"CCC","D")))))))</f>
        <v/>
      </c>
      <c r="AP256" s="12">
        <f>IF(AO256="","",INDEX('状态价值'!$D9:$K9,MATCH(AO256,'状态价值'!$D$1:$K$1,0)))</f>
        <v/>
      </c>
      <c r="AQ256" s="15">
        <f>NORM.S.INV(RAND())</f>
        <v/>
      </c>
      <c r="AR256" s="15">
        <f>IF('组合输入'!$C10="","",'组合输入'!$H10*$B256+SQRT(1-'组合输入'!$H10^2)*AQ256)</f>
        <v/>
      </c>
      <c r="AS256" s="7">
        <f>IF(AR256="","",NORM.S.DIST(AR256,TRUE))</f>
        <v/>
      </c>
      <c r="AT256" s="13">
        <f>IF(AS256="","",IF(AS256&lt;='组合输入'!$K10,"AAA",IF(AS256&lt;='组合输入'!$L10,"AA",IF(AS256&lt;='组合输入'!$M10,"A",IF(AS256&lt;='组合输入'!$N10,"BBB",IF(AS256&lt;='组合输入'!$O10,"BB",IF(AS256&lt;='组合输入'!$P10,"B",IF(AS256&lt;='组合输入'!$Q10,"CCC","D")))))))</f>
        <v/>
      </c>
      <c r="AU256" s="12">
        <f>IF(AT256="","",INDEX('状态价值'!$D10:$K10,MATCH(AT256,'状态价值'!$D$1:$K$1,0)))</f>
        <v/>
      </c>
      <c r="AV256" s="15">
        <f>NORM.S.INV(RAND())</f>
        <v/>
      </c>
      <c r="AW256" s="15">
        <f>IF('组合输入'!$C11="","",'组合输入'!$H11*$B256+SQRT(1-'组合输入'!$H11^2)*AV256)</f>
        <v/>
      </c>
      <c r="AX256" s="7">
        <f>IF(AW256="","",NORM.S.DIST(AW256,TRUE))</f>
        <v/>
      </c>
      <c r="AY256" s="13">
        <f>IF(AX256="","",IF(AX256&lt;='组合输入'!$K11,"AAA",IF(AX256&lt;='组合输入'!$L11,"AA",IF(AX256&lt;='组合输入'!$M11,"A",IF(AX256&lt;='组合输入'!$N11,"BBB",IF(AX256&lt;='组合输入'!$O11,"BB",IF(AX256&lt;='组合输入'!$P11,"B",IF(AX256&lt;='组合输入'!$Q11,"CCC","D")))))))</f>
        <v/>
      </c>
      <c r="AZ256" s="12">
        <f>IF(AY256="","",INDEX('状态价值'!$D11:$K11,MATCH(AY256,'状态价值'!$D$1:$K$1,0)))</f>
        <v/>
      </c>
      <c r="BA256" s="12">
        <f>G256+L256+Q256+V256+AA256+AF256+AK256+AP256+AU256+AZ256</f>
        <v/>
      </c>
      <c r="BB256" s="12">
        <f>SUM('组合输入'!$J$2:$J$11)-BA256</f>
        <v/>
      </c>
    </row>
    <row r="257">
      <c r="A257" s="11" t="n">
        <v>256</v>
      </c>
      <c r="B257" s="14">
        <f>NORM.S.INV(RAND())</f>
        <v/>
      </c>
      <c r="C257" s="14">
        <f>NORM.S.INV(RAND())</f>
        <v/>
      </c>
      <c r="D257" s="15">
        <f>IF('组合输入'!$C2="","",'组合输入'!$H2*$B257+SQRT(1-'组合输入'!$H2^2)*C257)</f>
        <v/>
      </c>
      <c r="E257" s="7">
        <f>IF(D257="","",NORM.S.DIST(D257,TRUE))</f>
        <v/>
      </c>
      <c r="F257" s="13">
        <f>IF(E257="","",IF(E257&lt;='组合输入'!$K2,"AAA",IF(E257&lt;='组合输入'!$L2,"AA",IF(E257&lt;='组合输入'!$M2,"A",IF(E257&lt;='组合输入'!$N2,"BBB",IF(E257&lt;='组合输入'!$O2,"BB",IF(E257&lt;='组合输入'!$P2,"B",IF(E257&lt;='组合输入'!$Q2,"CCC","D")))))))</f>
        <v/>
      </c>
      <c r="G257" s="12">
        <f>IF(F257="","",INDEX('状态价值'!$D2:$K2,MATCH(F257,'状态价值'!$D$1:$K$1,0)))</f>
        <v/>
      </c>
      <c r="H257" s="15">
        <f>NORM.S.INV(RAND())</f>
        <v/>
      </c>
      <c r="I257" s="15">
        <f>IF('组合输入'!$C3="","",'组合输入'!$H3*$B257+SQRT(1-'组合输入'!$H3^2)*H257)</f>
        <v/>
      </c>
      <c r="J257" s="7">
        <f>IF(I257="","",NORM.S.DIST(I257,TRUE))</f>
        <v/>
      </c>
      <c r="K257" s="13">
        <f>IF(J257="","",IF(J257&lt;='组合输入'!$K3,"AAA",IF(J257&lt;='组合输入'!$L3,"AA",IF(J257&lt;='组合输入'!$M3,"A",IF(J257&lt;='组合输入'!$N3,"BBB",IF(J257&lt;='组合输入'!$O3,"BB",IF(J257&lt;='组合输入'!$P3,"B",IF(J257&lt;='组合输入'!$Q3,"CCC","D")))))))</f>
        <v/>
      </c>
      <c r="L257" s="12">
        <f>IF(K257="","",INDEX('状态价值'!$D3:$K3,MATCH(K257,'状态价值'!$D$1:$K$1,0)))</f>
        <v/>
      </c>
      <c r="M257" s="15">
        <f>NORM.S.INV(RAND())</f>
        <v/>
      </c>
      <c r="N257" s="15">
        <f>IF('组合输入'!$C4="","",'组合输入'!$H4*$B257+SQRT(1-'组合输入'!$H4^2)*M257)</f>
        <v/>
      </c>
      <c r="O257" s="7">
        <f>IF(N257="","",NORM.S.DIST(N257,TRUE))</f>
        <v/>
      </c>
      <c r="P257" s="13">
        <f>IF(O257="","",IF(O257&lt;='组合输入'!$K4,"AAA",IF(O257&lt;='组合输入'!$L4,"AA",IF(O257&lt;='组合输入'!$M4,"A",IF(O257&lt;='组合输入'!$N4,"BBB",IF(O257&lt;='组合输入'!$O4,"BB",IF(O257&lt;='组合输入'!$P4,"B",IF(O257&lt;='组合输入'!$Q4,"CCC","D")))))))</f>
        <v/>
      </c>
      <c r="Q257" s="12">
        <f>IF(P257="","",INDEX('状态价值'!$D4:$K4,MATCH(P257,'状态价值'!$D$1:$K$1,0)))</f>
        <v/>
      </c>
      <c r="R257" s="15">
        <f>NORM.S.INV(RAND())</f>
        <v/>
      </c>
      <c r="S257" s="15">
        <f>IF('组合输入'!$C5="","",'组合输入'!$H5*$B257+SQRT(1-'组合输入'!$H5^2)*R257)</f>
        <v/>
      </c>
      <c r="T257" s="7">
        <f>IF(S257="","",NORM.S.DIST(S257,TRUE))</f>
        <v/>
      </c>
      <c r="U257" s="13">
        <f>IF(T257="","",IF(T257&lt;='组合输入'!$K5,"AAA",IF(T257&lt;='组合输入'!$L5,"AA",IF(T257&lt;='组合输入'!$M5,"A",IF(T257&lt;='组合输入'!$N5,"BBB",IF(T257&lt;='组合输入'!$O5,"BB",IF(T257&lt;='组合输入'!$P5,"B",IF(T257&lt;='组合输入'!$Q5,"CCC","D")))))))</f>
        <v/>
      </c>
      <c r="V257" s="12">
        <f>IF(U257="","",INDEX('状态价值'!$D5:$K5,MATCH(U257,'状态价值'!$D$1:$K$1,0)))</f>
        <v/>
      </c>
      <c r="W257" s="15">
        <f>NORM.S.INV(RAND())</f>
        <v/>
      </c>
      <c r="X257" s="15">
        <f>IF('组合输入'!$C6="","",'组合输入'!$H6*$B257+SQRT(1-'组合输入'!$H6^2)*W257)</f>
        <v/>
      </c>
      <c r="Y257" s="7">
        <f>IF(X257="","",NORM.S.DIST(X257,TRUE))</f>
        <v/>
      </c>
      <c r="Z257" s="13">
        <f>IF(Y257="","",IF(Y257&lt;='组合输入'!$K6,"AAA",IF(Y257&lt;='组合输入'!$L6,"AA",IF(Y257&lt;='组合输入'!$M6,"A",IF(Y257&lt;='组合输入'!$N6,"BBB",IF(Y257&lt;='组合输入'!$O6,"BB",IF(Y257&lt;='组合输入'!$P6,"B",IF(Y257&lt;='组合输入'!$Q6,"CCC","D")))))))</f>
        <v/>
      </c>
      <c r="AA257" s="12">
        <f>IF(Z257="","",INDEX('状态价值'!$D6:$K6,MATCH(Z257,'状态价值'!$D$1:$K$1,0)))</f>
        <v/>
      </c>
      <c r="AB257" s="15">
        <f>NORM.S.INV(RAND())</f>
        <v/>
      </c>
      <c r="AC257" s="15">
        <f>IF('组合输入'!$C7="","",'组合输入'!$H7*$B257+SQRT(1-'组合输入'!$H7^2)*AB257)</f>
        <v/>
      </c>
      <c r="AD257" s="7">
        <f>IF(AC257="","",NORM.S.DIST(AC257,TRUE))</f>
        <v/>
      </c>
      <c r="AE257" s="13">
        <f>IF(AD257="","",IF(AD257&lt;='组合输入'!$K7,"AAA",IF(AD257&lt;='组合输入'!$L7,"AA",IF(AD257&lt;='组合输入'!$M7,"A",IF(AD257&lt;='组合输入'!$N7,"BBB",IF(AD257&lt;='组合输入'!$O7,"BB",IF(AD257&lt;='组合输入'!$P7,"B",IF(AD257&lt;='组合输入'!$Q7,"CCC","D")))))))</f>
        <v/>
      </c>
      <c r="AF257" s="12">
        <f>IF(AE257="","",INDEX('状态价值'!$D7:$K7,MATCH(AE257,'状态价值'!$D$1:$K$1,0)))</f>
        <v/>
      </c>
      <c r="AG257" s="15">
        <f>NORM.S.INV(RAND())</f>
        <v/>
      </c>
      <c r="AH257" s="15">
        <f>IF('组合输入'!$C8="","",'组合输入'!$H8*$B257+SQRT(1-'组合输入'!$H8^2)*AG257)</f>
        <v/>
      </c>
      <c r="AI257" s="7">
        <f>IF(AH257="","",NORM.S.DIST(AH257,TRUE))</f>
        <v/>
      </c>
      <c r="AJ257" s="13">
        <f>IF(AI257="","",IF(AI257&lt;='组合输入'!$K8,"AAA",IF(AI257&lt;='组合输入'!$L8,"AA",IF(AI257&lt;='组合输入'!$M8,"A",IF(AI257&lt;='组合输入'!$N8,"BBB",IF(AI257&lt;='组合输入'!$O8,"BB",IF(AI257&lt;='组合输入'!$P8,"B",IF(AI257&lt;='组合输入'!$Q8,"CCC","D")))))))</f>
        <v/>
      </c>
      <c r="AK257" s="12">
        <f>IF(AJ257="","",INDEX('状态价值'!$D8:$K8,MATCH(AJ257,'状态价值'!$D$1:$K$1,0)))</f>
        <v/>
      </c>
      <c r="AL257" s="15">
        <f>NORM.S.INV(RAND())</f>
        <v/>
      </c>
      <c r="AM257" s="15">
        <f>IF('组合输入'!$C9="","",'组合输入'!$H9*$B257+SQRT(1-'组合输入'!$H9^2)*AL257)</f>
        <v/>
      </c>
      <c r="AN257" s="7">
        <f>IF(AM257="","",NORM.S.DIST(AM257,TRUE))</f>
        <v/>
      </c>
      <c r="AO257" s="13">
        <f>IF(AN257="","",IF(AN257&lt;='组合输入'!$K9,"AAA",IF(AN257&lt;='组合输入'!$L9,"AA",IF(AN257&lt;='组合输入'!$M9,"A",IF(AN257&lt;='组合输入'!$N9,"BBB",IF(AN257&lt;='组合输入'!$O9,"BB",IF(AN257&lt;='组合输入'!$P9,"B",IF(AN257&lt;='组合输入'!$Q9,"CCC","D")))))))</f>
        <v/>
      </c>
      <c r="AP257" s="12">
        <f>IF(AO257="","",INDEX('状态价值'!$D9:$K9,MATCH(AO257,'状态价值'!$D$1:$K$1,0)))</f>
        <v/>
      </c>
      <c r="AQ257" s="15">
        <f>NORM.S.INV(RAND())</f>
        <v/>
      </c>
      <c r="AR257" s="15">
        <f>IF('组合输入'!$C10="","",'组合输入'!$H10*$B257+SQRT(1-'组合输入'!$H10^2)*AQ257)</f>
        <v/>
      </c>
      <c r="AS257" s="7">
        <f>IF(AR257="","",NORM.S.DIST(AR257,TRUE))</f>
        <v/>
      </c>
      <c r="AT257" s="13">
        <f>IF(AS257="","",IF(AS257&lt;='组合输入'!$K10,"AAA",IF(AS257&lt;='组合输入'!$L10,"AA",IF(AS257&lt;='组合输入'!$M10,"A",IF(AS257&lt;='组合输入'!$N10,"BBB",IF(AS257&lt;='组合输入'!$O10,"BB",IF(AS257&lt;='组合输入'!$P10,"B",IF(AS257&lt;='组合输入'!$Q10,"CCC","D")))))))</f>
        <v/>
      </c>
      <c r="AU257" s="12">
        <f>IF(AT257="","",INDEX('状态价值'!$D10:$K10,MATCH(AT257,'状态价值'!$D$1:$K$1,0)))</f>
        <v/>
      </c>
      <c r="AV257" s="15">
        <f>NORM.S.INV(RAND())</f>
        <v/>
      </c>
      <c r="AW257" s="15">
        <f>IF('组合输入'!$C11="","",'组合输入'!$H11*$B257+SQRT(1-'组合输入'!$H11^2)*AV257)</f>
        <v/>
      </c>
      <c r="AX257" s="7">
        <f>IF(AW257="","",NORM.S.DIST(AW257,TRUE))</f>
        <v/>
      </c>
      <c r="AY257" s="13">
        <f>IF(AX257="","",IF(AX257&lt;='组合输入'!$K11,"AAA",IF(AX257&lt;='组合输入'!$L11,"AA",IF(AX257&lt;='组合输入'!$M11,"A",IF(AX257&lt;='组合输入'!$N11,"BBB",IF(AX257&lt;='组合输入'!$O11,"BB",IF(AX257&lt;='组合输入'!$P11,"B",IF(AX257&lt;='组合输入'!$Q11,"CCC","D")))))))</f>
        <v/>
      </c>
      <c r="AZ257" s="12">
        <f>IF(AY257="","",INDEX('状态价值'!$D11:$K11,MATCH(AY257,'状态价值'!$D$1:$K$1,0)))</f>
        <v/>
      </c>
      <c r="BA257" s="12">
        <f>G257+L257+Q257+V257+AA257+AF257+AK257+AP257+AU257+AZ257</f>
        <v/>
      </c>
      <c r="BB257" s="12">
        <f>SUM('组合输入'!$J$2:$J$11)-BA257</f>
        <v/>
      </c>
    </row>
    <row r="258">
      <c r="A258" s="11" t="n">
        <v>257</v>
      </c>
      <c r="B258" s="14">
        <f>NORM.S.INV(RAND())</f>
        <v/>
      </c>
      <c r="C258" s="14">
        <f>NORM.S.INV(RAND())</f>
        <v/>
      </c>
      <c r="D258" s="15">
        <f>IF('组合输入'!$C2="","",'组合输入'!$H2*$B258+SQRT(1-'组合输入'!$H2^2)*C258)</f>
        <v/>
      </c>
      <c r="E258" s="7">
        <f>IF(D258="","",NORM.S.DIST(D258,TRUE))</f>
        <v/>
      </c>
      <c r="F258" s="13">
        <f>IF(E258="","",IF(E258&lt;='组合输入'!$K2,"AAA",IF(E258&lt;='组合输入'!$L2,"AA",IF(E258&lt;='组合输入'!$M2,"A",IF(E258&lt;='组合输入'!$N2,"BBB",IF(E258&lt;='组合输入'!$O2,"BB",IF(E258&lt;='组合输入'!$P2,"B",IF(E258&lt;='组合输入'!$Q2,"CCC","D")))))))</f>
        <v/>
      </c>
      <c r="G258" s="12">
        <f>IF(F258="","",INDEX('状态价值'!$D2:$K2,MATCH(F258,'状态价值'!$D$1:$K$1,0)))</f>
        <v/>
      </c>
      <c r="H258" s="15">
        <f>NORM.S.INV(RAND())</f>
        <v/>
      </c>
      <c r="I258" s="15">
        <f>IF('组合输入'!$C3="","",'组合输入'!$H3*$B258+SQRT(1-'组合输入'!$H3^2)*H258)</f>
        <v/>
      </c>
      <c r="J258" s="7">
        <f>IF(I258="","",NORM.S.DIST(I258,TRUE))</f>
        <v/>
      </c>
      <c r="K258" s="13">
        <f>IF(J258="","",IF(J258&lt;='组合输入'!$K3,"AAA",IF(J258&lt;='组合输入'!$L3,"AA",IF(J258&lt;='组合输入'!$M3,"A",IF(J258&lt;='组合输入'!$N3,"BBB",IF(J258&lt;='组合输入'!$O3,"BB",IF(J258&lt;='组合输入'!$P3,"B",IF(J258&lt;='组合输入'!$Q3,"CCC","D")))))))</f>
        <v/>
      </c>
      <c r="L258" s="12">
        <f>IF(K258="","",INDEX('状态价值'!$D3:$K3,MATCH(K258,'状态价值'!$D$1:$K$1,0)))</f>
        <v/>
      </c>
      <c r="M258" s="15">
        <f>NORM.S.INV(RAND())</f>
        <v/>
      </c>
      <c r="N258" s="15">
        <f>IF('组合输入'!$C4="","",'组合输入'!$H4*$B258+SQRT(1-'组合输入'!$H4^2)*M258)</f>
        <v/>
      </c>
      <c r="O258" s="7">
        <f>IF(N258="","",NORM.S.DIST(N258,TRUE))</f>
        <v/>
      </c>
      <c r="P258" s="13">
        <f>IF(O258="","",IF(O258&lt;='组合输入'!$K4,"AAA",IF(O258&lt;='组合输入'!$L4,"AA",IF(O258&lt;='组合输入'!$M4,"A",IF(O258&lt;='组合输入'!$N4,"BBB",IF(O258&lt;='组合输入'!$O4,"BB",IF(O258&lt;='组合输入'!$P4,"B",IF(O258&lt;='组合输入'!$Q4,"CCC","D")))))))</f>
        <v/>
      </c>
      <c r="Q258" s="12">
        <f>IF(P258="","",INDEX('状态价值'!$D4:$K4,MATCH(P258,'状态价值'!$D$1:$K$1,0)))</f>
        <v/>
      </c>
      <c r="R258" s="15">
        <f>NORM.S.INV(RAND())</f>
        <v/>
      </c>
      <c r="S258" s="15">
        <f>IF('组合输入'!$C5="","",'组合输入'!$H5*$B258+SQRT(1-'组合输入'!$H5^2)*R258)</f>
        <v/>
      </c>
      <c r="T258" s="7">
        <f>IF(S258="","",NORM.S.DIST(S258,TRUE))</f>
        <v/>
      </c>
      <c r="U258" s="13">
        <f>IF(T258="","",IF(T258&lt;='组合输入'!$K5,"AAA",IF(T258&lt;='组合输入'!$L5,"AA",IF(T258&lt;='组合输入'!$M5,"A",IF(T258&lt;='组合输入'!$N5,"BBB",IF(T258&lt;='组合输入'!$O5,"BB",IF(T258&lt;='组合输入'!$P5,"B",IF(T258&lt;='组合输入'!$Q5,"CCC","D")))))))</f>
        <v/>
      </c>
      <c r="V258" s="12">
        <f>IF(U258="","",INDEX('状态价值'!$D5:$K5,MATCH(U258,'状态价值'!$D$1:$K$1,0)))</f>
        <v/>
      </c>
      <c r="W258" s="15">
        <f>NORM.S.INV(RAND())</f>
        <v/>
      </c>
      <c r="X258" s="15">
        <f>IF('组合输入'!$C6="","",'组合输入'!$H6*$B258+SQRT(1-'组合输入'!$H6^2)*W258)</f>
        <v/>
      </c>
      <c r="Y258" s="7">
        <f>IF(X258="","",NORM.S.DIST(X258,TRUE))</f>
        <v/>
      </c>
      <c r="Z258" s="13">
        <f>IF(Y258="","",IF(Y258&lt;='组合输入'!$K6,"AAA",IF(Y258&lt;='组合输入'!$L6,"AA",IF(Y258&lt;='组合输入'!$M6,"A",IF(Y258&lt;='组合输入'!$N6,"BBB",IF(Y258&lt;='组合输入'!$O6,"BB",IF(Y258&lt;='组合输入'!$P6,"B",IF(Y258&lt;='组合输入'!$Q6,"CCC","D")))))))</f>
        <v/>
      </c>
      <c r="AA258" s="12">
        <f>IF(Z258="","",INDEX('状态价值'!$D6:$K6,MATCH(Z258,'状态价值'!$D$1:$K$1,0)))</f>
        <v/>
      </c>
      <c r="AB258" s="15">
        <f>NORM.S.INV(RAND())</f>
        <v/>
      </c>
      <c r="AC258" s="15">
        <f>IF('组合输入'!$C7="","",'组合输入'!$H7*$B258+SQRT(1-'组合输入'!$H7^2)*AB258)</f>
        <v/>
      </c>
      <c r="AD258" s="7">
        <f>IF(AC258="","",NORM.S.DIST(AC258,TRUE))</f>
        <v/>
      </c>
      <c r="AE258" s="13">
        <f>IF(AD258="","",IF(AD258&lt;='组合输入'!$K7,"AAA",IF(AD258&lt;='组合输入'!$L7,"AA",IF(AD258&lt;='组合输入'!$M7,"A",IF(AD258&lt;='组合输入'!$N7,"BBB",IF(AD258&lt;='组合输入'!$O7,"BB",IF(AD258&lt;='组合输入'!$P7,"B",IF(AD258&lt;='组合输入'!$Q7,"CCC","D")))))))</f>
        <v/>
      </c>
      <c r="AF258" s="12">
        <f>IF(AE258="","",INDEX('状态价值'!$D7:$K7,MATCH(AE258,'状态价值'!$D$1:$K$1,0)))</f>
        <v/>
      </c>
      <c r="AG258" s="15">
        <f>NORM.S.INV(RAND())</f>
        <v/>
      </c>
      <c r="AH258" s="15">
        <f>IF('组合输入'!$C8="","",'组合输入'!$H8*$B258+SQRT(1-'组合输入'!$H8^2)*AG258)</f>
        <v/>
      </c>
      <c r="AI258" s="7">
        <f>IF(AH258="","",NORM.S.DIST(AH258,TRUE))</f>
        <v/>
      </c>
      <c r="AJ258" s="13">
        <f>IF(AI258="","",IF(AI258&lt;='组合输入'!$K8,"AAA",IF(AI258&lt;='组合输入'!$L8,"AA",IF(AI258&lt;='组合输入'!$M8,"A",IF(AI258&lt;='组合输入'!$N8,"BBB",IF(AI258&lt;='组合输入'!$O8,"BB",IF(AI258&lt;='组合输入'!$P8,"B",IF(AI258&lt;='组合输入'!$Q8,"CCC","D")))))))</f>
        <v/>
      </c>
      <c r="AK258" s="12">
        <f>IF(AJ258="","",INDEX('状态价值'!$D8:$K8,MATCH(AJ258,'状态价值'!$D$1:$K$1,0)))</f>
        <v/>
      </c>
      <c r="AL258" s="15">
        <f>NORM.S.INV(RAND())</f>
        <v/>
      </c>
      <c r="AM258" s="15">
        <f>IF('组合输入'!$C9="","",'组合输入'!$H9*$B258+SQRT(1-'组合输入'!$H9^2)*AL258)</f>
        <v/>
      </c>
      <c r="AN258" s="7">
        <f>IF(AM258="","",NORM.S.DIST(AM258,TRUE))</f>
        <v/>
      </c>
      <c r="AO258" s="13">
        <f>IF(AN258="","",IF(AN258&lt;='组合输入'!$K9,"AAA",IF(AN258&lt;='组合输入'!$L9,"AA",IF(AN258&lt;='组合输入'!$M9,"A",IF(AN258&lt;='组合输入'!$N9,"BBB",IF(AN258&lt;='组合输入'!$O9,"BB",IF(AN258&lt;='组合输入'!$P9,"B",IF(AN258&lt;='组合输入'!$Q9,"CCC","D")))))))</f>
        <v/>
      </c>
      <c r="AP258" s="12">
        <f>IF(AO258="","",INDEX('状态价值'!$D9:$K9,MATCH(AO258,'状态价值'!$D$1:$K$1,0)))</f>
        <v/>
      </c>
      <c r="AQ258" s="15">
        <f>NORM.S.INV(RAND())</f>
        <v/>
      </c>
      <c r="AR258" s="15">
        <f>IF('组合输入'!$C10="","",'组合输入'!$H10*$B258+SQRT(1-'组合输入'!$H10^2)*AQ258)</f>
        <v/>
      </c>
      <c r="AS258" s="7">
        <f>IF(AR258="","",NORM.S.DIST(AR258,TRUE))</f>
        <v/>
      </c>
      <c r="AT258" s="13">
        <f>IF(AS258="","",IF(AS258&lt;='组合输入'!$K10,"AAA",IF(AS258&lt;='组合输入'!$L10,"AA",IF(AS258&lt;='组合输入'!$M10,"A",IF(AS258&lt;='组合输入'!$N10,"BBB",IF(AS258&lt;='组合输入'!$O10,"BB",IF(AS258&lt;='组合输入'!$P10,"B",IF(AS258&lt;='组合输入'!$Q10,"CCC","D")))))))</f>
        <v/>
      </c>
      <c r="AU258" s="12">
        <f>IF(AT258="","",INDEX('状态价值'!$D10:$K10,MATCH(AT258,'状态价值'!$D$1:$K$1,0)))</f>
        <v/>
      </c>
      <c r="AV258" s="15">
        <f>NORM.S.INV(RAND())</f>
        <v/>
      </c>
      <c r="AW258" s="15">
        <f>IF('组合输入'!$C11="","",'组合输入'!$H11*$B258+SQRT(1-'组合输入'!$H11^2)*AV258)</f>
        <v/>
      </c>
      <c r="AX258" s="7">
        <f>IF(AW258="","",NORM.S.DIST(AW258,TRUE))</f>
        <v/>
      </c>
      <c r="AY258" s="13">
        <f>IF(AX258="","",IF(AX258&lt;='组合输入'!$K11,"AAA",IF(AX258&lt;='组合输入'!$L11,"AA",IF(AX258&lt;='组合输入'!$M11,"A",IF(AX258&lt;='组合输入'!$N11,"BBB",IF(AX258&lt;='组合输入'!$O11,"BB",IF(AX258&lt;='组合输入'!$P11,"B",IF(AX258&lt;='组合输入'!$Q11,"CCC","D")))))))</f>
        <v/>
      </c>
      <c r="AZ258" s="12">
        <f>IF(AY258="","",INDEX('状态价值'!$D11:$K11,MATCH(AY258,'状态价值'!$D$1:$K$1,0)))</f>
        <v/>
      </c>
      <c r="BA258" s="12">
        <f>G258+L258+Q258+V258+AA258+AF258+AK258+AP258+AU258+AZ258</f>
        <v/>
      </c>
      <c r="BB258" s="12">
        <f>SUM('组合输入'!$J$2:$J$11)-BA258</f>
        <v/>
      </c>
    </row>
    <row r="259">
      <c r="A259" s="11" t="n">
        <v>258</v>
      </c>
      <c r="B259" s="14">
        <f>NORM.S.INV(RAND())</f>
        <v/>
      </c>
      <c r="C259" s="14">
        <f>NORM.S.INV(RAND())</f>
        <v/>
      </c>
      <c r="D259" s="15">
        <f>IF('组合输入'!$C2="","",'组合输入'!$H2*$B259+SQRT(1-'组合输入'!$H2^2)*C259)</f>
        <v/>
      </c>
      <c r="E259" s="7">
        <f>IF(D259="","",NORM.S.DIST(D259,TRUE))</f>
        <v/>
      </c>
      <c r="F259" s="13">
        <f>IF(E259="","",IF(E259&lt;='组合输入'!$K2,"AAA",IF(E259&lt;='组合输入'!$L2,"AA",IF(E259&lt;='组合输入'!$M2,"A",IF(E259&lt;='组合输入'!$N2,"BBB",IF(E259&lt;='组合输入'!$O2,"BB",IF(E259&lt;='组合输入'!$P2,"B",IF(E259&lt;='组合输入'!$Q2,"CCC","D")))))))</f>
        <v/>
      </c>
      <c r="G259" s="12">
        <f>IF(F259="","",INDEX('状态价值'!$D2:$K2,MATCH(F259,'状态价值'!$D$1:$K$1,0)))</f>
        <v/>
      </c>
      <c r="H259" s="15">
        <f>NORM.S.INV(RAND())</f>
        <v/>
      </c>
      <c r="I259" s="15">
        <f>IF('组合输入'!$C3="","",'组合输入'!$H3*$B259+SQRT(1-'组合输入'!$H3^2)*H259)</f>
        <v/>
      </c>
      <c r="J259" s="7">
        <f>IF(I259="","",NORM.S.DIST(I259,TRUE))</f>
        <v/>
      </c>
      <c r="K259" s="13">
        <f>IF(J259="","",IF(J259&lt;='组合输入'!$K3,"AAA",IF(J259&lt;='组合输入'!$L3,"AA",IF(J259&lt;='组合输入'!$M3,"A",IF(J259&lt;='组合输入'!$N3,"BBB",IF(J259&lt;='组合输入'!$O3,"BB",IF(J259&lt;='组合输入'!$P3,"B",IF(J259&lt;='组合输入'!$Q3,"CCC","D")))))))</f>
        <v/>
      </c>
      <c r="L259" s="12">
        <f>IF(K259="","",INDEX('状态价值'!$D3:$K3,MATCH(K259,'状态价值'!$D$1:$K$1,0)))</f>
        <v/>
      </c>
      <c r="M259" s="15">
        <f>NORM.S.INV(RAND())</f>
        <v/>
      </c>
      <c r="N259" s="15">
        <f>IF('组合输入'!$C4="","",'组合输入'!$H4*$B259+SQRT(1-'组合输入'!$H4^2)*M259)</f>
        <v/>
      </c>
      <c r="O259" s="7">
        <f>IF(N259="","",NORM.S.DIST(N259,TRUE))</f>
        <v/>
      </c>
      <c r="P259" s="13">
        <f>IF(O259="","",IF(O259&lt;='组合输入'!$K4,"AAA",IF(O259&lt;='组合输入'!$L4,"AA",IF(O259&lt;='组合输入'!$M4,"A",IF(O259&lt;='组合输入'!$N4,"BBB",IF(O259&lt;='组合输入'!$O4,"BB",IF(O259&lt;='组合输入'!$P4,"B",IF(O259&lt;='组合输入'!$Q4,"CCC","D")))))))</f>
        <v/>
      </c>
      <c r="Q259" s="12">
        <f>IF(P259="","",INDEX('状态价值'!$D4:$K4,MATCH(P259,'状态价值'!$D$1:$K$1,0)))</f>
        <v/>
      </c>
      <c r="R259" s="15">
        <f>NORM.S.INV(RAND())</f>
        <v/>
      </c>
      <c r="S259" s="15">
        <f>IF('组合输入'!$C5="","",'组合输入'!$H5*$B259+SQRT(1-'组合输入'!$H5^2)*R259)</f>
        <v/>
      </c>
      <c r="T259" s="7">
        <f>IF(S259="","",NORM.S.DIST(S259,TRUE))</f>
        <v/>
      </c>
      <c r="U259" s="13">
        <f>IF(T259="","",IF(T259&lt;='组合输入'!$K5,"AAA",IF(T259&lt;='组合输入'!$L5,"AA",IF(T259&lt;='组合输入'!$M5,"A",IF(T259&lt;='组合输入'!$N5,"BBB",IF(T259&lt;='组合输入'!$O5,"BB",IF(T259&lt;='组合输入'!$P5,"B",IF(T259&lt;='组合输入'!$Q5,"CCC","D")))))))</f>
        <v/>
      </c>
      <c r="V259" s="12">
        <f>IF(U259="","",INDEX('状态价值'!$D5:$K5,MATCH(U259,'状态价值'!$D$1:$K$1,0)))</f>
        <v/>
      </c>
      <c r="W259" s="15">
        <f>NORM.S.INV(RAND())</f>
        <v/>
      </c>
      <c r="X259" s="15">
        <f>IF('组合输入'!$C6="","",'组合输入'!$H6*$B259+SQRT(1-'组合输入'!$H6^2)*W259)</f>
        <v/>
      </c>
      <c r="Y259" s="7">
        <f>IF(X259="","",NORM.S.DIST(X259,TRUE))</f>
        <v/>
      </c>
      <c r="Z259" s="13">
        <f>IF(Y259="","",IF(Y259&lt;='组合输入'!$K6,"AAA",IF(Y259&lt;='组合输入'!$L6,"AA",IF(Y259&lt;='组合输入'!$M6,"A",IF(Y259&lt;='组合输入'!$N6,"BBB",IF(Y259&lt;='组合输入'!$O6,"BB",IF(Y259&lt;='组合输入'!$P6,"B",IF(Y259&lt;='组合输入'!$Q6,"CCC","D")))))))</f>
        <v/>
      </c>
      <c r="AA259" s="12">
        <f>IF(Z259="","",INDEX('状态价值'!$D6:$K6,MATCH(Z259,'状态价值'!$D$1:$K$1,0)))</f>
        <v/>
      </c>
      <c r="AB259" s="15">
        <f>NORM.S.INV(RAND())</f>
        <v/>
      </c>
      <c r="AC259" s="15">
        <f>IF('组合输入'!$C7="","",'组合输入'!$H7*$B259+SQRT(1-'组合输入'!$H7^2)*AB259)</f>
        <v/>
      </c>
      <c r="AD259" s="7">
        <f>IF(AC259="","",NORM.S.DIST(AC259,TRUE))</f>
        <v/>
      </c>
      <c r="AE259" s="13">
        <f>IF(AD259="","",IF(AD259&lt;='组合输入'!$K7,"AAA",IF(AD259&lt;='组合输入'!$L7,"AA",IF(AD259&lt;='组合输入'!$M7,"A",IF(AD259&lt;='组合输入'!$N7,"BBB",IF(AD259&lt;='组合输入'!$O7,"BB",IF(AD259&lt;='组合输入'!$P7,"B",IF(AD259&lt;='组合输入'!$Q7,"CCC","D")))))))</f>
        <v/>
      </c>
      <c r="AF259" s="12">
        <f>IF(AE259="","",INDEX('状态价值'!$D7:$K7,MATCH(AE259,'状态价值'!$D$1:$K$1,0)))</f>
        <v/>
      </c>
      <c r="AG259" s="15">
        <f>NORM.S.INV(RAND())</f>
        <v/>
      </c>
      <c r="AH259" s="15">
        <f>IF('组合输入'!$C8="","",'组合输入'!$H8*$B259+SQRT(1-'组合输入'!$H8^2)*AG259)</f>
        <v/>
      </c>
      <c r="AI259" s="7">
        <f>IF(AH259="","",NORM.S.DIST(AH259,TRUE))</f>
        <v/>
      </c>
      <c r="AJ259" s="13">
        <f>IF(AI259="","",IF(AI259&lt;='组合输入'!$K8,"AAA",IF(AI259&lt;='组合输入'!$L8,"AA",IF(AI259&lt;='组合输入'!$M8,"A",IF(AI259&lt;='组合输入'!$N8,"BBB",IF(AI259&lt;='组合输入'!$O8,"BB",IF(AI259&lt;='组合输入'!$P8,"B",IF(AI259&lt;='组合输入'!$Q8,"CCC","D")))))))</f>
        <v/>
      </c>
      <c r="AK259" s="12">
        <f>IF(AJ259="","",INDEX('状态价值'!$D8:$K8,MATCH(AJ259,'状态价值'!$D$1:$K$1,0)))</f>
        <v/>
      </c>
      <c r="AL259" s="15">
        <f>NORM.S.INV(RAND())</f>
        <v/>
      </c>
      <c r="AM259" s="15">
        <f>IF('组合输入'!$C9="","",'组合输入'!$H9*$B259+SQRT(1-'组合输入'!$H9^2)*AL259)</f>
        <v/>
      </c>
      <c r="AN259" s="7">
        <f>IF(AM259="","",NORM.S.DIST(AM259,TRUE))</f>
        <v/>
      </c>
      <c r="AO259" s="13">
        <f>IF(AN259="","",IF(AN259&lt;='组合输入'!$K9,"AAA",IF(AN259&lt;='组合输入'!$L9,"AA",IF(AN259&lt;='组合输入'!$M9,"A",IF(AN259&lt;='组合输入'!$N9,"BBB",IF(AN259&lt;='组合输入'!$O9,"BB",IF(AN259&lt;='组合输入'!$P9,"B",IF(AN259&lt;='组合输入'!$Q9,"CCC","D")))))))</f>
        <v/>
      </c>
      <c r="AP259" s="12">
        <f>IF(AO259="","",INDEX('状态价值'!$D9:$K9,MATCH(AO259,'状态价值'!$D$1:$K$1,0)))</f>
        <v/>
      </c>
      <c r="AQ259" s="15">
        <f>NORM.S.INV(RAND())</f>
        <v/>
      </c>
      <c r="AR259" s="15">
        <f>IF('组合输入'!$C10="","",'组合输入'!$H10*$B259+SQRT(1-'组合输入'!$H10^2)*AQ259)</f>
        <v/>
      </c>
      <c r="AS259" s="7">
        <f>IF(AR259="","",NORM.S.DIST(AR259,TRUE))</f>
        <v/>
      </c>
      <c r="AT259" s="13">
        <f>IF(AS259="","",IF(AS259&lt;='组合输入'!$K10,"AAA",IF(AS259&lt;='组合输入'!$L10,"AA",IF(AS259&lt;='组合输入'!$M10,"A",IF(AS259&lt;='组合输入'!$N10,"BBB",IF(AS259&lt;='组合输入'!$O10,"BB",IF(AS259&lt;='组合输入'!$P10,"B",IF(AS259&lt;='组合输入'!$Q10,"CCC","D")))))))</f>
        <v/>
      </c>
      <c r="AU259" s="12">
        <f>IF(AT259="","",INDEX('状态价值'!$D10:$K10,MATCH(AT259,'状态价值'!$D$1:$K$1,0)))</f>
        <v/>
      </c>
      <c r="AV259" s="15">
        <f>NORM.S.INV(RAND())</f>
        <v/>
      </c>
      <c r="AW259" s="15">
        <f>IF('组合输入'!$C11="","",'组合输入'!$H11*$B259+SQRT(1-'组合输入'!$H11^2)*AV259)</f>
        <v/>
      </c>
      <c r="AX259" s="7">
        <f>IF(AW259="","",NORM.S.DIST(AW259,TRUE))</f>
        <v/>
      </c>
      <c r="AY259" s="13">
        <f>IF(AX259="","",IF(AX259&lt;='组合输入'!$K11,"AAA",IF(AX259&lt;='组合输入'!$L11,"AA",IF(AX259&lt;='组合输入'!$M11,"A",IF(AX259&lt;='组合输入'!$N11,"BBB",IF(AX259&lt;='组合输入'!$O11,"BB",IF(AX259&lt;='组合输入'!$P11,"B",IF(AX259&lt;='组合输入'!$Q11,"CCC","D")))))))</f>
        <v/>
      </c>
      <c r="AZ259" s="12">
        <f>IF(AY259="","",INDEX('状态价值'!$D11:$K11,MATCH(AY259,'状态价值'!$D$1:$K$1,0)))</f>
        <v/>
      </c>
      <c r="BA259" s="12">
        <f>G259+L259+Q259+V259+AA259+AF259+AK259+AP259+AU259+AZ259</f>
        <v/>
      </c>
      <c r="BB259" s="12">
        <f>SUM('组合输入'!$J$2:$J$11)-BA259</f>
        <v/>
      </c>
    </row>
    <row r="260">
      <c r="A260" s="11" t="n">
        <v>259</v>
      </c>
      <c r="B260" s="14">
        <f>NORM.S.INV(RAND())</f>
        <v/>
      </c>
      <c r="C260" s="14">
        <f>NORM.S.INV(RAND())</f>
        <v/>
      </c>
      <c r="D260" s="15">
        <f>IF('组合输入'!$C2="","",'组合输入'!$H2*$B260+SQRT(1-'组合输入'!$H2^2)*C260)</f>
        <v/>
      </c>
      <c r="E260" s="7">
        <f>IF(D260="","",NORM.S.DIST(D260,TRUE))</f>
        <v/>
      </c>
      <c r="F260" s="13">
        <f>IF(E260="","",IF(E260&lt;='组合输入'!$K2,"AAA",IF(E260&lt;='组合输入'!$L2,"AA",IF(E260&lt;='组合输入'!$M2,"A",IF(E260&lt;='组合输入'!$N2,"BBB",IF(E260&lt;='组合输入'!$O2,"BB",IF(E260&lt;='组合输入'!$P2,"B",IF(E260&lt;='组合输入'!$Q2,"CCC","D")))))))</f>
        <v/>
      </c>
      <c r="G260" s="12">
        <f>IF(F260="","",INDEX('状态价值'!$D2:$K2,MATCH(F260,'状态价值'!$D$1:$K$1,0)))</f>
        <v/>
      </c>
      <c r="H260" s="15">
        <f>NORM.S.INV(RAND())</f>
        <v/>
      </c>
      <c r="I260" s="15">
        <f>IF('组合输入'!$C3="","",'组合输入'!$H3*$B260+SQRT(1-'组合输入'!$H3^2)*H260)</f>
        <v/>
      </c>
      <c r="J260" s="7">
        <f>IF(I260="","",NORM.S.DIST(I260,TRUE))</f>
        <v/>
      </c>
      <c r="K260" s="13">
        <f>IF(J260="","",IF(J260&lt;='组合输入'!$K3,"AAA",IF(J260&lt;='组合输入'!$L3,"AA",IF(J260&lt;='组合输入'!$M3,"A",IF(J260&lt;='组合输入'!$N3,"BBB",IF(J260&lt;='组合输入'!$O3,"BB",IF(J260&lt;='组合输入'!$P3,"B",IF(J260&lt;='组合输入'!$Q3,"CCC","D")))))))</f>
        <v/>
      </c>
      <c r="L260" s="12">
        <f>IF(K260="","",INDEX('状态价值'!$D3:$K3,MATCH(K260,'状态价值'!$D$1:$K$1,0)))</f>
        <v/>
      </c>
      <c r="M260" s="15">
        <f>NORM.S.INV(RAND())</f>
        <v/>
      </c>
      <c r="N260" s="15">
        <f>IF('组合输入'!$C4="","",'组合输入'!$H4*$B260+SQRT(1-'组合输入'!$H4^2)*M260)</f>
        <v/>
      </c>
      <c r="O260" s="7">
        <f>IF(N260="","",NORM.S.DIST(N260,TRUE))</f>
        <v/>
      </c>
      <c r="P260" s="13">
        <f>IF(O260="","",IF(O260&lt;='组合输入'!$K4,"AAA",IF(O260&lt;='组合输入'!$L4,"AA",IF(O260&lt;='组合输入'!$M4,"A",IF(O260&lt;='组合输入'!$N4,"BBB",IF(O260&lt;='组合输入'!$O4,"BB",IF(O260&lt;='组合输入'!$P4,"B",IF(O260&lt;='组合输入'!$Q4,"CCC","D")))))))</f>
        <v/>
      </c>
      <c r="Q260" s="12">
        <f>IF(P260="","",INDEX('状态价值'!$D4:$K4,MATCH(P260,'状态价值'!$D$1:$K$1,0)))</f>
        <v/>
      </c>
      <c r="R260" s="15">
        <f>NORM.S.INV(RAND())</f>
        <v/>
      </c>
      <c r="S260" s="15">
        <f>IF('组合输入'!$C5="","",'组合输入'!$H5*$B260+SQRT(1-'组合输入'!$H5^2)*R260)</f>
        <v/>
      </c>
      <c r="T260" s="7">
        <f>IF(S260="","",NORM.S.DIST(S260,TRUE))</f>
        <v/>
      </c>
      <c r="U260" s="13">
        <f>IF(T260="","",IF(T260&lt;='组合输入'!$K5,"AAA",IF(T260&lt;='组合输入'!$L5,"AA",IF(T260&lt;='组合输入'!$M5,"A",IF(T260&lt;='组合输入'!$N5,"BBB",IF(T260&lt;='组合输入'!$O5,"BB",IF(T260&lt;='组合输入'!$P5,"B",IF(T260&lt;='组合输入'!$Q5,"CCC","D")))))))</f>
        <v/>
      </c>
      <c r="V260" s="12">
        <f>IF(U260="","",INDEX('状态价值'!$D5:$K5,MATCH(U260,'状态价值'!$D$1:$K$1,0)))</f>
        <v/>
      </c>
      <c r="W260" s="15">
        <f>NORM.S.INV(RAND())</f>
        <v/>
      </c>
      <c r="X260" s="15">
        <f>IF('组合输入'!$C6="","",'组合输入'!$H6*$B260+SQRT(1-'组合输入'!$H6^2)*W260)</f>
        <v/>
      </c>
      <c r="Y260" s="7">
        <f>IF(X260="","",NORM.S.DIST(X260,TRUE))</f>
        <v/>
      </c>
      <c r="Z260" s="13">
        <f>IF(Y260="","",IF(Y260&lt;='组合输入'!$K6,"AAA",IF(Y260&lt;='组合输入'!$L6,"AA",IF(Y260&lt;='组合输入'!$M6,"A",IF(Y260&lt;='组合输入'!$N6,"BBB",IF(Y260&lt;='组合输入'!$O6,"BB",IF(Y260&lt;='组合输入'!$P6,"B",IF(Y260&lt;='组合输入'!$Q6,"CCC","D")))))))</f>
        <v/>
      </c>
      <c r="AA260" s="12">
        <f>IF(Z260="","",INDEX('状态价值'!$D6:$K6,MATCH(Z260,'状态价值'!$D$1:$K$1,0)))</f>
        <v/>
      </c>
      <c r="AB260" s="15">
        <f>NORM.S.INV(RAND())</f>
        <v/>
      </c>
      <c r="AC260" s="15">
        <f>IF('组合输入'!$C7="","",'组合输入'!$H7*$B260+SQRT(1-'组合输入'!$H7^2)*AB260)</f>
        <v/>
      </c>
      <c r="AD260" s="7">
        <f>IF(AC260="","",NORM.S.DIST(AC260,TRUE))</f>
        <v/>
      </c>
      <c r="AE260" s="13">
        <f>IF(AD260="","",IF(AD260&lt;='组合输入'!$K7,"AAA",IF(AD260&lt;='组合输入'!$L7,"AA",IF(AD260&lt;='组合输入'!$M7,"A",IF(AD260&lt;='组合输入'!$N7,"BBB",IF(AD260&lt;='组合输入'!$O7,"BB",IF(AD260&lt;='组合输入'!$P7,"B",IF(AD260&lt;='组合输入'!$Q7,"CCC","D")))))))</f>
        <v/>
      </c>
      <c r="AF260" s="12">
        <f>IF(AE260="","",INDEX('状态价值'!$D7:$K7,MATCH(AE260,'状态价值'!$D$1:$K$1,0)))</f>
        <v/>
      </c>
      <c r="AG260" s="15">
        <f>NORM.S.INV(RAND())</f>
        <v/>
      </c>
      <c r="AH260" s="15">
        <f>IF('组合输入'!$C8="","",'组合输入'!$H8*$B260+SQRT(1-'组合输入'!$H8^2)*AG260)</f>
        <v/>
      </c>
      <c r="AI260" s="7">
        <f>IF(AH260="","",NORM.S.DIST(AH260,TRUE))</f>
        <v/>
      </c>
      <c r="AJ260" s="13">
        <f>IF(AI260="","",IF(AI260&lt;='组合输入'!$K8,"AAA",IF(AI260&lt;='组合输入'!$L8,"AA",IF(AI260&lt;='组合输入'!$M8,"A",IF(AI260&lt;='组合输入'!$N8,"BBB",IF(AI260&lt;='组合输入'!$O8,"BB",IF(AI260&lt;='组合输入'!$P8,"B",IF(AI260&lt;='组合输入'!$Q8,"CCC","D")))))))</f>
        <v/>
      </c>
      <c r="AK260" s="12">
        <f>IF(AJ260="","",INDEX('状态价值'!$D8:$K8,MATCH(AJ260,'状态价值'!$D$1:$K$1,0)))</f>
        <v/>
      </c>
      <c r="AL260" s="15">
        <f>NORM.S.INV(RAND())</f>
        <v/>
      </c>
      <c r="AM260" s="15">
        <f>IF('组合输入'!$C9="","",'组合输入'!$H9*$B260+SQRT(1-'组合输入'!$H9^2)*AL260)</f>
        <v/>
      </c>
      <c r="AN260" s="7">
        <f>IF(AM260="","",NORM.S.DIST(AM260,TRUE))</f>
        <v/>
      </c>
      <c r="AO260" s="13">
        <f>IF(AN260="","",IF(AN260&lt;='组合输入'!$K9,"AAA",IF(AN260&lt;='组合输入'!$L9,"AA",IF(AN260&lt;='组合输入'!$M9,"A",IF(AN260&lt;='组合输入'!$N9,"BBB",IF(AN260&lt;='组合输入'!$O9,"BB",IF(AN260&lt;='组合输入'!$P9,"B",IF(AN260&lt;='组合输入'!$Q9,"CCC","D")))))))</f>
        <v/>
      </c>
      <c r="AP260" s="12">
        <f>IF(AO260="","",INDEX('状态价值'!$D9:$K9,MATCH(AO260,'状态价值'!$D$1:$K$1,0)))</f>
        <v/>
      </c>
      <c r="AQ260" s="15">
        <f>NORM.S.INV(RAND())</f>
        <v/>
      </c>
      <c r="AR260" s="15">
        <f>IF('组合输入'!$C10="","",'组合输入'!$H10*$B260+SQRT(1-'组合输入'!$H10^2)*AQ260)</f>
        <v/>
      </c>
      <c r="AS260" s="7">
        <f>IF(AR260="","",NORM.S.DIST(AR260,TRUE))</f>
        <v/>
      </c>
      <c r="AT260" s="13">
        <f>IF(AS260="","",IF(AS260&lt;='组合输入'!$K10,"AAA",IF(AS260&lt;='组合输入'!$L10,"AA",IF(AS260&lt;='组合输入'!$M10,"A",IF(AS260&lt;='组合输入'!$N10,"BBB",IF(AS260&lt;='组合输入'!$O10,"BB",IF(AS260&lt;='组合输入'!$P10,"B",IF(AS260&lt;='组合输入'!$Q10,"CCC","D")))))))</f>
        <v/>
      </c>
      <c r="AU260" s="12">
        <f>IF(AT260="","",INDEX('状态价值'!$D10:$K10,MATCH(AT260,'状态价值'!$D$1:$K$1,0)))</f>
        <v/>
      </c>
      <c r="AV260" s="15">
        <f>NORM.S.INV(RAND())</f>
        <v/>
      </c>
      <c r="AW260" s="15">
        <f>IF('组合输入'!$C11="","",'组合输入'!$H11*$B260+SQRT(1-'组合输入'!$H11^2)*AV260)</f>
        <v/>
      </c>
      <c r="AX260" s="7">
        <f>IF(AW260="","",NORM.S.DIST(AW260,TRUE))</f>
        <v/>
      </c>
      <c r="AY260" s="13">
        <f>IF(AX260="","",IF(AX260&lt;='组合输入'!$K11,"AAA",IF(AX260&lt;='组合输入'!$L11,"AA",IF(AX260&lt;='组合输入'!$M11,"A",IF(AX260&lt;='组合输入'!$N11,"BBB",IF(AX260&lt;='组合输入'!$O11,"BB",IF(AX260&lt;='组合输入'!$P11,"B",IF(AX260&lt;='组合输入'!$Q11,"CCC","D")))))))</f>
        <v/>
      </c>
      <c r="AZ260" s="12">
        <f>IF(AY260="","",INDEX('状态价值'!$D11:$K11,MATCH(AY260,'状态价值'!$D$1:$K$1,0)))</f>
        <v/>
      </c>
      <c r="BA260" s="12">
        <f>G260+L260+Q260+V260+AA260+AF260+AK260+AP260+AU260+AZ260</f>
        <v/>
      </c>
      <c r="BB260" s="12">
        <f>SUM('组合输入'!$J$2:$J$11)-BA260</f>
        <v/>
      </c>
    </row>
    <row r="261">
      <c r="A261" s="11" t="n">
        <v>260</v>
      </c>
      <c r="B261" s="14">
        <f>NORM.S.INV(RAND())</f>
        <v/>
      </c>
      <c r="C261" s="14">
        <f>NORM.S.INV(RAND())</f>
        <v/>
      </c>
      <c r="D261" s="15">
        <f>IF('组合输入'!$C2="","",'组合输入'!$H2*$B261+SQRT(1-'组合输入'!$H2^2)*C261)</f>
        <v/>
      </c>
      <c r="E261" s="7">
        <f>IF(D261="","",NORM.S.DIST(D261,TRUE))</f>
        <v/>
      </c>
      <c r="F261" s="13">
        <f>IF(E261="","",IF(E261&lt;='组合输入'!$K2,"AAA",IF(E261&lt;='组合输入'!$L2,"AA",IF(E261&lt;='组合输入'!$M2,"A",IF(E261&lt;='组合输入'!$N2,"BBB",IF(E261&lt;='组合输入'!$O2,"BB",IF(E261&lt;='组合输入'!$P2,"B",IF(E261&lt;='组合输入'!$Q2,"CCC","D")))))))</f>
        <v/>
      </c>
      <c r="G261" s="12">
        <f>IF(F261="","",INDEX('状态价值'!$D2:$K2,MATCH(F261,'状态价值'!$D$1:$K$1,0)))</f>
        <v/>
      </c>
      <c r="H261" s="15">
        <f>NORM.S.INV(RAND())</f>
        <v/>
      </c>
      <c r="I261" s="15">
        <f>IF('组合输入'!$C3="","",'组合输入'!$H3*$B261+SQRT(1-'组合输入'!$H3^2)*H261)</f>
        <v/>
      </c>
      <c r="J261" s="7">
        <f>IF(I261="","",NORM.S.DIST(I261,TRUE))</f>
        <v/>
      </c>
      <c r="K261" s="13">
        <f>IF(J261="","",IF(J261&lt;='组合输入'!$K3,"AAA",IF(J261&lt;='组合输入'!$L3,"AA",IF(J261&lt;='组合输入'!$M3,"A",IF(J261&lt;='组合输入'!$N3,"BBB",IF(J261&lt;='组合输入'!$O3,"BB",IF(J261&lt;='组合输入'!$P3,"B",IF(J261&lt;='组合输入'!$Q3,"CCC","D")))))))</f>
        <v/>
      </c>
      <c r="L261" s="12">
        <f>IF(K261="","",INDEX('状态价值'!$D3:$K3,MATCH(K261,'状态价值'!$D$1:$K$1,0)))</f>
        <v/>
      </c>
      <c r="M261" s="15">
        <f>NORM.S.INV(RAND())</f>
        <v/>
      </c>
      <c r="N261" s="15">
        <f>IF('组合输入'!$C4="","",'组合输入'!$H4*$B261+SQRT(1-'组合输入'!$H4^2)*M261)</f>
        <v/>
      </c>
      <c r="O261" s="7">
        <f>IF(N261="","",NORM.S.DIST(N261,TRUE))</f>
        <v/>
      </c>
      <c r="P261" s="13">
        <f>IF(O261="","",IF(O261&lt;='组合输入'!$K4,"AAA",IF(O261&lt;='组合输入'!$L4,"AA",IF(O261&lt;='组合输入'!$M4,"A",IF(O261&lt;='组合输入'!$N4,"BBB",IF(O261&lt;='组合输入'!$O4,"BB",IF(O261&lt;='组合输入'!$P4,"B",IF(O261&lt;='组合输入'!$Q4,"CCC","D")))))))</f>
        <v/>
      </c>
      <c r="Q261" s="12">
        <f>IF(P261="","",INDEX('状态价值'!$D4:$K4,MATCH(P261,'状态价值'!$D$1:$K$1,0)))</f>
        <v/>
      </c>
      <c r="R261" s="15">
        <f>NORM.S.INV(RAND())</f>
        <v/>
      </c>
      <c r="S261" s="15">
        <f>IF('组合输入'!$C5="","",'组合输入'!$H5*$B261+SQRT(1-'组合输入'!$H5^2)*R261)</f>
        <v/>
      </c>
      <c r="T261" s="7">
        <f>IF(S261="","",NORM.S.DIST(S261,TRUE))</f>
        <v/>
      </c>
      <c r="U261" s="13">
        <f>IF(T261="","",IF(T261&lt;='组合输入'!$K5,"AAA",IF(T261&lt;='组合输入'!$L5,"AA",IF(T261&lt;='组合输入'!$M5,"A",IF(T261&lt;='组合输入'!$N5,"BBB",IF(T261&lt;='组合输入'!$O5,"BB",IF(T261&lt;='组合输入'!$P5,"B",IF(T261&lt;='组合输入'!$Q5,"CCC","D")))))))</f>
        <v/>
      </c>
      <c r="V261" s="12">
        <f>IF(U261="","",INDEX('状态价值'!$D5:$K5,MATCH(U261,'状态价值'!$D$1:$K$1,0)))</f>
        <v/>
      </c>
      <c r="W261" s="15">
        <f>NORM.S.INV(RAND())</f>
        <v/>
      </c>
      <c r="X261" s="15">
        <f>IF('组合输入'!$C6="","",'组合输入'!$H6*$B261+SQRT(1-'组合输入'!$H6^2)*W261)</f>
        <v/>
      </c>
      <c r="Y261" s="7">
        <f>IF(X261="","",NORM.S.DIST(X261,TRUE))</f>
        <v/>
      </c>
      <c r="Z261" s="13">
        <f>IF(Y261="","",IF(Y261&lt;='组合输入'!$K6,"AAA",IF(Y261&lt;='组合输入'!$L6,"AA",IF(Y261&lt;='组合输入'!$M6,"A",IF(Y261&lt;='组合输入'!$N6,"BBB",IF(Y261&lt;='组合输入'!$O6,"BB",IF(Y261&lt;='组合输入'!$P6,"B",IF(Y261&lt;='组合输入'!$Q6,"CCC","D")))))))</f>
        <v/>
      </c>
      <c r="AA261" s="12">
        <f>IF(Z261="","",INDEX('状态价值'!$D6:$K6,MATCH(Z261,'状态价值'!$D$1:$K$1,0)))</f>
        <v/>
      </c>
      <c r="AB261" s="15">
        <f>NORM.S.INV(RAND())</f>
        <v/>
      </c>
      <c r="AC261" s="15">
        <f>IF('组合输入'!$C7="","",'组合输入'!$H7*$B261+SQRT(1-'组合输入'!$H7^2)*AB261)</f>
        <v/>
      </c>
      <c r="AD261" s="7">
        <f>IF(AC261="","",NORM.S.DIST(AC261,TRUE))</f>
        <v/>
      </c>
      <c r="AE261" s="13">
        <f>IF(AD261="","",IF(AD261&lt;='组合输入'!$K7,"AAA",IF(AD261&lt;='组合输入'!$L7,"AA",IF(AD261&lt;='组合输入'!$M7,"A",IF(AD261&lt;='组合输入'!$N7,"BBB",IF(AD261&lt;='组合输入'!$O7,"BB",IF(AD261&lt;='组合输入'!$P7,"B",IF(AD261&lt;='组合输入'!$Q7,"CCC","D")))))))</f>
        <v/>
      </c>
      <c r="AF261" s="12">
        <f>IF(AE261="","",INDEX('状态价值'!$D7:$K7,MATCH(AE261,'状态价值'!$D$1:$K$1,0)))</f>
        <v/>
      </c>
      <c r="AG261" s="15">
        <f>NORM.S.INV(RAND())</f>
        <v/>
      </c>
      <c r="AH261" s="15">
        <f>IF('组合输入'!$C8="","",'组合输入'!$H8*$B261+SQRT(1-'组合输入'!$H8^2)*AG261)</f>
        <v/>
      </c>
      <c r="AI261" s="7">
        <f>IF(AH261="","",NORM.S.DIST(AH261,TRUE))</f>
        <v/>
      </c>
      <c r="AJ261" s="13">
        <f>IF(AI261="","",IF(AI261&lt;='组合输入'!$K8,"AAA",IF(AI261&lt;='组合输入'!$L8,"AA",IF(AI261&lt;='组合输入'!$M8,"A",IF(AI261&lt;='组合输入'!$N8,"BBB",IF(AI261&lt;='组合输入'!$O8,"BB",IF(AI261&lt;='组合输入'!$P8,"B",IF(AI261&lt;='组合输入'!$Q8,"CCC","D")))))))</f>
        <v/>
      </c>
      <c r="AK261" s="12">
        <f>IF(AJ261="","",INDEX('状态价值'!$D8:$K8,MATCH(AJ261,'状态价值'!$D$1:$K$1,0)))</f>
        <v/>
      </c>
      <c r="AL261" s="15">
        <f>NORM.S.INV(RAND())</f>
        <v/>
      </c>
      <c r="AM261" s="15">
        <f>IF('组合输入'!$C9="","",'组合输入'!$H9*$B261+SQRT(1-'组合输入'!$H9^2)*AL261)</f>
        <v/>
      </c>
      <c r="AN261" s="7">
        <f>IF(AM261="","",NORM.S.DIST(AM261,TRUE))</f>
        <v/>
      </c>
      <c r="AO261" s="13">
        <f>IF(AN261="","",IF(AN261&lt;='组合输入'!$K9,"AAA",IF(AN261&lt;='组合输入'!$L9,"AA",IF(AN261&lt;='组合输入'!$M9,"A",IF(AN261&lt;='组合输入'!$N9,"BBB",IF(AN261&lt;='组合输入'!$O9,"BB",IF(AN261&lt;='组合输入'!$P9,"B",IF(AN261&lt;='组合输入'!$Q9,"CCC","D")))))))</f>
        <v/>
      </c>
      <c r="AP261" s="12">
        <f>IF(AO261="","",INDEX('状态价值'!$D9:$K9,MATCH(AO261,'状态价值'!$D$1:$K$1,0)))</f>
        <v/>
      </c>
      <c r="AQ261" s="15">
        <f>NORM.S.INV(RAND())</f>
        <v/>
      </c>
      <c r="AR261" s="15">
        <f>IF('组合输入'!$C10="","",'组合输入'!$H10*$B261+SQRT(1-'组合输入'!$H10^2)*AQ261)</f>
        <v/>
      </c>
      <c r="AS261" s="7">
        <f>IF(AR261="","",NORM.S.DIST(AR261,TRUE))</f>
        <v/>
      </c>
      <c r="AT261" s="13">
        <f>IF(AS261="","",IF(AS261&lt;='组合输入'!$K10,"AAA",IF(AS261&lt;='组合输入'!$L10,"AA",IF(AS261&lt;='组合输入'!$M10,"A",IF(AS261&lt;='组合输入'!$N10,"BBB",IF(AS261&lt;='组合输入'!$O10,"BB",IF(AS261&lt;='组合输入'!$P10,"B",IF(AS261&lt;='组合输入'!$Q10,"CCC","D")))))))</f>
        <v/>
      </c>
      <c r="AU261" s="12">
        <f>IF(AT261="","",INDEX('状态价值'!$D10:$K10,MATCH(AT261,'状态价值'!$D$1:$K$1,0)))</f>
        <v/>
      </c>
      <c r="AV261" s="15">
        <f>NORM.S.INV(RAND())</f>
        <v/>
      </c>
      <c r="AW261" s="15">
        <f>IF('组合输入'!$C11="","",'组合输入'!$H11*$B261+SQRT(1-'组合输入'!$H11^2)*AV261)</f>
        <v/>
      </c>
      <c r="AX261" s="7">
        <f>IF(AW261="","",NORM.S.DIST(AW261,TRUE))</f>
        <v/>
      </c>
      <c r="AY261" s="13">
        <f>IF(AX261="","",IF(AX261&lt;='组合输入'!$K11,"AAA",IF(AX261&lt;='组合输入'!$L11,"AA",IF(AX261&lt;='组合输入'!$M11,"A",IF(AX261&lt;='组合输入'!$N11,"BBB",IF(AX261&lt;='组合输入'!$O11,"BB",IF(AX261&lt;='组合输入'!$P11,"B",IF(AX261&lt;='组合输入'!$Q11,"CCC","D")))))))</f>
        <v/>
      </c>
      <c r="AZ261" s="12">
        <f>IF(AY261="","",INDEX('状态价值'!$D11:$K11,MATCH(AY261,'状态价值'!$D$1:$K$1,0)))</f>
        <v/>
      </c>
      <c r="BA261" s="12">
        <f>G261+L261+Q261+V261+AA261+AF261+AK261+AP261+AU261+AZ261</f>
        <v/>
      </c>
      <c r="BB261" s="12">
        <f>SUM('组合输入'!$J$2:$J$11)-BA261</f>
        <v/>
      </c>
    </row>
    <row r="262">
      <c r="A262" s="11" t="n">
        <v>261</v>
      </c>
      <c r="B262" s="14">
        <f>NORM.S.INV(RAND())</f>
        <v/>
      </c>
      <c r="C262" s="14">
        <f>NORM.S.INV(RAND())</f>
        <v/>
      </c>
      <c r="D262" s="15">
        <f>IF('组合输入'!$C2="","",'组合输入'!$H2*$B262+SQRT(1-'组合输入'!$H2^2)*C262)</f>
        <v/>
      </c>
      <c r="E262" s="7">
        <f>IF(D262="","",NORM.S.DIST(D262,TRUE))</f>
        <v/>
      </c>
      <c r="F262" s="13">
        <f>IF(E262="","",IF(E262&lt;='组合输入'!$K2,"AAA",IF(E262&lt;='组合输入'!$L2,"AA",IF(E262&lt;='组合输入'!$M2,"A",IF(E262&lt;='组合输入'!$N2,"BBB",IF(E262&lt;='组合输入'!$O2,"BB",IF(E262&lt;='组合输入'!$P2,"B",IF(E262&lt;='组合输入'!$Q2,"CCC","D")))))))</f>
        <v/>
      </c>
      <c r="G262" s="12">
        <f>IF(F262="","",INDEX('状态价值'!$D2:$K2,MATCH(F262,'状态价值'!$D$1:$K$1,0)))</f>
        <v/>
      </c>
      <c r="H262" s="15">
        <f>NORM.S.INV(RAND())</f>
        <v/>
      </c>
      <c r="I262" s="15">
        <f>IF('组合输入'!$C3="","",'组合输入'!$H3*$B262+SQRT(1-'组合输入'!$H3^2)*H262)</f>
        <v/>
      </c>
      <c r="J262" s="7">
        <f>IF(I262="","",NORM.S.DIST(I262,TRUE))</f>
        <v/>
      </c>
      <c r="K262" s="13">
        <f>IF(J262="","",IF(J262&lt;='组合输入'!$K3,"AAA",IF(J262&lt;='组合输入'!$L3,"AA",IF(J262&lt;='组合输入'!$M3,"A",IF(J262&lt;='组合输入'!$N3,"BBB",IF(J262&lt;='组合输入'!$O3,"BB",IF(J262&lt;='组合输入'!$P3,"B",IF(J262&lt;='组合输入'!$Q3,"CCC","D")))))))</f>
        <v/>
      </c>
      <c r="L262" s="12">
        <f>IF(K262="","",INDEX('状态价值'!$D3:$K3,MATCH(K262,'状态价值'!$D$1:$K$1,0)))</f>
        <v/>
      </c>
      <c r="M262" s="15">
        <f>NORM.S.INV(RAND())</f>
        <v/>
      </c>
      <c r="N262" s="15">
        <f>IF('组合输入'!$C4="","",'组合输入'!$H4*$B262+SQRT(1-'组合输入'!$H4^2)*M262)</f>
        <v/>
      </c>
      <c r="O262" s="7">
        <f>IF(N262="","",NORM.S.DIST(N262,TRUE))</f>
        <v/>
      </c>
      <c r="P262" s="13">
        <f>IF(O262="","",IF(O262&lt;='组合输入'!$K4,"AAA",IF(O262&lt;='组合输入'!$L4,"AA",IF(O262&lt;='组合输入'!$M4,"A",IF(O262&lt;='组合输入'!$N4,"BBB",IF(O262&lt;='组合输入'!$O4,"BB",IF(O262&lt;='组合输入'!$P4,"B",IF(O262&lt;='组合输入'!$Q4,"CCC","D")))))))</f>
        <v/>
      </c>
      <c r="Q262" s="12">
        <f>IF(P262="","",INDEX('状态价值'!$D4:$K4,MATCH(P262,'状态价值'!$D$1:$K$1,0)))</f>
        <v/>
      </c>
      <c r="R262" s="15">
        <f>NORM.S.INV(RAND())</f>
        <v/>
      </c>
      <c r="S262" s="15">
        <f>IF('组合输入'!$C5="","",'组合输入'!$H5*$B262+SQRT(1-'组合输入'!$H5^2)*R262)</f>
        <v/>
      </c>
      <c r="T262" s="7">
        <f>IF(S262="","",NORM.S.DIST(S262,TRUE))</f>
        <v/>
      </c>
      <c r="U262" s="13">
        <f>IF(T262="","",IF(T262&lt;='组合输入'!$K5,"AAA",IF(T262&lt;='组合输入'!$L5,"AA",IF(T262&lt;='组合输入'!$M5,"A",IF(T262&lt;='组合输入'!$N5,"BBB",IF(T262&lt;='组合输入'!$O5,"BB",IF(T262&lt;='组合输入'!$P5,"B",IF(T262&lt;='组合输入'!$Q5,"CCC","D")))))))</f>
        <v/>
      </c>
      <c r="V262" s="12">
        <f>IF(U262="","",INDEX('状态价值'!$D5:$K5,MATCH(U262,'状态价值'!$D$1:$K$1,0)))</f>
        <v/>
      </c>
      <c r="W262" s="15">
        <f>NORM.S.INV(RAND())</f>
        <v/>
      </c>
      <c r="X262" s="15">
        <f>IF('组合输入'!$C6="","",'组合输入'!$H6*$B262+SQRT(1-'组合输入'!$H6^2)*W262)</f>
        <v/>
      </c>
      <c r="Y262" s="7">
        <f>IF(X262="","",NORM.S.DIST(X262,TRUE))</f>
        <v/>
      </c>
      <c r="Z262" s="13">
        <f>IF(Y262="","",IF(Y262&lt;='组合输入'!$K6,"AAA",IF(Y262&lt;='组合输入'!$L6,"AA",IF(Y262&lt;='组合输入'!$M6,"A",IF(Y262&lt;='组合输入'!$N6,"BBB",IF(Y262&lt;='组合输入'!$O6,"BB",IF(Y262&lt;='组合输入'!$P6,"B",IF(Y262&lt;='组合输入'!$Q6,"CCC","D")))))))</f>
        <v/>
      </c>
      <c r="AA262" s="12">
        <f>IF(Z262="","",INDEX('状态价值'!$D6:$K6,MATCH(Z262,'状态价值'!$D$1:$K$1,0)))</f>
        <v/>
      </c>
      <c r="AB262" s="15">
        <f>NORM.S.INV(RAND())</f>
        <v/>
      </c>
      <c r="AC262" s="15">
        <f>IF('组合输入'!$C7="","",'组合输入'!$H7*$B262+SQRT(1-'组合输入'!$H7^2)*AB262)</f>
        <v/>
      </c>
      <c r="AD262" s="7">
        <f>IF(AC262="","",NORM.S.DIST(AC262,TRUE))</f>
        <v/>
      </c>
      <c r="AE262" s="13">
        <f>IF(AD262="","",IF(AD262&lt;='组合输入'!$K7,"AAA",IF(AD262&lt;='组合输入'!$L7,"AA",IF(AD262&lt;='组合输入'!$M7,"A",IF(AD262&lt;='组合输入'!$N7,"BBB",IF(AD262&lt;='组合输入'!$O7,"BB",IF(AD262&lt;='组合输入'!$P7,"B",IF(AD262&lt;='组合输入'!$Q7,"CCC","D")))))))</f>
        <v/>
      </c>
      <c r="AF262" s="12">
        <f>IF(AE262="","",INDEX('状态价值'!$D7:$K7,MATCH(AE262,'状态价值'!$D$1:$K$1,0)))</f>
        <v/>
      </c>
      <c r="AG262" s="15">
        <f>NORM.S.INV(RAND())</f>
        <v/>
      </c>
      <c r="AH262" s="15">
        <f>IF('组合输入'!$C8="","",'组合输入'!$H8*$B262+SQRT(1-'组合输入'!$H8^2)*AG262)</f>
        <v/>
      </c>
      <c r="AI262" s="7">
        <f>IF(AH262="","",NORM.S.DIST(AH262,TRUE))</f>
        <v/>
      </c>
      <c r="AJ262" s="13">
        <f>IF(AI262="","",IF(AI262&lt;='组合输入'!$K8,"AAA",IF(AI262&lt;='组合输入'!$L8,"AA",IF(AI262&lt;='组合输入'!$M8,"A",IF(AI262&lt;='组合输入'!$N8,"BBB",IF(AI262&lt;='组合输入'!$O8,"BB",IF(AI262&lt;='组合输入'!$P8,"B",IF(AI262&lt;='组合输入'!$Q8,"CCC","D")))))))</f>
        <v/>
      </c>
      <c r="AK262" s="12">
        <f>IF(AJ262="","",INDEX('状态价值'!$D8:$K8,MATCH(AJ262,'状态价值'!$D$1:$K$1,0)))</f>
        <v/>
      </c>
      <c r="AL262" s="15">
        <f>NORM.S.INV(RAND())</f>
        <v/>
      </c>
      <c r="AM262" s="15">
        <f>IF('组合输入'!$C9="","",'组合输入'!$H9*$B262+SQRT(1-'组合输入'!$H9^2)*AL262)</f>
        <v/>
      </c>
      <c r="AN262" s="7">
        <f>IF(AM262="","",NORM.S.DIST(AM262,TRUE))</f>
        <v/>
      </c>
      <c r="AO262" s="13">
        <f>IF(AN262="","",IF(AN262&lt;='组合输入'!$K9,"AAA",IF(AN262&lt;='组合输入'!$L9,"AA",IF(AN262&lt;='组合输入'!$M9,"A",IF(AN262&lt;='组合输入'!$N9,"BBB",IF(AN262&lt;='组合输入'!$O9,"BB",IF(AN262&lt;='组合输入'!$P9,"B",IF(AN262&lt;='组合输入'!$Q9,"CCC","D")))))))</f>
        <v/>
      </c>
      <c r="AP262" s="12">
        <f>IF(AO262="","",INDEX('状态价值'!$D9:$K9,MATCH(AO262,'状态价值'!$D$1:$K$1,0)))</f>
        <v/>
      </c>
      <c r="AQ262" s="15">
        <f>NORM.S.INV(RAND())</f>
        <v/>
      </c>
      <c r="AR262" s="15">
        <f>IF('组合输入'!$C10="","",'组合输入'!$H10*$B262+SQRT(1-'组合输入'!$H10^2)*AQ262)</f>
        <v/>
      </c>
      <c r="AS262" s="7">
        <f>IF(AR262="","",NORM.S.DIST(AR262,TRUE))</f>
        <v/>
      </c>
      <c r="AT262" s="13">
        <f>IF(AS262="","",IF(AS262&lt;='组合输入'!$K10,"AAA",IF(AS262&lt;='组合输入'!$L10,"AA",IF(AS262&lt;='组合输入'!$M10,"A",IF(AS262&lt;='组合输入'!$N10,"BBB",IF(AS262&lt;='组合输入'!$O10,"BB",IF(AS262&lt;='组合输入'!$P10,"B",IF(AS262&lt;='组合输入'!$Q10,"CCC","D")))))))</f>
        <v/>
      </c>
      <c r="AU262" s="12">
        <f>IF(AT262="","",INDEX('状态价值'!$D10:$K10,MATCH(AT262,'状态价值'!$D$1:$K$1,0)))</f>
        <v/>
      </c>
      <c r="AV262" s="15">
        <f>NORM.S.INV(RAND())</f>
        <v/>
      </c>
      <c r="AW262" s="15">
        <f>IF('组合输入'!$C11="","",'组合输入'!$H11*$B262+SQRT(1-'组合输入'!$H11^2)*AV262)</f>
        <v/>
      </c>
      <c r="AX262" s="7">
        <f>IF(AW262="","",NORM.S.DIST(AW262,TRUE))</f>
        <v/>
      </c>
      <c r="AY262" s="13">
        <f>IF(AX262="","",IF(AX262&lt;='组合输入'!$K11,"AAA",IF(AX262&lt;='组合输入'!$L11,"AA",IF(AX262&lt;='组合输入'!$M11,"A",IF(AX262&lt;='组合输入'!$N11,"BBB",IF(AX262&lt;='组合输入'!$O11,"BB",IF(AX262&lt;='组合输入'!$P11,"B",IF(AX262&lt;='组合输入'!$Q11,"CCC","D")))))))</f>
        <v/>
      </c>
      <c r="AZ262" s="12">
        <f>IF(AY262="","",INDEX('状态价值'!$D11:$K11,MATCH(AY262,'状态价值'!$D$1:$K$1,0)))</f>
        <v/>
      </c>
      <c r="BA262" s="12">
        <f>G262+L262+Q262+V262+AA262+AF262+AK262+AP262+AU262+AZ262</f>
        <v/>
      </c>
      <c r="BB262" s="12">
        <f>SUM('组合输入'!$J$2:$J$11)-BA262</f>
        <v/>
      </c>
    </row>
    <row r="263">
      <c r="A263" s="11" t="n">
        <v>262</v>
      </c>
      <c r="B263" s="14">
        <f>NORM.S.INV(RAND())</f>
        <v/>
      </c>
      <c r="C263" s="14">
        <f>NORM.S.INV(RAND())</f>
        <v/>
      </c>
      <c r="D263" s="15">
        <f>IF('组合输入'!$C2="","",'组合输入'!$H2*$B263+SQRT(1-'组合输入'!$H2^2)*C263)</f>
        <v/>
      </c>
      <c r="E263" s="7">
        <f>IF(D263="","",NORM.S.DIST(D263,TRUE))</f>
        <v/>
      </c>
      <c r="F263" s="13">
        <f>IF(E263="","",IF(E263&lt;='组合输入'!$K2,"AAA",IF(E263&lt;='组合输入'!$L2,"AA",IF(E263&lt;='组合输入'!$M2,"A",IF(E263&lt;='组合输入'!$N2,"BBB",IF(E263&lt;='组合输入'!$O2,"BB",IF(E263&lt;='组合输入'!$P2,"B",IF(E263&lt;='组合输入'!$Q2,"CCC","D")))))))</f>
        <v/>
      </c>
      <c r="G263" s="12">
        <f>IF(F263="","",INDEX('状态价值'!$D2:$K2,MATCH(F263,'状态价值'!$D$1:$K$1,0)))</f>
        <v/>
      </c>
      <c r="H263" s="15">
        <f>NORM.S.INV(RAND())</f>
        <v/>
      </c>
      <c r="I263" s="15">
        <f>IF('组合输入'!$C3="","",'组合输入'!$H3*$B263+SQRT(1-'组合输入'!$H3^2)*H263)</f>
        <v/>
      </c>
      <c r="J263" s="7">
        <f>IF(I263="","",NORM.S.DIST(I263,TRUE))</f>
        <v/>
      </c>
      <c r="K263" s="13">
        <f>IF(J263="","",IF(J263&lt;='组合输入'!$K3,"AAA",IF(J263&lt;='组合输入'!$L3,"AA",IF(J263&lt;='组合输入'!$M3,"A",IF(J263&lt;='组合输入'!$N3,"BBB",IF(J263&lt;='组合输入'!$O3,"BB",IF(J263&lt;='组合输入'!$P3,"B",IF(J263&lt;='组合输入'!$Q3,"CCC","D")))))))</f>
        <v/>
      </c>
      <c r="L263" s="12">
        <f>IF(K263="","",INDEX('状态价值'!$D3:$K3,MATCH(K263,'状态价值'!$D$1:$K$1,0)))</f>
        <v/>
      </c>
      <c r="M263" s="15">
        <f>NORM.S.INV(RAND())</f>
        <v/>
      </c>
      <c r="N263" s="15">
        <f>IF('组合输入'!$C4="","",'组合输入'!$H4*$B263+SQRT(1-'组合输入'!$H4^2)*M263)</f>
        <v/>
      </c>
      <c r="O263" s="7">
        <f>IF(N263="","",NORM.S.DIST(N263,TRUE))</f>
        <v/>
      </c>
      <c r="P263" s="13">
        <f>IF(O263="","",IF(O263&lt;='组合输入'!$K4,"AAA",IF(O263&lt;='组合输入'!$L4,"AA",IF(O263&lt;='组合输入'!$M4,"A",IF(O263&lt;='组合输入'!$N4,"BBB",IF(O263&lt;='组合输入'!$O4,"BB",IF(O263&lt;='组合输入'!$P4,"B",IF(O263&lt;='组合输入'!$Q4,"CCC","D")))))))</f>
        <v/>
      </c>
      <c r="Q263" s="12">
        <f>IF(P263="","",INDEX('状态价值'!$D4:$K4,MATCH(P263,'状态价值'!$D$1:$K$1,0)))</f>
        <v/>
      </c>
      <c r="R263" s="15">
        <f>NORM.S.INV(RAND())</f>
        <v/>
      </c>
      <c r="S263" s="15">
        <f>IF('组合输入'!$C5="","",'组合输入'!$H5*$B263+SQRT(1-'组合输入'!$H5^2)*R263)</f>
        <v/>
      </c>
      <c r="T263" s="7">
        <f>IF(S263="","",NORM.S.DIST(S263,TRUE))</f>
        <v/>
      </c>
      <c r="U263" s="13">
        <f>IF(T263="","",IF(T263&lt;='组合输入'!$K5,"AAA",IF(T263&lt;='组合输入'!$L5,"AA",IF(T263&lt;='组合输入'!$M5,"A",IF(T263&lt;='组合输入'!$N5,"BBB",IF(T263&lt;='组合输入'!$O5,"BB",IF(T263&lt;='组合输入'!$P5,"B",IF(T263&lt;='组合输入'!$Q5,"CCC","D")))))))</f>
        <v/>
      </c>
      <c r="V263" s="12">
        <f>IF(U263="","",INDEX('状态价值'!$D5:$K5,MATCH(U263,'状态价值'!$D$1:$K$1,0)))</f>
        <v/>
      </c>
      <c r="W263" s="15">
        <f>NORM.S.INV(RAND())</f>
        <v/>
      </c>
      <c r="X263" s="15">
        <f>IF('组合输入'!$C6="","",'组合输入'!$H6*$B263+SQRT(1-'组合输入'!$H6^2)*W263)</f>
        <v/>
      </c>
      <c r="Y263" s="7">
        <f>IF(X263="","",NORM.S.DIST(X263,TRUE))</f>
        <v/>
      </c>
      <c r="Z263" s="13">
        <f>IF(Y263="","",IF(Y263&lt;='组合输入'!$K6,"AAA",IF(Y263&lt;='组合输入'!$L6,"AA",IF(Y263&lt;='组合输入'!$M6,"A",IF(Y263&lt;='组合输入'!$N6,"BBB",IF(Y263&lt;='组合输入'!$O6,"BB",IF(Y263&lt;='组合输入'!$P6,"B",IF(Y263&lt;='组合输入'!$Q6,"CCC","D")))))))</f>
        <v/>
      </c>
      <c r="AA263" s="12">
        <f>IF(Z263="","",INDEX('状态价值'!$D6:$K6,MATCH(Z263,'状态价值'!$D$1:$K$1,0)))</f>
        <v/>
      </c>
      <c r="AB263" s="15">
        <f>NORM.S.INV(RAND())</f>
        <v/>
      </c>
      <c r="AC263" s="15">
        <f>IF('组合输入'!$C7="","",'组合输入'!$H7*$B263+SQRT(1-'组合输入'!$H7^2)*AB263)</f>
        <v/>
      </c>
      <c r="AD263" s="7">
        <f>IF(AC263="","",NORM.S.DIST(AC263,TRUE))</f>
        <v/>
      </c>
      <c r="AE263" s="13">
        <f>IF(AD263="","",IF(AD263&lt;='组合输入'!$K7,"AAA",IF(AD263&lt;='组合输入'!$L7,"AA",IF(AD263&lt;='组合输入'!$M7,"A",IF(AD263&lt;='组合输入'!$N7,"BBB",IF(AD263&lt;='组合输入'!$O7,"BB",IF(AD263&lt;='组合输入'!$P7,"B",IF(AD263&lt;='组合输入'!$Q7,"CCC","D")))))))</f>
        <v/>
      </c>
      <c r="AF263" s="12">
        <f>IF(AE263="","",INDEX('状态价值'!$D7:$K7,MATCH(AE263,'状态价值'!$D$1:$K$1,0)))</f>
        <v/>
      </c>
      <c r="AG263" s="15">
        <f>NORM.S.INV(RAND())</f>
        <v/>
      </c>
      <c r="AH263" s="15">
        <f>IF('组合输入'!$C8="","",'组合输入'!$H8*$B263+SQRT(1-'组合输入'!$H8^2)*AG263)</f>
        <v/>
      </c>
      <c r="AI263" s="7">
        <f>IF(AH263="","",NORM.S.DIST(AH263,TRUE))</f>
        <v/>
      </c>
      <c r="AJ263" s="13">
        <f>IF(AI263="","",IF(AI263&lt;='组合输入'!$K8,"AAA",IF(AI263&lt;='组合输入'!$L8,"AA",IF(AI263&lt;='组合输入'!$M8,"A",IF(AI263&lt;='组合输入'!$N8,"BBB",IF(AI263&lt;='组合输入'!$O8,"BB",IF(AI263&lt;='组合输入'!$P8,"B",IF(AI263&lt;='组合输入'!$Q8,"CCC","D")))))))</f>
        <v/>
      </c>
      <c r="AK263" s="12">
        <f>IF(AJ263="","",INDEX('状态价值'!$D8:$K8,MATCH(AJ263,'状态价值'!$D$1:$K$1,0)))</f>
        <v/>
      </c>
      <c r="AL263" s="15">
        <f>NORM.S.INV(RAND())</f>
        <v/>
      </c>
      <c r="AM263" s="15">
        <f>IF('组合输入'!$C9="","",'组合输入'!$H9*$B263+SQRT(1-'组合输入'!$H9^2)*AL263)</f>
        <v/>
      </c>
      <c r="AN263" s="7">
        <f>IF(AM263="","",NORM.S.DIST(AM263,TRUE))</f>
        <v/>
      </c>
      <c r="AO263" s="13">
        <f>IF(AN263="","",IF(AN263&lt;='组合输入'!$K9,"AAA",IF(AN263&lt;='组合输入'!$L9,"AA",IF(AN263&lt;='组合输入'!$M9,"A",IF(AN263&lt;='组合输入'!$N9,"BBB",IF(AN263&lt;='组合输入'!$O9,"BB",IF(AN263&lt;='组合输入'!$P9,"B",IF(AN263&lt;='组合输入'!$Q9,"CCC","D")))))))</f>
        <v/>
      </c>
      <c r="AP263" s="12">
        <f>IF(AO263="","",INDEX('状态价值'!$D9:$K9,MATCH(AO263,'状态价值'!$D$1:$K$1,0)))</f>
        <v/>
      </c>
      <c r="AQ263" s="15">
        <f>NORM.S.INV(RAND())</f>
        <v/>
      </c>
      <c r="AR263" s="15">
        <f>IF('组合输入'!$C10="","",'组合输入'!$H10*$B263+SQRT(1-'组合输入'!$H10^2)*AQ263)</f>
        <v/>
      </c>
      <c r="AS263" s="7">
        <f>IF(AR263="","",NORM.S.DIST(AR263,TRUE))</f>
        <v/>
      </c>
      <c r="AT263" s="13">
        <f>IF(AS263="","",IF(AS263&lt;='组合输入'!$K10,"AAA",IF(AS263&lt;='组合输入'!$L10,"AA",IF(AS263&lt;='组合输入'!$M10,"A",IF(AS263&lt;='组合输入'!$N10,"BBB",IF(AS263&lt;='组合输入'!$O10,"BB",IF(AS263&lt;='组合输入'!$P10,"B",IF(AS263&lt;='组合输入'!$Q10,"CCC","D")))))))</f>
        <v/>
      </c>
      <c r="AU263" s="12">
        <f>IF(AT263="","",INDEX('状态价值'!$D10:$K10,MATCH(AT263,'状态价值'!$D$1:$K$1,0)))</f>
        <v/>
      </c>
      <c r="AV263" s="15">
        <f>NORM.S.INV(RAND())</f>
        <v/>
      </c>
      <c r="AW263" s="15">
        <f>IF('组合输入'!$C11="","",'组合输入'!$H11*$B263+SQRT(1-'组合输入'!$H11^2)*AV263)</f>
        <v/>
      </c>
      <c r="AX263" s="7">
        <f>IF(AW263="","",NORM.S.DIST(AW263,TRUE))</f>
        <v/>
      </c>
      <c r="AY263" s="13">
        <f>IF(AX263="","",IF(AX263&lt;='组合输入'!$K11,"AAA",IF(AX263&lt;='组合输入'!$L11,"AA",IF(AX263&lt;='组合输入'!$M11,"A",IF(AX263&lt;='组合输入'!$N11,"BBB",IF(AX263&lt;='组合输入'!$O11,"BB",IF(AX263&lt;='组合输入'!$P11,"B",IF(AX263&lt;='组合输入'!$Q11,"CCC","D")))))))</f>
        <v/>
      </c>
      <c r="AZ263" s="12">
        <f>IF(AY263="","",INDEX('状态价值'!$D11:$K11,MATCH(AY263,'状态价值'!$D$1:$K$1,0)))</f>
        <v/>
      </c>
      <c r="BA263" s="12">
        <f>G263+L263+Q263+V263+AA263+AF263+AK263+AP263+AU263+AZ263</f>
        <v/>
      </c>
      <c r="BB263" s="12">
        <f>SUM('组合输入'!$J$2:$J$11)-BA263</f>
        <v/>
      </c>
    </row>
    <row r="264">
      <c r="A264" s="11" t="n">
        <v>263</v>
      </c>
      <c r="B264" s="14">
        <f>NORM.S.INV(RAND())</f>
        <v/>
      </c>
      <c r="C264" s="14">
        <f>NORM.S.INV(RAND())</f>
        <v/>
      </c>
      <c r="D264" s="15">
        <f>IF('组合输入'!$C2="","",'组合输入'!$H2*$B264+SQRT(1-'组合输入'!$H2^2)*C264)</f>
        <v/>
      </c>
      <c r="E264" s="7">
        <f>IF(D264="","",NORM.S.DIST(D264,TRUE))</f>
        <v/>
      </c>
      <c r="F264" s="13">
        <f>IF(E264="","",IF(E264&lt;='组合输入'!$K2,"AAA",IF(E264&lt;='组合输入'!$L2,"AA",IF(E264&lt;='组合输入'!$M2,"A",IF(E264&lt;='组合输入'!$N2,"BBB",IF(E264&lt;='组合输入'!$O2,"BB",IF(E264&lt;='组合输入'!$P2,"B",IF(E264&lt;='组合输入'!$Q2,"CCC","D")))))))</f>
        <v/>
      </c>
      <c r="G264" s="12">
        <f>IF(F264="","",INDEX('状态价值'!$D2:$K2,MATCH(F264,'状态价值'!$D$1:$K$1,0)))</f>
        <v/>
      </c>
      <c r="H264" s="15">
        <f>NORM.S.INV(RAND())</f>
        <v/>
      </c>
      <c r="I264" s="15">
        <f>IF('组合输入'!$C3="","",'组合输入'!$H3*$B264+SQRT(1-'组合输入'!$H3^2)*H264)</f>
        <v/>
      </c>
      <c r="J264" s="7">
        <f>IF(I264="","",NORM.S.DIST(I264,TRUE))</f>
        <v/>
      </c>
      <c r="K264" s="13">
        <f>IF(J264="","",IF(J264&lt;='组合输入'!$K3,"AAA",IF(J264&lt;='组合输入'!$L3,"AA",IF(J264&lt;='组合输入'!$M3,"A",IF(J264&lt;='组合输入'!$N3,"BBB",IF(J264&lt;='组合输入'!$O3,"BB",IF(J264&lt;='组合输入'!$P3,"B",IF(J264&lt;='组合输入'!$Q3,"CCC","D")))))))</f>
        <v/>
      </c>
      <c r="L264" s="12">
        <f>IF(K264="","",INDEX('状态价值'!$D3:$K3,MATCH(K264,'状态价值'!$D$1:$K$1,0)))</f>
        <v/>
      </c>
      <c r="M264" s="15">
        <f>NORM.S.INV(RAND())</f>
        <v/>
      </c>
      <c r="N264" s="15">
        <f>IF('组合输入'!$C4="","",'组合输入'!$H4*$B264+SQRT(1-'组合输入'!$H4^2)*M264)</f>
        <v/>
      </c>
      <c r="O264" s="7">
        <f>IF(N264="","",NORM.S.DIST(N264,TRUE))</f>
        <v/>
      </c>
      <c r="P264" s="13">
        <f>IF(O264="","",IF(O264&lt;='组合输入'!$K4,"AAA",IF(O264&lt;='组合输入'!$L4,"AA",IF(O264&lt;='组合输入'!$M4,"A",IF(O264&lt;='组合输入'!$N4,"BBB",IF(O264&lt;='组合输入'!$O4,"BB",IF(O264&lt;='组合输入'!$P4,"B",IF(O264&lt;='组合输入'!$Q4,"CCC","D")))))))</f>
        <v/>
      </c>
      <c r="Q264" s="12">
        <f>IF(P264="","",INDEX('状态价值'!$D4:$K4,MATCH(P264,'状态价值'!$D$1:$K$1,0)))</f>
        <v/>
      </c>
      <c r="R264" s="15">
        <f>NORM.S.INV(RAND())</f>
        <v/>
      </c>
      <c r="S264" s="15">
        <f>IF('组合输入'!$C5="","",'组合输入'!$H5*$B264+SQRT(1-'组合输入'!$H5^2)*R264)</f>
        <v/>
      </c>
      <c r="T264" s="7">
        <f>IF(S264="","",NORM.S.DIST(S264,TRUE))</f>
        <v/>
      </c>
      <c r="U264" s="13">
        <f>IF(T264="","",IF(T264&lt;='组合输入'!$K5,"AAA",IF(T264&lt;='组合输入'!$L5,"AA",IF(T264&lt;='组合输入'!$M5,"A",IF(T264&lt;='组合输入'!$N5,"BBB",IF(T264&lt;='组合输入'!$O5,"BB",IF(T264&lt;='组合输入'!$P5,"B",IF(T264&lt;='组合输入'!$Q5,"CCC","D")))))))</f>
        <v/>
      </c>
      <c r="V264" s="12">
        <f>IF(U264="","",INDEX('状态价值'!$D5:$K5,MATCH(U264,'状态价值'!$D$1:$K$1,0)))</f>
        <v/>
      </c>
      <c r="W264" s="15">
        <f>NORM.S.INV(RAND())</f>
        <v/>
      </c>
      <c r="X264" s="15">
        <f>IF('组合输入'!$C6="","",'组合输入'!$H6*$B264+SQRT(1-'组合输入'!$H6^2)*W264)</f>
        <v/>
      </c>
      <c r="Y264" s="7">
        <f>IF(X264="","",NORM.S.DIST(X264,TRUE))</f>
        <v/>
      </c>
      <c r="Z264" s="13">
        <f>IF(Y264="","",IF(Y264&lt;='组合输入'!$K6,"AAA",IF(Y264&lt;='组合输入'!$L6,"AA",IF(Y264&lt;='组合输入'!$M6,"A",IF(Y264&lt;='组合输入'!$N6,"BBB",IF(Y264&lt;='组合输入'!$O6,"BB",IF(Y264&lt;='组合输入'!$P6,"B",IF(Y264&lt;='组合输入'!$Q6,"CCC","D")))))))</f>
        <v/>
      </c>
      <c r="AA264" s="12">
        <f>IF(Z264="","",INDEX('状态价值'!$D6:$K6,MATCH(Z264,'状态价值'!$D$1:$K$1,0)))</f>
        <v/>
      </c>
      <c r="AB264" s="15">
        <f>NORM.S.INV(RAND())</f>
        <v/>
      </c>
      <c r="AC264" s="15">
        <f>IF('组合输入'!$C7="","",'组合输入'!$H7*$B264+SQRT(1-'组合输入'!$H7^2)*AB264)</f>
        <v/>
      </c>
      <c r="AD264" s="7">
        <f>IF(AC264="","",NORM.S.DIST(AC264,TRUE))</f>
        <v/>
      </c>
      <c r="AE264" s="13">
        <f>IF(AD264="","",IF(AD264&lt;='组合输入'!$K7,"AAA",IF(AD264&lt;='组合输入'!$L7,"AA",IF(AD264&lt;='组合输入'!$M7,"A",IF(AD264&lt;='组合输入'!$N7,"BBB",IF(AD264&lt;='组合输入'!$O7,"BB",IF(AD264&lt;='组合输入'!$P7,"B",IF(AD264&lt;='组合输入'!$Q7,"CCC","D")))))))</f>
        <v/>
      </c>
      <c r="AF264" s="12">
        <f>IF(AE264="","",INDEX('状态价值'!$D7:$K7,MATCH(AE264,'状态价值'!$D$1:$K$1,0)))</f>
        <v/>
      </c>
      <c r="AG264" s="15">
        <f>NORM.S.INV(RAND())</f>
        <v/>
      </c>
      <c r="AH264" s="15">
        <f>IF('组合输入'!$C8="","",'组合输入'!$H8*$B264+SQRT(1-'组合输入'!$H8^2)*AG264)</f>
        <v/>
      </c>
      <c r="AI264" s="7">
        <f>IF(AH264="","",NORM.S.DIST(AH264,TRUE))</f>
        <v/>
      </c>
      <c r="AJ264" s="13">
        <f>IF(AI264="","",IF(AI264&lt;='组合输入'!$K8,"AAA",IF(AI264&lt;='组合输入'!$L8,"AA",IF(AI264&lt;='组合输入'!$M8,"A",IF(AI264&lt;='组合输入'!$N8,"BBB",IF(AI264&lt;='组合输入'!$O8,"BB",IF(AI264&lt;='组合输入'!$P8,"B",IF(AI264&lt;='组合输入'!$Q8,"CCC","D")))))))</f>
        <v/>
      </c>
      <c r="AK264" s="12">
        <f>IF(AJ264="","",INDEX('状态价值'!$D8:$K8,MATCH(AJ264,'状态价值'!$D$1:$K$1,0)))</f>
        <v/>
      </c>
      <c r="AL264" s="15">
        <f>NORM.S.INV(RAND())</f>
        <v/>
      </c>
      <c r="AM264" s="15">
        <f>IF('组合输入'!$C9="","",'组合输入'!$H9*$B264+SQRT(1-'组合输入'!$H9^2)*AL264)</f>
        <v/>
      </c>
      <c r="AN264" s="7">
        <f>IF(AM264="","",NORM.S.DIST(AM264,TRUE))</f>
        <v/>
      </c>
      <c r="AO264" s="13">
        <f>IF(AN264="","",IF(AN264&lt;='组合输入'!$K9,"AAA",IF(AN264&lt;='组合输入'!$L9,"AA",IF(AN264&lt;='组合输入'!$M9,"A",IF(AN264&lt;='组合输入'!$N9,"BBB",IF(AN264&lt;='组合输入'!$O9,"BB",IF(AN264&lt;='组合输入'!$P9,"B",IF(AN264&lt;='组合输入'!$Q9,"CCC","D")))))))</f>
        <v/>
      </c>
      <c r="AP264" s="12">
        <f>IF(AO264="","",INDEX('状态价值'!$D9:$K9,MATCH(AO264,'状态价值'!$D$1:$K$1,0)))</f>
        <v/>
      </c>
      <c r="AQ264" s="15">
        <f>NORM.S.INV(RAND())</f>
        <v/>
      </c>
      <c r="AR264" s="15">
        <f>IF('组合输入'!$C10="","",'组合输入'!$H10*$B264+SQRT(1-'组合输入'!$H10^2)*AQ264)</f>
        <v/>
      </c>
      <c r="AS264" s="7">
        <f>IF(AR264="","",NORM.S.DIST(AR264,TRUE))</f>
        <v/>
      </c>
      <c r="AT264" s="13">
        <f>IF(AS264="","",IF(AS264&lt;='组合输入'!$K10,"AAA",IF(AS264&lt;='组合输入'!$L10,"AA",IF(AS264&lt;='组合输入'!$M10,"A",IF(AS264&lt;='组合输入'!$N10,"BBB",IF(AS264&lt;='组合输入'!$O10,"BB",IF(AS264&lt;='组合输入'!$P10,"B",IF(AS264&lt;='组合输入'!$Q10,"CCC","D")))))))</f>
        <v/>
      </c>
      <c r="AU264" s="12">
        <f>IF(AT264="","",INDEX('状态价值'!$D10:$K10,MATCH(AT264,'状态价值'!$D$1:$K$1,0)))</f>
        <v/>
      </c>
      <c r="AV264" s="15">
        <f>NORM.S.INV(RAND())</f>
        <v/>
      </c>
      <c r="AW264" s="15">
        <f>IF('组合输入'!$C11="","",'组合输入'!$H11*$B264+SQRT(1-'组合输入'!$H11^2)*AV264)</f>
        <v/>
      </c>
      <c r="AX264" s="7">
        <f>IF(AW264="","",NORM.S.DIST(AW264,TRUE))</f>
        <v/>
      </c>
      <c r="AY264" s="13">
        <f>IF(AX264="","",IF(AX264&lt;='组合输入'!$K11,"AAA",IF(AX264&lt;='组合输入'!$L11,"AA",IF(AX264&lt;='组合输入'!$M11,"A",IF(AX264&lt;='组合输入'!$N11,"BBB",IF(AX264&lt;='组合输入'!$O11,"BB",IF(AX264&lt;='组合输入'!$P11,"B",IF(AX264&lt;='组合输入'!$Q11,"CCC","D")))))))</f>
        <v/>
      </c>
      <c r="AZ264" s="12">
        <f>IF(AY264="","",INDEX('状态价值'!$D11:$K11,MATCH(AY264,'状态价值'!$D$1:$K$1,0)))</f>
        <v/>
      </c>
      <c r="BA264" s="12">
        <f>G264+L264+Q264+V264+AA264+AF264+AK264+AP264+AU264+AZ264</f>
        <v/>
      </c>
      <c r="BB264" s="12">
        <f>SUM('组合输入'!$J$2:$J$11)-BA264</f>
        <v/>
      </c>
    </row>
    <row r="265">
      <c r="A265" s="11" t="n">
        <v>264</v>
      </c>
      <c r="B265" s="14">
        <f>NORM.S.INV(RAND())</f>
        <v/>
      </c>
      <c r="C265" s="14">
        <f>NORM.S.INV(RAND())</f>
        <v/>
      </c>
      <c r="D265" s="15">
        <f>IF('组合输入'!$C2="","",'组合输入'!$H2*$B265+SQRT(1-'组合输入'!$H2^2)*C265)</f>
        <v/>
      </c>
      <c r="E265" s="7">
        <f>IF(D265="","",NORM.S.DIST(D265,TRUE))</f>
        <v/>
      </c>
      <c r="F265" s="13">
        <f>IF(E265="","",IF(E265&lt;='组合输入'!$K2,"AAA",IF(E265&lt;='组合输入'!$L2,"AA",IF(E265&lt;='组合输入'!$M2,"A",IF(E265&lt;='组合输入'!$N2,"BBB",IF(E265&lt;='组合输入'!$O2,"BB",IF(E265&lt;='组合输入'!$P2,"B",IF(E265&lt;='组合输入'!$Q2,"CCC","D")))))))</f>
        <v/>
      </c>
      <c r="G265" s="12">
        <f>IF(F265="","",INDEX('状态价值'!$D2:$K2,MATCH(F265,'状态价值'!$D$1:$K$1,0)))</f>
        <v/>
      </c>
      <c r="H265" s="15">
        <f>NORM.S.INV(RAND())</f>
        <v/>
      </c>
      <c r="I265" s="15">
        <f>IF('组合输入'!$C3="","",'组合输入'!$H3*$B265+SQRT(1-'组合输入'!$H3^2)*H265)</f>
        <v/>
      </c>
      <c r="J265" s="7">
        <f>IF(I265="","",NORM.S.DIST(I265,TRUE))</f>
        <v/>
      </c>
      <c r="K265" s="13">
        <f>IF(J265="","",IF(J265&lt;='组合输入'!$K3,"AAA",IF(J265&lt;='组合输入'!$L3,"AA",IF(J265&lt;='组合输入'!$M3,"A",IF(J265&lt;='组合输入'!$N3,"BBB",IF(J265&lt;='组合输入'!$O3,"BB",IF(J265&lt;='组合输入'!$P3,"B",IF(J265&lt;='组合输入'!$Q3,"CCC","D")))))))</f>
        <v/>
      </c>
      <c r="L265" s="12">
        <f>IF(K265="","",INDEX('状态价值'!$D3:$K3,MATCH(K265,'状态价值'!$D$1:$K$1,0)))</f>
        <v/>
      </c>
      <c r="M265" s="15">
        <f>NORM.S.INV(RAND())</f>
        <v/>
      </c>
      <c r="N265" s="15">
        <f>IF('组合输入'!$C4="","",'组合输入'!$H4*$B265+SQRT(1-'组合输入'!$H4^2)*M265)</f>
        <v/>
      </c>
      <c r="O265" s="7">
        <f>IF(N265="","",NORM.S.DIST(N265,TRUE))</f>
        <v/>
      </c>
      <c r="P265" s="13">
        <f>IF(O265="","",IF(O265&lt;='组合输入'!$K4,"AAA",IF(O265&lt;='组合输入'!$L4,"AA",IF(O265&lt;='组合输入'!$M4,"A",IF(O265&lt;='组合输入'!$N4,"BBB",IF(O265&lt;='组合输入'!$O4,"BB",IF(O265&lt;='组合输入'!$P4,"B",IF(O265&lt;='组合输入'!$Q4,"CCC","D")))))))</f>
        <v/>
      </c>
      <c r="Q265" s="12">
        <f>IF(P265="","",INDEX('状态价值'!$D4:$K4,MATCH(P265,'状态价值'!$D$1:$K$1,0)))</f>
        <v/>
      </c>
      <c r="R265" s="15">
        <f>NORM.S.INV(RAND())</f>
        <v/>
      </c>
      <c r="S265" s="15">
        <f>IF('组合输入'!$C5="","",'组合输入'!$H5*$B265+SQRT(1-'组合输入'!$H5^2)*R265)</f>
        <v/>
      </c>
      <c r="T265" s="7">
        <f>IF(S265="","",NORM.S.DIST(S265,TRUE))</f>
        <v/>
      </c>
      <c r="U265" s="13">
        <f>IF(T265="","",IF(T265&lt;='组合输入'!$K5,"AAA",IF(T265&lt;='组合输入'!$L5,"AA",IF(T265&lt;='组合输入'!$M5,"A",IF(T265&lt;='组合输入'!$N5,"BBB",IF(T265&lt;='组合输入'!$O5,"BB",IF(T265&lt;='组合输入'!$P5,"B",IF(T265&lt;='组合输入'!$Q5,"CCC","D")))))))</f>
        <v/>
      </c>
      <c r="V265" s="12">
        <f>IF(U265="","",INDEX('状态价值'!$D5:$K5,MATCH(U265,'状态价值'!$D$1:$K$1,0)))</f>
        <v/>
      </c>
      <c r="W265" s="15">
        <f>NORM.S.INV(RAND())</f>
        <v/>
      </c>
      <c r="X265" s="15">
        <f>IF('组合输入'!$C6="","",'组合输入'!$H6*$B265+SQRT(1-'组合输入'!$H6^2)*W265)</f>
        <v/>
      </c>
      <c r="Y265" s="7">
        <f>IF(X265="","",NORM.S.DIST(X265,TRUE))</f>
        <v/>
      </c>
      <c r="Z265" s="13">
        <f>IF(Y265="","",IF(Y265&lt;='组合输入'!$K6,"AAA",IF(Y265&lt;='组合输入'!$L6,"AA",IF(Y265&lt;='组合输入'!$M6,"A",IF(Y265&lt;='组合输入'!$N6,"BBB",IF(Y265&lt;='组合输入'!$O6,"BB",IF(Y265&lt;='组合输入'!$P6,"B",IF(Y265&lt;='组合输入'!$Q6,"CCC","D")))))))</f>
        <v/>
      </c>
      <c r="AA265" s="12">
        <f>IF(Z265="","",INDEX('状态价值'!$D6:$K6,MATCH(Z265,'状态价值'!$D$1:$K$1,0)))</f>
        <v/>
      </c>
      <c r="AB265" s="15">
        <f>NORM.S.INV(RAND())</f>
        <v/>
      </c>
      <c r="AC265" s="15">
        <f>IF('组合输入'!$C7="","",'组合输入'!$H7*$B265+SQRT(1-'组合输入'!$H7^2)*AB265)</f>
        <v/>
      </c>
      <c r="AD265" s="7">
        <f>IF(AC265="","",NORM.S.DIST(AC265,TRUE))</f>
        <v/>
      </c>
      <c r="AE265" s="13">
        <f>IF(AD265="","",IF(AD265&lt;='组合输入'!$K7,"AAA",IF(AD265&lt;='组合输入'!$L7,"AA",IF(AD265&lt;='组合输入'!$M7,"A",IF(AD265&lt;='组合输入'!$N7,"BBB",IF(AD265&lt;='组合输入'!$O7,"BB",IF(AD265&lt;='组合输入'!$P7,"B",IF(AD265&lt;='组合输入'!$Q7,"CCC","D")))))))</f>
        <v/>
      </c>
      <c r="AF265" s="12">
        <f>IF(AE265="","",INDEX('状态价值'!$D7:$K7,MATCH(AE265,'状态价值'!$D$1:$K$1,0)))</f>
        <v/>
      </c>
      <c r="AG265" s="15">
        <f>NORM.S.INV(RAND())</f>
        <v/>
      </c>
      <c r="AH265" s="15">
        <f>IF('组合输入'!$C8="","",'组合输入'!$H8*$B265+SQRT(1-'组合输入'!$H8^2)*AG265)</f>
        <v/>
      </c>
      <c r="AI265" s="7">
        <f>IF(AH265="","",NORM.S.DIST(AH265,TRUE))</f>
        <v/>
      </c>
      <c r="AJ265" s="13">
        <f>IF(AI265="","",IF(AI265&lt;='组合输入'!$K8,"AAA",IF(AI265&lt;='组合输入'!$L8,"AA",IF(AI265&lt;='组合输入'!$M8,"A",IF(AI265&lt;='组合输入'!$N8,"BBB",IF(AI265&lt;='组合输入'!$O8,"BB",IF(AI265&lt;='组合输入'!$P8,"B",IF(AI265&lt;='组合输入'!$Q8,"CCC","D")))))))</f>
        <v/>
      </c>
      <c r="AK265" s="12">
        <f>IF(AJ265="","",INDEX('状态价值'!$D8:$K8,MATCH(AJ265,'状态价值'!$D$1:$K$1,0)))</f>
        <v/>
      </c>
      <c r="AL265" s="15">
        <f>NORM.S.INV(RAND())</f>
        <v/>
      </c>
      <c r="AM265" s="15">
        <f>IF('组合输入'!$C9="","",'组合输入'!$H9*$B265+SQRT(1-'组合输入'!$H9^2)*AL265)</f>
        <v/>
      </c>
      <c r="AN265" s="7">
        <f>IF(AM265="","",NORM.S.DIST(AM265,TRUE))</f>
        <v/>
      </c>
      <c r="AO265" s="13">
        <f>IF(AN265="","",IF(AN265&lt;='组合输入'!$K9,"AAA",IF(AN265&lt;='组合输入'!$L9,"AA",IF(AN265&lt;='组合输入'!$M9,"A",IF(AN265&lt;='组合输入'!$N9,"BBB",IF(AN265&lt;='组合输入'!$O9,"BB",IF(AN265&lt;='组合输入'!$P9,"B",IF(AN265&lt;='组合输入'!$Q9,"CCC","D")))))))</f>
        <v/>
      </c>
      <c r="AP265" s="12">
        <f>IF(AO265="","",INDEX('状态价值'!$D9:$K9,MATCH(AO265,'状态价值'!$D$1:$K$1,0)))</f>
        <v/>
      </c>
      <c r="AQ265" s="15">
        <f>NORM.S.INV(RAND())</f>
        <v/>
      </c>
      <c r="AR265" s="15">
        <f>IF('组合输入'!$C10="","",'组合输入'!$H10*$B265+SQRT(1-'组合输入'!$H10^2)*AQ265)</f>
        <v/>
      </c>
      <c r="AS265" s="7">
        <f>IF(AR265="","",NORM.S.DIST(AR265,TRUE))</f>
        <v/>
      </c>
      <c r="AT265" s="13">
        <f>IF(AS265="","",IF(AS265&lt;='组合输入'!$K10,"AAA",IF(AS265&lt;='组合输入'!$L10,"AA",IF(AS265&lt;='组合输入'!$M10,"A",IF(AS265&lt;='组合输入'!$N10,"BBB",IF(AS265&lt;='组合输入'!$O10,"BB",IF(AS265&lt;='组合输入'!$P10,"B",IF(AS265&lt;='组合输入'!$Q10,"CCC","D")))))))</f>
        <v/>
      </c>
      <c r="AU265" s="12">
        <f>IF(AT265="","",INDEX('状态价值'!$D10:$K10,MATCH(AT265,'状态价值'!$D$1:$K$1,0)))</f>
        <v/>
      </c>
      <c r="AV265" s="15">
        <f>NORM.S.INV(RAND())</f>
        <v/>
      </c>
      <c r="AW265" s="15">
        <f>IF('组合输入'!$C11="","",'组合输入'!$H11*$B265+SQRT(1-'组合输入'!$H11^2)*AV265)</f>
        <v/>
      </c>
      <c r="AX265" s="7">
        <f>IF(AW265="","",NORM.S.DIST(AW265,TRUE))</f>
        <v/>
      </c>
      <c r="AY265" s="13">
        <f>IF(AX265="","",IF(AX265&lt;='组合输入'!$K11,"AAA",IF(AX265&lt;='组合输入'!$L11,"AA",IF(AX265&lt;='组合输入'!$M11,"A",IF(AX265&lt;='组合输入'!$N11,"BBB",IF(AX265&lt;='组合输入'!$O11,"BB",IF(AX265&lt;='组合输入'!$P11,"B",IF(AX265&lt;='组合输入'!$Q11,"CCC","D")))))))</f>
        <v/>
      </c>
      <c r="AZ265" s="12">
        <f>IF(AY265="","",INDEX('状态价值'!$D11:$K11,MATCH(AY265,'状态价值'!$D$1:$K$1,0)))</f>
        <v/>
      </c>
      <c r="BA265" s="12">
        <f>G265+L265+Q265+V265+AA265+AF265+AK265+AP265+AU265+AZ265</f>
        <v/>
      </c>
      <c r="BB265" s="12">
        <f>SUM('组合输入'!$J$2:$J$11)-BA265</f>
        <v/>
      </c>
    </row>
    <row r="266">
      <c r="A266" s="11" t="n">
        <v>265</v>
      </c>
      <c r="B266" s="14">
        <f>NORM.S.INV(RAND())</f>
        <v/>
      </c>
      <c r="C266" s="14">
        <f>NORM.S.INV(RAND())</f>
        <v/>
      </c>
      <c r="D266" s="15">
        <f>IF('组合输入'!$C2="","",'组合输入'!$H2*$B266+SQRT(1-'组合输入'!$H2^2)*C266)</f>
        <v/>
      </c>
      <c r="E266" s="7">
        <f>IF(D266="","",NORM.S.DIST(D266,TRUE))</f>
        <v/>
      </c>
      <c r="F266" s="13">
        <f>IF(E266="","",IF(E266&lt;='组合输入'!$K2,"AAA",IF(E266&lt;='组合输入'!$L2,"AA",IF(E266&lt;='组合输入'!$M2,"A",IF(E266&lt;='组合输入'!$N2,"BBB",IF(E266&lt;='组合输入'!$O2,"BB",IF(E266&lt;='组合输入'!$P2,"B",IF(E266&lt;='组合输入'!$Q2,"CCC","D")))))))</f>
        <v/>
      </c>
      <c r="G266" s="12">
        <f>IF(F266="","",INDEX('状态价值'!$D2:$K2,MATCH(F266,'状态价值'!$D$1:$K$1,0)))</f>
        <v/>
      </c>
      <c r="H266" s="15">
        <f>NORM.S.INV(RAND())</f>
        <v/>
      </c>
      <c r="I266" s="15">
        <f>IF('组合输入'!$C3="","",'组合输入'!$H3*$B266+SQRT(1-'组合输入'!$H3^2)*H266)</f>
        <v/>
      </c>
      <c r="J266" s="7">
        <f>IF(I266="","",NORM.S.DIST(I266,TRUE))</f>
        <v/>
      </c>
      <c r="K266" s="13">
        <f>IF(J266="","",IF(J266&lt;='组合输入'!$K3,"AAA",IF(J266&lt;='组合输入'!$L3,"AA",IF(J266&lt;='组合输入'!$M3,"A",IF(J266&lt;='组合输入'!$N3,"BBB",IF(J266&lt;='组合输入'!$O3,"BB",IF(J266&lt;='组合输入'!$P3,"B",IF(J266&lt;='组合输入'!$Q3,"CCC","D")))))))</f>
        <v/>
      </c>
      <c r="L266" s="12">
        <f>IF(K266="","",INDEX('状态价值'!$D3:$K3,MATCH(K266,'状态价值'!$D$1:$K$1,0)))</f>
        <v/>
      </c>
      <c r="M266" s="15">
        <f>NORM.S.INV(RAND())</f>
        <v/>
      </c>
      <c r="N266" s="15">
        <f>IF('组合输入'!$C4="","",'组合输入'!$H4*$B266+SQRT(1-'组合输入'!$H4^2)*M266)</f>
        <v/>
      </c>
      <c r="O266" s="7">
        <f>IF(N266="","",NORM.S.DIST(N266,TRUE))</f>
        <v/>
      </c>
      <c r="P266" s="13">
        <f>IF(O266="","",IF(O266&lt;='组合输入'!$K4,"AAA",IF(O266&lt;='组合输入'!$L4,"AA",IF(O266&lt;='组合输入'!$M4,"A",IF(O266&lt;='组合输入'!$N4,"BBB",IF(O266&lt;='组合输入'!$O4,"BB",IF(O266&lt;='组合输入'!$P4,"B",IF(O266&lt;='组合输入'!$Q4,"CCC","D")))))))</f>
        <v/>
      </c>
      <c r="Q266" s="12">
        <f>IF(P266="","",INDEX('状态价值'!$D4:$K4,MATCH(P266,'状态价值'!$D$1:$K$1,0)))</f>
        <v/>
      </c>
      <c r="R266" s="15">
        <f>NORM.S.INV(RAND())</f>
        <v/>
      </c>
      <c r="S266" s="15">
        <f>IF('组合输入'!$C5="","",'组合输入'!$H5*$B266+SQRT(1-'组合输入'!$H5^2)*R266)</f>
        <v/>
      </c>
      <c r="T266" s="7">
        <f>IF(S266="","",NORM.S.DIST(S266,TRUE))</f>
        <v/>
      </c>
      <c r="U266" s="13">
        <f>IF(T266="","",IF(T266&lt;='组合输入'!$K5,"AAA",IF(T266&lt;='组合输入'!$L5,"AA",IF(T266&lt;='组合输入'!$M5,"A",IF(T266&lt;='组合输入'!$N5,"BBB",IF(T266&lt;='组合输入'!$O5,"BB",IF(T266&lt;='组合输入'!$P5,"B",IF(T266&lt;='组合输入'!$Q5,"CCC","D")))))))</f>
        <v/>
      </c>
      <c r="V266" s="12">
        <f>IF(U266="","",INDEX('状态价值'!$D5:$K5,MATCH(U266,'状态价值'!$D$1:$K$1,0)))</f>
        <v/>
      </c>
      <c r="W266" s="15">
        <f>NORM.S.INV(RAND())</f>
        <v/>
      </c>
      <c r="X266" s="15">
        <f>IF('组合输入'!$C6="","",'组合输入'!$H6*$B266+SQRT(1-'组合输入'!$H6^2)*W266)</f>
        <v/>
      </c>
      <c r="Y266" s="7">
        <f>IF(X266="","",NORM.S.DIST(X266,TRUE))</f>
        <v/>
      </c>
      <c r="Z266" s="13">
        <f>IF(Y266="","",IF(Y266&lt;='组合输入'!$K6,"AAA",IF(Y266&lt;='组合输入'!$L6,"AA",IF(Y266&lt;='组合输入'!$M6,"A",IF(Y266&lt;='组合输入'!$N6,"BBB",IF(Y266&lt;='组合输入'!$O6,"BB",IF(Y266&lt;='组合输入'!$P6,"B",IF(Y266&lt;='组合输入'!$Q6,"CCC","D")))))))</f>
        <v/>
      </c>
      <c r="AA266" s="12">
        <f>IF(Z266="","",INDEX('状态价值'!$D6:$K6,MATCH(Z266,'状态价值'!$D$1:$K$1,0)))</f>
        <v/>
      </c>
      <c r="AB266" s="15">
        <f>NORM.S.INV(RAND())</f>
        <v/>
      </c>
      <c r="AC266" s="15">
        <f>IF('组合输入'!$C7="","",'组合输入'!$H7*$B266+SQRT(1-'组合输入'!$H7^2)*AB266)</f>
        <v/>
      </c>
      <c r="AD266" s="7">
        <f>IF(AC266="","",NORM.S.DIST(AC266,TRUE))</f>
        <v/>
      </c>
      <c r="AE266" s="13">
        <f>IF(AD266="","",IF(AD266&lt;='组合输入'!$K7,"AAA",IF(AD266&lt;='组合输入'!$L7,"AA",IF(AD266&lt;='组合输入'!$M7,"A",IF(AD266&lt;='组合输入'!$N7,"BBB",IF(AD266&lt;='组合输入'!$O7,"BB",IF(AD266&lt;='组合输入'!$P7,"B",IF(AD266&lt;='组合输入'!$Q7,"CCC","D")))))))</f>
        <v/>
      </c>
      <c r="AF266" s="12">
        <f>IF(AE266="","",INDEX('状态价值'!$D7:$K7,MATCH(AE266,'状态价值'!$D$1:$K$1,0)))</f>
        <v/>
      </c>
      <c r="AG266" s="15">
        <f>NORM.S.INV(RAND())</f>
        <v/>
      </c>
      <c r="AH266" s="15">
        <f>IF('组合输入'!$C8="","",'组合输入'!$H8*$B266+SQRT(1-'组合输入'!$H8^2)*AG266)</f>
        <v/>
      </c>
      <c r="AI266" s="7">
        <f>IF(AH266="","",NORM.S.DIST(AH266,TRUE))</f>
        <v/>
      </c>
      <c r="AJ266" s="13">
        <f>IF(AI266="","",IF(AI266&lt;='组合输入'!$K8,"AAA",IF(AI266&lt;='组合输入'!$L8,"AA",IF(AI266&lt;='组合输入'!$M8,"A",IF(AI266&lt;='组合输入'!$N8,"BBB",IF(AI266&lt;='组合输入'!$O8,"BB",IF(AI266&lt;='组合输入'!$P8,"B",IF(AI266&lt;='组合输入'!$Q8,"CCC","D")))))))</f>
        <v/>
      </c>
      <c r="AK266" s="12">
        <f>IF(AJ266="","",INDEX('状态价值'!$D8:$K8,MATCH(AJ266,'状态价值'!$D$1:$K$1,0)))</f>
        <v/>
      </c>
      <c r="AL266" s="15">
        <f>NORM.S.INV(RAND())</f>
        <v/>
      </c>
      <c r="AM266" s="15">
        <f>IF('组合输入'!$C9="","",'组合输入'!$H9*$B266+SQRT(1-'组合输入'!$H9^2)*AL266)</f>
        <v/>
      </c>
      <c r="AN266" s="7">
        <f>IF(AM266="","",NORM.S.DIST(AM266,TRUE))</f>
        <v/>
      </c>
      <c r="AO266" s="13">
        <f>IF(AN266="","",IF(AN266&lt;='组合输入'!$K9,"AAA",IF(AN266&lt;='组合输入'!$L9,"AA",IF(AN266&lt;='组合输入'!$M9,"A",IF(AN266&lt;='组合输入'!$N9,"BBB",IF(AN266&lt;='组合输入'!$O9,"BB",IF(AN266&lt;='组合输入'!$P9,"B",IF(AN266&lt;='组合输入'!$Q9,"CCC","D")))))))</f>
        <v/>
      </c>
      <c r="AP266" s="12">
        <f>IF(AO266="","",INDEX('状态价值'!$D9:$K9,MATCH(AO266,'状态价值'!$D$1:$K$1,0)))</f>
        <v/>
      </c>
      <c r="AQ266" s="15">
        <f>NORM.S.INV(RAND())</f>
        <v/>
      </c>
      <c r="AR266" s="15">
        <f>IF('组合输入'!$C10="","",'组合输入'!$H10*$B266+SQRT(1-'组合输入'!$H10^2)*AQ266)</f>
        <v/>
      </c>
      <c r="AS266" s="7">
        <f>IF(AR266="","",NORM.S.DIST(AR266,TRUE))</f>
        <v/>
      </c>
      <c r="AT266" s="13">
        <f>IF(AS266="","",IF(AS266&lt;='组合输入'!$K10,"AAA",IF(AS266&lt;='组合输入'!$L10,"AA",IF(AS266&lt;='组合输入'!$M10,"A",IF(AS266&lt;='组合输入'!$N10,"BBB",IF(AS266&lt;='组合输入'!$O10,"BB",IF(AS266&lt;='组合输入'!$P10,"B",IF(AS266&lt;='组合输入'!$Q10,"CCC","D")))))))</f>
        <v/>
      </c>
      <c r="AU266" s="12">
        <f>IF(AT266="","",INDEX('状态价值'!$D10:$K10,MATCH(AT266,'状态价值'!$D$1:$K$1,0)))</f>
        <v/>
      </c>
      <c r="AV266" s="15">
        <f>NORM.S.INV(RAND())</f>
        <v/>
      </c>
      <c r="AW266" s="15">
        <f>IF('组合输入'!$C11="","",'组合输入'!$H11*$B266+SQRT(1-'组合输入'!$H11^2)*AV266)</f>
        <v/>
      </c>
      <c r="AX266" s="7">
        <f>IF(AW266="","",NORM.S.DIST(AW266,TRUE))</f>
        <v/>
      </c>
      <c r="AY266" s="13">
        <f>IF(AX266="","",IF(AX266&lt;='组合输入'!$K11,"AAA",IF(AX266&lt;='组合输入'!$L11,"AA",IF(AX266&lt;='组合输入'!$M11,"A",IF(AX266&lt;='组合输入'!$N11,"BBB",IF(AX266&lt;='组合输入'!$O11,"BB",IF(AX266&lt;='组合输入'!$P11,"B",IF(AX266&lt;='组合输入'!$Q11,"CCC","D")))))))</f>
        <v/>
      </c>
      <c r="AZ266" s="12">
        <f>IF(AY266="","",INDEX('状态价值'!$D11:$K11,MATCH(AY266,'状态价值'!$D$1:$K$1,0)))</f>
        <v/>
      </c>
      <c r="BA266" s="12">
        <f>G266+L266+Q266+V266+AA266+AF266+AK266+AP266+AU266+AZ266</f>
        <v/>
      </c>
      <c r="BB266" s="12">
        <f>SUM('组合输入'!$J$2:$J$11)-BA266</f>
        <v/>
      </c>
    </row>
    <row r="267">
      <c r="A267" s="11" t="n">
        <v>266</v>
      </c>
      <c r="B267" s="14">
        <f>NORM.S.INV(RAND())</f>
        <v/>
      </c>
      <c r="C267" s="14">
        <f>NORM.S.INV(RAND())</f>
        <v/>
      </c>
      <c r="D267" s="15">
        <f>IF('组合输入'!$C2="","",'组合输入'!$H2*$B267+SQRT(1-'组合输入'!$H2^2)*C267)</f>
        <v/>
      </c>
      <c r="E267" s="7">
        <f>IF(D267="","",NORM.S.DIST(D267,TRUE))</f>
        <v/>
      </c>
      <c r="F267" s="13">
        <f>IF(E267="","",IF(E267&lt;='组合输入'!$K2,"AAA",IF(E267&lt;='组合输入'!$L2,"AA",IF(E267&lt;='组合输入'!$M2,"A",IF(E267&lt;='组合输入'!$N2,"BBB",IF(E267&lt;='组合输入'!$O2,"BB",IF(E267&lt;='组合输入'!$P2,"B",IF(E267&lt;='组合输入'!$Q2,"CCC","D")))))))</f>
        <v/>
      </c>
      <c r="G267" s="12">
        <f>IF(F267="","",INDEX('状态价值'!$D2:$K2,MATCH(F267,'状态价值'!$D$1:$K$1,0)))</f>
        <v/>
      </c>
      <c r="H267" s="15">
        <f>NORM.S.INV(RAND())</f>
        <v/>
      </c>
      <c r="I267" s="15">
        <f>IF('组合输入'!$C3="","",'组合输入'!$H3*$B267+SQRT(1-'组合输入'!$H3^2)*H267)</f>
        <v/>
      </c>
      <c r="J267" s="7">
        <f>IF(I267="","",NORM.S.DIST(I267,TRUE))</f>
        <v/>
      </c>
      <c r="K267" s="13">
        <f>IF(J267="","",IF(J267&lt;='组合输入'!$K3,"AAA",IF(J267&lt;='组合输入'!$L3,"AA",IF(J267&lt;='组合输入'!$M3,"A",IF(J267&lt;='组合输入'!$N3,"BBB",IF(J267&lt;='组合输入'!$O3,"BB",IF(J267&lt;='组合输入'!$P3,"B",IF(J267&lt;='组合输入'!$Q3,"CCC","D")))))))</f>
        <v/>
      </c>
      <c r="L267" s="12">
        <f>IF(K267="","",INDEX('状态价值'!$D3:$K3,MATCH(K267,'状态价值'!$D$1:$K$1,0)))</f>
        <v/>
      </c>
      <c r="M267" s="15">
        <f>NORM.S.INV(RAND())</f>
        <v/>
      </c>
      <c r="N267" s="15">
        <f>IF('组合输入'!$C4="","",'组合输入'!$H4*$B267+SQRT(1-'组合输入'!$H4^2)*M267)</f>
        <v/>
      </c>
      <c r="O267" s="7">
        <f>IF(N267="","",NORM.S.DIST(N267,TRUE))</f>
        <v/>
      </c>
      <c r="P267" s="13">
        <f>IF(O267="","",IF(O267&lt;='组合输入'!$K4,"AAA",IF(O267&lt;='组合输入'!$L4,"AA",IF(O267&lt;='组合输入'!$M4,"A",IF(O267&lt;='组合输入'!$N4,"BBB",IF(O267&lt;='组合输入'!$O4,"BB",IF(O267&lt;='组合输入'!$P4,"B",IF(O267&lt;='组合输入'!$Q4,"CCC","D")))))))</f>
        <v/>
      </c>
      <c r="Q267" s="12">
        <f>IF(P267="","",INDEX('状态价值'!$D4:$K4,MATCH(P267,'状态价值'!$D$1:$K$1,0)))</f>
        <v/>
      </c>
      <c r="R267" s="15">
        <f>NORM.S.INV(RAND())</f>
        <v/>
      </c>
      <c r="S267" s="15">
        <f>IF('组合输入'!$C5="","",'组合输入'!$H5*$B267+SQRT(1-'组合输入'!$H5^2)*R267)</f>
        <v/>
      </c>
      <c r="T267" s="7">
        <f>IF(S267="","",NORM.S.DIST(S267,TRUE))</f>
        <v/>
      </c>
      <c r="U267" s="13">
        <f>IF(T267="","",IF(T267&lt;='组合输入'!$K5,"AAA",IF(T267&lt;='组合输入'!$L5,"AA",IF(T267&lt;='组合输入'!$M5,"A",IF(T267&lt;='组合输入'!$N5,"BBB",IF(T267&lt;='组合输入'!$O5,"BB",IF(T267&lt;='组合输入'!$P5,"B",IF(T267&lt;='组合输入'!$Q5,"CCC","D")))))))</f>
        <v/>
      </c>
      <c r="V267" s="12">
        <f>IF(U267="","",INDEX('状态价值'!$D5:$K5,MATCH(U267,'状态价值'!$D$1:$K$1,0)))</f>
        <v/>
      </c>
      <c r="W267" s="15">
        <f>NORM.S.INV(RAND())</f>
        <v/>
      </c>
      <c r="X267" s="15">
        <f>IF('组合输入'!$C6="","",'组合输入'!$H6*$B267+SQRT(1-'组合输入'!$H6^2)*W267)</f>
        <v/>
      </c>
      <c r="Y267" s="7">
        <f>IF(X267="","",NORM.S.DIST(X267,TRUE))</f>
        <v/>
      </c>
      <c r="Z267" s="13">
        <f>IF(Y267="","",IF(Y267&lt;='组合输入'!$K6,"AAA",IF(Y267&lt;='组合输入'!$L6,"AA",IF(Y267&lt;='组合输入'!$M6,"A",IF(Y267&lt;='组合输入'!$N6,"BBB",IF(Y267&lt;='组合输入'!$O6,"BB",IF(Y267&lt;='组合输入'!$P6,"B",IF(Y267&lt;='组合输入'!$Q6,"CCC","D")))))))</f>
        <v/>
      </c>
      <c r="AA267" s="12">
        <f>IF(Z267="","",INDEX('状态价值'!$D6:$K6,MATCH(Z267,'状态价值'!$D$1:$K$1,0)))</f>
        <v/>
      </c>
      <c r="AB267" s="15">
        <f>NORM.S.INV(RAND())</f>
        <v/>
      </c>
      <c r="AC267" s="15">
        <f>IF('组合输入'!$C7="","",'组合输入'!$H7*$B267+SQRT(1-'组合输入'!$H7^2)*AB267)</f>
        <v/>
      </c>
      <c r="AD267" s="7">
        <f>IF(AC267="","",NORM.S.DIST(AC267,TRUE))</f>
        <v/>
      </c>
      <c r="AE267" s="13">
        <f>IF(AD267="","",IF(AD267&lt;='组合输入'!$K7,"AAA",IF(AD267&lt;='组合输入'!$L7,"AA",IF(AD267&lt;='组合输入'!$M7,"A",IF(AD267&lt;='组合输入'!$N7,"BBB",IF(AD267&lt;='组合输入'!$O7,"BB",IF(AD267&lt;='组合输入'!$P7,"B",IF(AD267&lt;='组合输入'!$Q7,"CCC","D")))))))</f>
        <v/>
      </c>
      <c r="AF267" s="12">
        <f>IF(AE267="","",INDEX('状态价值'!$D7:$K7,MATCH(AE267,'状态价值'!$D$1:$K$1,0)))</f>
        <v/>
      </c>
      <c r="AG267" s="15">
        <f>NORM.S.INV(RAND())</f>
        <v/>
      </c>
      <c r="AH267" s="15">
        <f>IF('组合输入'!$C8="","",'组合输入'!$H8*$B267+SQRT(1-'组合输入'!$H8^2)*AG267)</f>
        <v/>
      </c>
      <c r="AI267" s="7">
        <f>IF(AH267="","",NORM.S.DIST(AH267,TRUE))</f>
        <v/>
      </c>
      <c r="AJ267" s="13">
        <f>IF(AI267="","",IF(AI267&lt;='组合输入'!$K8,"AAA",IF(AI267&lt;='组合输入'!$L8,"AA",IF(AI267&lt;='组合输入'!$M8,"A",IF(AI267&lt;='组合输入'!$N8,"BBB",IF(AI267&lt;='组合输入'!$O8,"BB",IF(AI267&lt;='组合输入'!$P8,"B",IF(AI267&lt;='组合输入'!$Q8,"CCC","D")))))))</f>
        <v/>
      </c>
      <c r="AK267" s="12">
        <f>IF(AJ267="","",INDEX('状态价值'!$D8:$K8,MATCH(AJ267,'状态价值'!$D$1:$K$1,0)))</f>
        <v/>
      </c>
      <c r="AL267" s="15">
        <f>NORM.S.INV(RAND())</f>
        <v/>
      </c>
      <c r="AM267" s="15">
        <f>IF('组合输入'!$C9="","",'组合输入'!$H9*$B267+SQRT(1-'组合输入'!$H9^2)*AL267)</f>
        <v/>
      </c>
      <c r="AN267" s="7">
        <f>IF(AM267="","",NORM.S.DIST(AM267,TRUE))</f>
        <v/>
      </c>
      <c r="AO267" s="13">
        <f>IF(AN267="","",IF(AN267&lt;='组合输入'!$K9,"AAA",IF(AN267&lt;='组合输入'!$L9,"AA",IF(AN267&lt;='组合输入'!$M9,"A",IF(AN267&lt;='组合输入'!$N9,"BBB",IF(AN267&lt;='组合输入'!$O9,"BB",IF(AN267&lt;='组合输入'!$P9,"B",IF(AN267&lt;='组合输入'!$Q9,"CCC","D")))))))</f>
        <v/>
      </c>
      <c r="AP267" s="12">
        <f>IF(AO267="","",INDEX('状态价值'!$D9:$K9,MATCH(AO267,'状态价值'!$D$1:$K$1,0)))</f>
        <v/>
      </c>
      <c r="AQ267" s="15">
        <f>NORM.S.INV(RAND())</f>
        <v/>
      </c>
      <c r="AR267" s="15">
        <f>IF('组合输入'!$C10="","",'组合输入'!$H10*$B267+SQRT(1-'组合输入'!$H10^2)*AQ267)</f>
        <v/>
      </c>
      <c r="AS267" s="7">
        <f>IF(AR267="","",NORM.S.DIST(AR267,TRUE))</f>
        <v/>
      </c>
      <c r="AT267" s="13">
        <f>IF(AS267="","",IF(AS267&lt;='组合输入'!$K10,"AAA",IF(AS267&lt;='组合输入'!$L10,"AA",IF(AS267&lt;='组合输入'!$M10,"A",IF(AS267&lt;='组合输入'!$N10,"BBB",IF(AS267&lt;='组合输入'!$O10,"BB",IF(AS267&lt;='组合输入'!$P10,"B",IF(AS267&lt;='组合输入'!$Q10,"CCC","D")))))))</f>
        <v/>
      </c>
      <c r="AU267" s="12">
        <f>IF(AT267="","",INDEX('状态价值'!$D10:$K10,MATCH(AT267,'状态价值'!$D$1:$K$1,0)))</f>
        <v/>
      </c>
      <c r="AV267" s="15">
        <f>NORM.S.INV(RAND())</f>
        <v/>
      </c>
      <c r="AW267" s="15">
        <f>IF('组合输入'!$C11="","",'组合输入'!$H11*$B267+SQRT(1-'组合输入'!$H11^2)*AV267)</f>
        <v/>
      </c>
      <c r="AX267" s="7">
        <f>IF(AW267="","",NORM.S.DIST(AW267,TRUE))</f>
        <v/>
      </c>
      <c r="AY267" s="13">
        <f>IF(AX267="","",IF(AX267&lt;='组合输入'!$K11,"AAA",IF(AX267&lt;='组合输入'!$L11,"AA",IF(AX267&lt;='组合输入'!$M11,"A",IF(AX267&lt;='组合输入'!$N11,"BBB",IF(AX267&lt;='组合输入'!$O11,"BB",IF(AX267&lt;='组合输入'!$P11,"B",IF(AX267&lt;='组合输入'!$Q11,"CCC","D")))))))</f>
        <v/>
      </c>
      <c r="AZ267" s="12">
        <f>IF(AY267="","",INDEX('状态价值'!$D11:$K11,MATCH(AY267,'状态价值'!$D$1:$K$1,0)))</f>
        <v/>
      </c>
      <c r="BA267" s="12">
        <f>G267+L267+Q267+V267+AA267+AF267+AK267+AP267+AU267+AZ267</f>
        <v/>
      </c>
      <c r="BB267" s="12">
        <f>SUM('组合输入'!$J$2:$J$11)-BA267</f>
        <v/>
      </c>
    </row>
    <row r="268">
      <c r="A268" s="11" t="n">
        <v>267</v>
      </c>
      <c r="B268" s="14">
        <f>NORM.S.INV(RAND())</f>
        <v/>
      </c>
      <c r="C268" s="14">
        <f>NORM.S.INV(RAND())</f>
        <v/>
      </c>
      <c r="D268" s="15">
        <f>IF('组合输入'!$C2="","",'组合输入'!$H2*$B268+SQRT(1-'组合输入'!$H2^2)*C268)</f>
        <v/>
      </c>
      <c r="E268" s="7">
        <f>IF(D268="","",NORM.S.DIST(D268,TRUE))</f>
        <v/>
      </c>
      <c r="F268" s="13">
        <f>IF(E268="","",IF(E268&lt;='组合输入'!$K2,"AAA",IF(E268&lt;='组合输入'!$L2,"AA",IF(E268&lt;='组合输入'!$M2,"A",IF(E268&lt;='组合输入'!$N2,"BBB",IF(E268&lt;='组合输入'!$O2,"BB",IF(E268&lt;='组合输入'!$P2,"B",IF(E268&lt;='组合输入'!$Q2,"CCC","D")))))))</f>
        <v/>
      </c>
      <c r="G268" s="12">
        <f>IF(F268="","",INDEX('状态价值'!$D2:$K2,MATCH(F268,'状态价值'!$D$1:$K$1,0)))</f>
        <v/>
      </c>
      <c r="H268" s="15">
        <f>NORM.S.INV(RAND())</f>
        <v/>
      </c>
      <c r="I268" s="15">
        <f>IF('组合输入'!$C3="","",'组合输入'!$H3*$B268+SQRT(1-'组合输入'!$H3^2)*H268)</f>
        <v/>
      </c>
      <c r="J268" s="7">
        <f>IF(I268="","",NORM.S.DIST(I268,TRUE))</f>
        <v/>
      </c>
      <c r="K268" s="13">
        <f>IF(J268="","",IF(J268&lt;='组合输入'!$K3,"AAA",IF(J268&lt;='组合输入'!$L3,"AA",IF(J268&lt;='组合输入'!$M3,"A",IF(J268&lt;='组合输入'!$N3,"BBB",IF(J268&lt;='组合输入'!$O3,"BB",IF(J268&lt;='组合输入'!$P3,"B",IF(J268&lt;='组合输入'!$Q3,"CCC","D")))))))</f>
        <v/>
      </c>
      <c r="L268" s="12">
        <f>IF(K268="","",INDEX('状态价值'!$D3:$K3,MATCH(K268,'状态价值'!$D$1:$K$1,0)))</f>
        <v/>
      </c>
      <c r="M268" s="15">
        <f>NORM.S.INV(RAND())</f>
        <v/>
      </c>
      <c r="N268" s="15">
        <f>IF('组合输入'!$C4="","",'组合输入'!$H4*$B268+SQRT(1-'组合输入'!$H4^2)*M268)</f>
        <v/>
      </c>
      <c r="O268" s="7">
        <f>IF(N268="","",NORM.S.DIST(N268,TRUE))</f>
        <v/>
      </c>
      <c r="P268" s="13">
        <f>IF(O268="","",IF(O268&lt;='组合输入'!$K4,"AAA",IF(O268&lt;='组合输入'!$L4,"AA",IF(O268&lt;='组合输入'!$M4,"A",IF(O268&lt;='组合输入'!$N4,"BBB",IF(O268&lt;='组合输入'!$O4,"BB",IF(O268&lt;='组合输入'!$P4,"B",IF(O268&lt;='组合输入'!$Q4,"CCC","D")))))))</f>
        <v/>
      </c>
      <c r="Q268" s="12">
        <f>IF(P268="","",INDEX('状态价值'!$D4:$K4,MATCH(P268,'状态价值'!$D$1:$K$1,0)))</f>
        <v/>
      </c>
      <c r="R268" s="15">
        <f>NORM.S.INV(RAND())</f>
        <v/>
      </c>
      <c r="S268" s="15">
        <f>IF('组合输入'!$C5="","",'组合输入'!$H5*$B268+SQRT(1-'组合输入'!$H5^2)*R268)</f>
        <v/>
      </c>
      <c r="T268" s="7">
        <f>IF(S268="","",NORM.S.DIST(S268,TRUE))</f>
        <v/>
      </c>
      <c r="U268" s="13">
        <f>IF(T268="","",IF(T268&lt;='组合输入'!$K5,"AAA",IF(T268&lt;='组合输入'!$L5,"AA",IF(T268&lt;='组合输入'!$M5,"A",IF(T268&lt;='组合输入'!$N5,"BBB",IF(T268&lt;='组合输入'!$O5,"BB",IF(T268&lt;='组合输入'!$P5,"B",IF(T268&lt;='组合输入'!$Q5,"CCC","D")))))))</f>
        <v/>
      </c>
      <c r="V268" s="12">
        <f>IF(U268="","",INDEX('状态价值'!$D5:$K5,MATCH(U268,'状态价值'!$D$1:$K$1,0)))</f>
        <v/>
      </c>
      <c r="W268" s="15">
        <f>NORM.S.INV(RAND())</f>
        <v/>
      </c>
      <c r="X268" s="15">
        <f>IF('组合输入'!$C6="","",'组合输入'!$H6*$B268+SQRT(1-'组合输入'!$H6^2)*W268)</f>
        <v/>
      </c>
      <c r="Y268" s="7">
        <f>IF(X268="","",NORM.S.DIST(X268,TRUE))</f>
        <v/>
      </c>
      <c r="Z268" s="13">
        <f>IF(Y268="","",IF(Y268&lt;='组合输入'!$K6,"AAA",IF(Y268&lt;='组合输入'!$L6,"AA",IF(Y268&lt;='组合输入'!$M6,"A",IF(Y268&lt;='组合输入'!$N6,"BBB",IF(Y268&lt;='组合输入'!$O6,"BB",IF(Y268&lt;='组合输入'!$P6,"B",IF(Y268&lt;='组合输入'!$Q6,"CCC","D")))))))</f>
        <v/>
      </c>
      <c r="AA268" s="12">
        <f>IF(Z268="","",INDEX('状态价值'!$D6:$K6,MATCH(Z268,'状态价值'!$D$1:$K$1,0)))</f>
        <v/>
      </c>
      <c r="AB268" s="15">
        <f>NORM.S.INV(RAND())</f>
        <v/>
      </c>
      <c r="AC268" s="15">
        <f>IF('组合输入'!$C7="","",'组合输入'!$H7*$B268+SQRT(1-'组合输入'!$H7^2)*AB268)</f>
        <v/>
      </c>
      <c r="AD268" s="7">
        <f>IF(AC268="","",NORM.S.DIST(AC268,TRUE))</f>
        <v/>
      </c>
      <c r="AE268" s="13">
        <f>IF(AD268="","",IF(AD268&lt;='组合输入'!$K7,"AAA",IF(AD268&lt;='组合输入'!$L7,"AA",IF(AD268&lt;='组合输入'!$M7,"A",IF(AD268&lt;='组合输入'!$N7,"BBB",IF(AD268&lt;='组合输入'!$O7,"BB",IF(AD268&lt;='组合输入'!$P7,"B",IF(AD268&lt;='组合输入'!$Q7,"CCC","D")))))))</f>
        <v/>
      </c>
      <c r="AF268" s="12">
        <f>IF(AE268="","",INDEX('状态价值'!$D7:$K7,MATCH(AE268,'状态价值'!$D$1:$K$1,0)))</f>
        <v/>
      </c>
      <c r="AG268" s="15">
        <f>NORM.S.INV(RAND())</f>
        <v/>
      </c>
      <c r="AH268" s="15">
        <f>IF('组合输入'!$C8="","",'组合输入'!$H8*$B268+SQRT(1-'组合输入'!$H8^2)*AG268)</f>
        <v/>
      </c>
      <c r="AI268" s="7">
        <f>IF(AH268="","",NORM.S.DIST(AH268,TRUE))</f>
        <v/>
      </c>
      <c r="AJ268" s="13">
        <f>IF(AI268="","",IF(AI268&lt;='组合输入'!$K8,"AAA",IF(AI268&lt;='组合输入'!$L8,"AA",IF(AI268&lt;='组合输入'!$M8,"A",IF(AI268&lt;='组合输入'!$N8,"BBB",IF(AI268&lt;='组合输入'!$O8,"BB",IF(AI268&lt;='组合输入'!$P8,"B",IF(AI268&lt;='组合输入'!$Q8,"CCC","D")))))))</f>
        <v/>
      </c>
      <c r="AK268" s="12">
        <f>IF(AJ268="","",INDEX('状态价值'!$D8:$K8,MATCH(AJ268,'状态价值'!$D$1:$K$1,0)))</f>
        <v/>
      </c>
      <c r="AL268" s="15">
        <f>NORM.S.INV(RAND())</f>
        <v/>
      </c>
      <c r="AM268" s="15">
        <f>IF('组合输入'!$C9="","",'组合输入'!$H9*$B268+SQRT(1-'组合输入'!$H9^2)*AL268)</f>
        <v/>
      </c>
      <c r="AN268" s="7">
        <f>IF(AM268="","",NORM.S.DIST(AM268,TRUE))</f>
        <v/>
      </c>
      <c r="AO268" s="13">
        <f>IF(AN268="","",IF(AN268&lt;='组合输入'!$K9,"AAA",IF(AN268&lt;='组合输入'!$L9,"AA",IF(AN268&lt;='组合输入'!$M9,"A",IF(AN268&lt;='组合输入'!$N9,"BBB",IF(AN268&lt;='组合输入'!$O9,"BB",IF(AN268&lt;='组合输入'!$P9,"B",IF(AN268&lt;='组合输入'!$Q9,"CCC","D")))))))</f>
        <v/>
      </c>
      <c r="AP268" s="12">
        <f>IF(AO268="","",INDEX('状态价值'!$D9:$K9,MATCH(AO268,'状态价值'!$D$1:$K$1,0)))</f>
        <v/>
      </c>
      <c r="AQ268" s="15">
        <f>NORM.S.INV(RAND())</f>
        <v/>
      </c>
      <c r="AR268" s="15">
        <f>IF('组合输入'!$C10="","",'组合输入'!$H10*$B268+SQRT(1-'组合输入'!$H10^2)*AQ268)</f>
        <v/>
      </c>
      <c r="AS268" s="7">
        <f>IF(AR268="","",NORM.S.DIST(AR268,TRUE))</f>
        <v/>
      </c>
      <c r="AT268" s="13">
        <f>IF(AS268="","",IF(AS268&lt;='组合输入'!$K10,"AAA",IF(AS268&lt;='组合输入'!$L10,"AA",IF(AS268&lt;='组合输入'!$M10,"A",IF(AS268&lt;='组合输入'!$N10,"BBB",IF(AS268&lt;='组合输入'!$O10,"BB",IF(AS268&lt;='组合输入'!$P10,"B",IF(AS268&lt;='组合输入'!$Q10,"CCC","D")))))))</f>
        <v/>
      </c>
      <c r="AU268" s="12">
        <f>IF(AT268="","",INDEX('状态价值'!$D10:$K10,MATCH(AT268,'状态价值'!$D$1:$K$1,0)))</f>
        <v/>
      </c>
      <c r="AV268" s="15">
        <f>NORM.S.INV(RAND())</f>
        <v/>
      </c>
      <c r="AW268" s="15">
        <f>IF('组合输入'!$C11="","",'组合输入'!$H11*$B268+SQRT(1-'组合输入'!$H11^2)*AV268)</f>
        <v/>
      </c>
      <c r="AX268" s="7">
        <f>IF(AW268="","",NORM.S.DIST(AW268,TRUE))</f>
        <v/>
      </c>
      <c r="AY268" s="13">
        <f>IF(AX268="","",IF(AX268&lt;='组合输入'!$K11,"AAA",IF(AX268&lt;='组合输入'!$L11,"AA",IF(AX268&lt;='组合输入'!$M11,"A",IF(AX268&lt;='组合输入'!$N11,"BBB",IF(AX268&lt;='组合输入'!$O11,"BB",IF(AX268&lt;='组合输入'!$P11,"B",IF(AX268&lt;='组合输入'!$Q11,"CCC","D")))))))</f>
        <v/>
      </c>
      <c r="AZ268" s="12">
        <f>IF(AY268="","",INDEX('状态价值'!$D11:$K11,MATCH(AY268,'状态价值'!$D$1:$K$1,0)))</f>
        <v/>
      </c>
      <c r="BA268" s="12">
        <f>G268+L268+Q268+V268+AA268+AF268+AK268+AP268+AU268+AZ268</f>
        <v/>
      </c>
      <c r="BB268" s="12">
        <f>SUM('组合输入'!$J$2:$J$11)-BA268</f>
        <v/>
      </c>
    </row>
    <row r="269">
      <c r="A269" s="11" t="n">
        <v>268</v>
      </c>
      <c r="B269" s="14">
        <f>NORM.S.INV(RAND())</f>
        <v/>
      </c>
      <c r="C269" s="14">
        <f>NORM.S.INV(RAND())</f>
        <v/>
      </c>
      <c r="D269" s="15">
        <f>IF('组合输入'!$C2="","",'组合输入'!$H2*$B269+SQRT(1-'组合输入'!$H2^2)*C269)</f>
        <v/>
      </c>
      <c r="E269" s="7">
        <f>IF(D269="","",NORM.S.DIST(D269,TRUE))</f>
        <v/>
      </c>
      <c r="F269" s="13">
        <f>IF(E269="","",IF(E269&lt;='组合输入'!$K2,"AAA",IF(E269&lt;='组合输入'!$L2,"AA",IF(E269&lt;='组合输入'!$M2,"A",IF(E269&lt;='组合输入'!$N2,"BBB",IF(E269&lt;='组合输入'!$O2,"BB",IF(E269&lt;='组合输入'!$P2,"B",IF(E269&lt;='组合输入'!$Q2,"CCC","D")))))))</f>
        <v/>
      </c>
      <c r="G269" s="12">
        <f>IF(F269="","",INDEX('状态价值'!$D2:$K2,MATCH(F269,'状态价值'!$D$1:$K$1,0)))</f>
        <v/>
      </c>
      <c r="H269" s="15">
        <f>NORM.S.INV(RAND())</f>
        <v/>
      </c>
      <c r="I269" s="15">
        <f>IF('组合输入'!$C3="","",'组合输入'!$H3*$B269+SQRT(1-'组合输入'!$H3^2)*H269)</f>
        <v/>
      </c>
      <c r="J269" s="7">
        <f>IF(I269="","",NORM.S.DIST(I269,TRUE))</f>
        <v/>
      </c>
      <c r="K269" s="13">
        <f>IF(J269="","",IF(J269&lt;='组合输入'!$K3,"AAA",IF(J269&lt;='组合输入'!$L3,"AA",IF(J269&lt;='组合输入'!$M3,"A",IF(J269&lt;='组合输入'!$N3,"BBB",IF(J269&lt;='组合输入'!$O3,"BB",IF(J269&lt;='组合输入'!$P3,"B",IF(J269&lt;='组合输入'!$Q3,"CCC","D")))))))</f>
        <v/>
      </c>
      <c r="L269" s="12">
        <f>IF(K269="","",INDEX('状态价值'!$D3:$K3,MATCH(K269,'状态价值'!$D$1:$K$1,0)))</f>
        <v/>
      </c>
      <c r="M269" s="15">
        <f>NORM.S.INV(RAND())</f>
        <v/>
      </c>
      <c r="N269" s="15">
        <f>IF('组合输入'!$C4="","",'组合输入'!$H4*$B269+SQRT(1-'组合输入'!$H4^2)*M269)</f>
        <v/>
      </c>
      <c r="O269" s="7">
        <f>IF(N269="","",NORM.S.DIST(N269,TRUE))</f>
        <v/>
      </c>
      <c r="P269" s="13">
        <f>IF(O269="","",IF(O269&lt;='组合输入'!$K4,"AAA",IF(O269&lt;='组合输入'!$L4,"AA",IF(O269&lt;='组合输入'!$M4,"A",IF(O269&lt;='组合输入'!$N4,"BBB",IF(O269&lt;='组合输入'!$O4,"BB",IF(O269&lt;='组合输入'!$P4,"B",IF(O269&lt;='组合输入'!$Q4,"CCC","D")))))))</f>
        <v/>
      </c>
      <c r="Q269" s="12">
        <f>IF(P269="","",INDEX('状态价值'!$D4:$K4,MATCH(P269,'状态价值'!$D$1:$K$1,0)))</f>
        <v/>
      </c>
      <c r="R269" s="15">
        <f>NORM.S.INV(RAND())</f>
        <v/>
      </c>
      <c r="S269" s="15">
        <f>IF('组合输入'!$C5="","",'组合输入'!$H5*$B269+SQRT(1-'组合输入'!$H5^2)*R269)</f>
        <v/>
      </c>
      <c r="T269" s="7">
        <f>IF(S269="","",NORM.S.DIST(S269,TRUE))</f>
        <v/>
      </c>
      <c r="U269" s="13">
        <f>IF(T269="","",IF(T269&lt;='组合输入'!$K5,"AAA",IF(T269&lt;='组合输入'!$L5,"AA",IF(T269&lt;='组合输入'!$M5,"A",IF(T269&lt;='组合输入'!$N5,"BBB",IF(T269&lt;='组合输入'!$O5,"BB",IF(T269&lt;='组合输入'!$P5,"B",IF(T269&lt;='组合输入'!$Q5,"CCC","D")))))))</f>
        <v/>
      </c>
      <c r="V269" s="12">
        <f>IF(U269="","",INDEX('状态价值'!$D5:$K5,MATCH(U269,'状态价值'!$D$1:$K$1,0)))</f>
        <v/>
      </c>
      <c r="W269" s="15">
        <f>NORM.S.INV(RAND())</f>
        <v/>
      </c>
      <c r="X269" s="15">
        <f>IF('组合输入'!$C6="","",'组合输入'!$H6*$B269+SQRT(1-'组合输入'!$H6^2)*W269)</f>
        <v/>
      </c>
      <c r="Y269" s="7">
        <f>IF(X269="","",NORM.S.DIST(X269,TRUE))</f>
        <v/>
      </c>
      <c r="Z269" s="13">
        <f>IF(Y269="","",IF(Y269&lt;='组合输入'!$K6,"AAA",IF(Y269&lt;='组合输入'!$L6,"AA",IF(Y269&lt;='组合输入'!$M6,"A",IF(Y269&lt;='组合输入'!$N6,"BBB",IF(Y269&lt;='组合输入'!$O6,"BB",IF(Y269&lt;='组合输入'!$P6,"B",IF(Y269&lt;='组合输入'!$Q6,"CCC","D")))))))</f>
        <v/>
      </c>
      <c r="AA269" s="12">
        <f>IF(Z269="","",INDEX('状态价值'!$D6:$K6,MATCH(Z269,'状态价值'!$D$1:$K$1,0)))</f>
        <v/>
      </c>
      <c r="AB269" s="15">
        <f>NORM.S.INV(RAND())</f>
        <v/>
      </c>
      <c r="AC269" s="15">
        <f>IF('组合输入'!$C7="","",'组合输入'!$H7*$B269+SQRT(1-'组合输入'!$H7^2)*AB269)</f>
        <v/>
      </c>
      <c r="AD269" s="7">
        <f>IF(AC269="","",NORM.S.DIST(AC269,TRUE))</f>
        <v/>
      </c>
      <c r="AE269" s="13">
        <f>IF(AD269="","",IF(AD269&lt;='组合输入'!$K7,"AAA",IF(AD269&lt;='组合输入'!$L7,"AA",IF(AD269&lt;='组合输入'!$M7,"A",IF(AD269&lt;='组合输入'!$N7,"BBB",IF(AD269&lt;='组合输入'!$O7,"BB",IF(AD269&lt;='组合输入'!$P7,"B",IF(AD269&lt;='组合输入'!$Q7,"CCC","D")))))))</f>
        <v/>
      </c>
      <c r="AF269" s="12">
        <f>IF(AE269="","",INDEX('状态价值'!$D7:$K7,MATCH(AE269,'状态价值'!$D$1:$K$1,0)))</f>
        <v/>
      </c>
      <c r="AG269" s="15">
        <f>NORM.S.INV(RAND())</f>
        <v/>
      </c>
      <c r="AH269" s="15">
        <f>IF('组合输入'!$C8="","",'组合输入'!$H8*$B269+SQRT(1-'组合输入'!$H8^2)*AG269)</f>
        <v/>
      </c>
      <c r="AI269" s="7">
        <f>IF(AH269="","",NORM.S.DIST(AH269,TRUE))</f>
        <v/>
      </c>
      <c r="AJ269" s="13">
        <f>IF(AI269="","",IF(AI269&lt;='组合输入'!$K8,"AAA",IF(AI269&lt;='组合输入'!$L8,"AA",IF(AI269&lt;='组合输入'!$M8,"A",IF(AI269&lt;='组合输入'!$N8,"BBB",IF(AI269&lt;='组合输入'!$O8,"BB",IF(AI269&lt;='组合输入'!$P8,"B",IF(AI269&lt;='组合输入'!$Q8,"CCC","D")))))))</f>
        <v/>
      </c>
      <c r="AK269" s="12">
        <f>IF(AJ269="","",INDEX('状态价值'!$D8:$K8,MATCH(AJ269,'状态价值'!$D$1:$K$1,0)))</f>
        <v/>
      </c>
      <c r="AL269" s="15">
        <f>NORM.S.INV(RAND())</f>
        <v/>
      </c>
      <c r="AM269" s="15">
        <f>IF('组合输入'!$C9="","",'组合输入'!$H9*$B269+SQRT(1-'组合输入'!$H9^2)*AL269)</f>
        <v/>
      </c>
      <c r="AN269" s="7">
        <f>IF(AM269="","",NORM.S.DIST(AM269,TRUE))</f>
        <v/>
      </c>
      <c r="AO269" s="13">
        <f>IF(AN269="","",IF(AN269&lt;='组合输入'!$K9,"AAA",IF(AN269&lt;='组合输入'!$L9,"AA",IF(AN269&lt;='组合输入'!$M9,"A",IF(AN269&lt;='组合输入'!$N9,"BBB",IF(AN269&lt;='组合输入'!$O9,"BB",IF(AN269&lt;='组合输入'!$P9,"B",IF(AN269&lt;='组合输入'!$Q9,"CCC","D")))))))</f>
        <v/>
      </c>
      <c r="AP269" s="12">
        <f>IF(AO269="","",INDEX('状态价值'!$D9:$K9,MATCH(AO269,'状态价值'!$D$1:$K$1,0)))</f>
        <v/>
      </c>
      <c r="AQ269" s="15">
        <f>NORM.S.INV(RAND())</f>
        <v/>
      </c>
      <c r="AR269" s="15">
        <f>IF('组合输入'!$C10="","",'组合输入'!$H10*$B269+SQRT(1-'组合输入'!$H10^2)*AQ269)</f>
        <v/>
      </c>
      <c r="AS269" s="7">
        <f>IF(AR269="","",NORM.S.DIST(AR269,TRUE))</f>
        <v/>
      </c>
      <c r="AT269" s="13">
        <f>IF(AS269="","",IF(AS269&lt;='组合输入'!$K10,"AAA",IF(AS269&lt;='组合输入'!$L10,"AA",IF(AS269&lt;='组合输入'!$M10,"A",IF(AS269&lt;='组合输入'!$N10,"BBB",IF(AS269&lt;='组合输入'!$O10,"BB",IF(AS269&lt;='组合输入'!$P10,"B",IF(AS269&lt;='组合输入'!$Q10,"CCC","D")))))))</f>
        <v/>
      </c>
      <c r="AU269" s="12">
        <f>IF(AT269="","",INDEX('状态价值'!$D10:$K10,MATCH(AT269,'状态价值'!$D$1:$K$1,0)))</f>
        <v/>
      </c>
      <c r="AV269" s="15">
        <f>NORM.S.INV(RAND())</f>
        <v/>
      </c>
      <c r="AW269" s="15">
        <f>IF('组合输入'!$C11="","",'组合输入'!$H11*$B269+SQRT(1-'组合输入'!$H11^2)*AV269)</f>
        <v/>
      </c>
      <c r="AX269" s="7">
        <f>IF(AW269="","",NORM.S.DIST(AW269,TRUE))</f>
        <v/>
      </c>
      <c r="AY269" s="13">
        <f>IF(AX269="","",IF(AX269&lt;='组合输入'!$K11,"AAA",IF(AX269&lt;='组合输入'!$L11,"AA",IF(AX269&lt;='组合输入'!$M11,"A",IF(AX269&lt;='组合输入'!$N11,"BBB",IF(AX269&lt;='组合输入'!$O11,"BB",IF(AX269&lt;='组合输入'!$P11,"B",IF(AX269&lt;='组合输入'!$Q11,"CCC","D")))))))</f>
        <v/>
      </c>
      <c r="AZ269" s="12">
        <f>IF(AY269="","",INDEX('状态价值'!$D11:$K11,MATCH(AY269,'状态价值'!$D$1:$K$1,0)))</f>
        <v/>
      </c>
      <c r="BA269" s="12">
        <f>G269+L269+Q269+V269+AA269+AF269+AK269+AP269+AU269+AZ269</f>
        <v/>
      </c>
      <c r="BB269" s="12">
        <f>SUM('组合输入'!$J$2:$J$11)-BA269</f>
        <v/>
      </c>
    </row>
    <row r="270">
      <c r="A270" s="11" t="n">
        <v>269</v>
      </c>
      <c r="B270" s="14">
        <f>NORM.S.INV(RAND())</f>
        <v/>
      </c>
      <c r="C270" s="14">
        <f>NORM.S.INV(RAND())</f>
        <v/>
      </c>
      <c r="D270" s="15">
        <f>IF('组合输入'!$C2="","",'组合输入'!$H2*$B270+SQRT(1-'组合输入'!$H2^2)*C270)</f>
        <v/>
      </c>
      <c r="E270" s="7">
        <f>IF(D270="","",NORM.S.DIST(D270,TRUE))</f>
        <v/>
      </c>
      <c r="F270" s="13">
        <f>IF(E270="","",IF(E270&lt;='组合输入'!$K2,"AAA",IF(E270&lt;='组合输入'!$L2,"AA",IF(E270&lt;='组合输入'!$M2,"A",IF(E270&lt;='组合输入'!$N2,"BBB",IF(E270&lt;='组合输入'!$O2,"BB",IF(E270&lt;='组合输入'!$P2,"B",IF(E270&lt;='组合输入'!$Q2,"CCC","D")))))))</f>
        <v/>
      </c>
      <c r="G270" s="12">
        <f>IF(F270="","",INDEX('状态价值'!$D2:$K2,MATCH(F270,'状态价值'!$D$1:$K$1,0)))</f>
        <v/>
      </c>
      <c r="H270" s="15">
        <f>NORM.S.INV(RAND())</f>
        <v/>
      </c>
      <c r="I270" s="15">
        <f>IF('组合输入'!$C3="","",'组合输入'!$H3*$B270+SQRT(1-'组合输入'!$H3^2)*H270)</f>
        <v/>
      </c>
      <c r="J270" s="7">
        <f>IF(I270="","",NORM.S.DIST(I270,TRUE))</f>
        <v/>
      </c>
      <c r="K270" s="13">
        <f>IF(J270="","",IF(J270&lt;='组合输入'!$K3,"AAA",IF(J270&lt;='组合输入'!$L3,"AA",IF(J270&lt;='组合输入'!$M3,"A",IF(J270&lt;='组合输入'!$N3,"BBB",IF(J270&lt;='组合输入'!$O3,"BB",IF(J270&lt;='组合输入'!$P3,"B",IF(J270&lt;='组合输入'!$Q3,"CCC","D")))))))</f>
        <v/>
      </c>
      <c r="L270" s="12">
        <f>IF(K270="","",INDEX('状态价值'!$D3:$K3,MATCH(K270,'状态价值'!$D$1:$K$1,0)))</f>
        <v/>
      </c>
      <c r="M270" s="15">
        <f>NORM.S.INV(RAND())</f>
        <v/>
      </c>
      <c r="N270" s="15">
        <f>IF('组合输入'!$C4="","",'组合输入'!$H4*$B270+SQRT(1-'组合输入'!$H4^2)*M270)</f>
        <v/>
      </c>
      <c r="O270" s="7">
        <f>IF(N270="","",NORM.S.DIST(N270,TRUE))</f>
        <v/>
      </c>
      <c r="P270" s="13">
        <f>IF(O270="","",IF(O270&lt;='组合输入'!$K4,"AAA",IF(O270&lt;='组合输入'!$L4,"AA",IF(O270&lt;='组合输入'!$M4,"A",IF(O270&lt;='组合输入'!$N4,"BBB",IF(O270&lt;='组合输入'!$O4,"BB",IF(O270&lt;='组合输入'!$P4,"B",IF(O270&lt;='组合输入'!$Q4,"CCC","D")))))))</f>
        <v/>
      </c>
      <c r="Q270" s="12">
        <f>IF(P270="","",INDEX('状态价值'!$D4:$K4,MATCH(P270,'状态价值'!$D$1:$K$1,0)))</f>
        <v/>
      </c>
      <c r="R270" s="15">
        <f>NORM.S.INV(RAND())</f>
        <v/>
      </c>
      <c r="S270" s="15">
        <f>IF('组合输入'!$C5="","",'组合输入'!$H5*$B270+SQRT(1-'组合输入'!$H5^2)*R270)</f>
        <v/>
      </c>
      <c r="T270" s="7">
        <f>IF(S270="","",NORM.S.DIST(S270,TRUE))</f>
        <v/>
      </c>
      <c r="U270" s="13">
        <f>IF(T270="","",IF(T270&lt;='组合输入'!$K5,"AAA",IF(T270&lt;='组合输入'!$L5,"AA",IF(T270&lt;='组合输入'!$M5,"A",IF(T270&lt;='组合输入'!$N5,"BBB",IF(T270&lt;='组合输入'!$O5,"BB",IF(T270&lt;='组合输入'!$P5,"B",IF(T270&lt;='组合输入'!$Q5,"CCC","D")))))))</f>
        <v/>
      </c>
      <c r="V270" s="12">
        <f>IF(U270="","",INDEX('状态价值'!$D5:$K5,MATCH(U270,'状态价值'!$D$1:$K$1,0)))</f>
        <v/>
      </c>
      <c r="W270" s="15">
        <f>NORM.S.INV(RAND())</f>
        <v/>
      </c>
      <c r="X270" s="15">
        <f>IF('组合输入'!$C6="","",'组合输入'!$H6*$B270+SQRT(1-'组合输入'!$H6^2)*W270)</f>
        <v/>
      </c>
      <c r="Y270" s="7">
        <f>IF(X270="","",NORM.S.DIST(X270,TRUE))</f>
        <v/>
      </c>
      <c r="Z270" s="13">
        <f>IF(Y270="","",IF(Y270&lt;='组合输入'!$K6,"AAA",IF(Y270&lt;='组合输入'!$L6,"AA",IF(Y270&lt;='组合输入'!$M6,"A",IF(Y270&lt;='组合输入'!$N6,"BBB",IF(Y270&lt;='组合输入'!$O6,"BB",IF(Y270&lt;='组合输入'!$P6,"B",IF(Y270&lt;='组合输入'!$Q6,"CCC","D")))))))</f>
        <v/>
      </c>
      <c r="AA270" s="12">
        <f>IF(Z270="","",INDEX('状态价值'!$D6:$K6,MATCH(Z270,'状态价值'!$D$1:$K$1,0)))</f>
        <v/>
      </c>
      <c r="AB270" s="15">
        <f>NORM.S.INV(RAND())</f>
        <v/>
      </c>
      <c r="AC270" s="15">
        <f>IF('组合输入'!$C7="","",'组合输入'!$H7*$B270+SQRT(1-'组合输入'!$H7^2)*AB270)</f>
        <v/>
      </c>
      <c r="AD270" s="7">
        <f>IF(AC270="","",NORM.S.DIST(AC270,TRUE))</f>
        <v/>
      </c>
      <c r="AE270" s="13">
        <f>IF(AD270="","",IF(AD270&lt;='组合输入'!$K7,"AAA",IF(AD270&lt;='组合输入'!$L7,"AA",IF(AD270&lt;='组合输入'!$M7,"A",IF(AD270&lt;='组合输入'!$N7,"BBB",IF(AD270&lt;='组合输入'!$O7,"BB",IF(AD270&lt;='组合输入'!$P7,"B",IF(AD270&lt;='组合输入'!$Q7,"CCC","D")))))))</f>
        <v/>
      </c>
      <c r="AF270" s="12">
        <f>IF(AE270="","",INDEX('状态价值'!$D7:$K7,MATCH(AE270,'状态价值'!$D$1:$K$1,0)))</f>
        <v/>
      </c>
      <c r="AG270" s="15">
        <f>NORM.S.INV(RAND())</f>
        <v/>
      </c>
      <c r="AH270" s="15">
        <f>IF('组合输入'!$C8="","",'组合输入'!$H8*$B270+SQRT(1-'组合输入'!$H8^2)*AG270)</f>
        <v/>
      </c>
      <c r="AI270" s="7">
        <f>IF(AH270="","",NORM.S.DIST(AH270,TRUE))</f>
        <v/>
      </c>
      <c r="AJ270" s="13">
        <f>IF(AI270="","",IF(AI270&lt;='组合输入'!$K8,"AAA",IF(AI270&lt;='组合输入'!$L8,"AA",IF(AI270&lt;='组合输入'!$M8,"A",IF(AI270&lt;='组合输入'!$N8,"BBB",IF(AI270&lt;='组合输入'!$O8,"BB",IF(AI270&lt;='组合输入'!$P8,"B",IF(AI270&lt;='组合输入'!$Q8,"CCC","D")))))))</f>
        <v/>
      </c>
      <c r="AK270" s="12">
        <f>IF(AJ270="","",INDEX('状态价值'!$D8:$K8,MATCH(AJ270,'状态价值'!$D$1:$K$1,0)))</f>
        <v/>
      </c>
      <c r="AL270" s="15">
        <f>NORM.S.INV(RAND())</f>
        <v/>
      </c>
      <c r="AM270" s="15">
        <f>IF('组合输入'!$C9="","",'组合输入'!$H9*$B270+SQRT(1-'组合输入'!$H9^2)*AL270)</f>
        <v/>
      </c>
      <c r="AN270" s="7">
        <f>IF(AM270="","",NORM.S.DIST(AM270,TRUE))</f>
        <v/>
      </c>
      <c r="AO270" s="13">
        <f>IF(AN270="","",IF(AN270&lt;='组合输入'!$K9,"AAA",IF(AN270&lt;='组合输入'!$L9,"AA",IF(AN270&lt;='组合输入'!$M9,"A",IF(AN270&lt;='组合输入'!$N9,"BBB",IF(AN270&lt;='组合输入'!$O9,"BB",IF(AN270&lt;='组合输入'!$P9,"B",IF(AN270&lt;='组合输入'!$Q9,"CCC","D")))))))</f>
        <v/>
      </c>
      <c r="AP270" s="12">
        <f>IF(AO270="","",INDEX('状态价值'!$D9:$K9,MATCH(AO270,'状态价值'!$D$1:$K$1,0)))</f>
        <v/>
      </c>
      <c r="AQ270" s="15">
        <f>NORM.S.INV(RAND())</f>
        <v/>
      </c>
      <c r="AR270" s="15">
        <f>IF('组合输入'!$C10="","",'组合输入'!$H10*$B270+SQRT(1-'组合输入'!$H10^2)*AQ270)</f>
        <v/>
      </c>
      <c r="AS270" s="7">
        <f>IF(AR270="","",NORM.S.DIST(AR270,TRUE))</f>
        <v/>
      </c>
      <c r="AT270" s="13">
        <f>IF(AS270="","",IF(AS270&lt;='组合输入'!$K10,"AAA",IF(AS270&lt;='组合输入'!$L10,"AA",IF(AS270&lt;='组合输入'!$M10,"A",IF(AS270&lt;='组合输入'!$N10,"BBB",IF(AS270&lt;='组合输入'!$O10,"BB",IF(AS270&lt;='组合输入'!$P10,"B",IF(AS270&lt;='组合输入'!$Q10,"CCC","D")))))))</f>
        <v/>
      </c>
      <c r="AU270" s="12">
        <f>IF(AT270="","",INDEX('状态价值'!$D10:$K10,MATCH(AT270,'状态价值'!$D$1:$K$1,0)))</f>
        <v/>
      </c>
      <c r="AV270" s="15">
        <f>NORM.S.INV(RAND())</f>
        <v/>
      </c>
      <c r="AW270" s="15">
        <f>IF('组合输入'!$C11="","",'组合输入'!$H11*$B270+SQRT(1-'组合输入'!$H11^2)*AV270)</f>
        <v/>
      </c>
      <c r="AX270" s="7">
        <f>IF(AW270="","",NORM.S.DIST(AW270,TRUE))</f>
        <v/>
      </c>
      <c r="AY270" s="13">
        <f>IF(AX270="","",IF(AX270&lt;='组合输入'!$K11,"AAA",IF(AX270&lt;='组合输入'!$L11,"AA",IF(AX270&lt;='组合输入'!$M11,"A",IF(AX270&lt;='组合输入'!$N11,"BBB",IF(AX270&lt;='组合输入'!$O11,"BB",IF(AX270&lt;='组合输入'!$P11,"B",IF(AX270&lt;='组合输入'!$Q11,"CCC","D")))))))</f>
        <v/>
      </c>
      <c r="AZ270" s="12">
        <f>IF(AY270="","",INDEX('状态价值'!$D11:$K11,MATCH(AY270,'状态价值'!$D$1:$K$1,0)))</f>
        <v/>
      </c>
      <c r="BA270" s="12">
        <f>G270+L270+Q270+V270+AA270+AF270+AK270+AP270+AU270+AZ270</f>
        <v/>
      </c>
      <c r="BB270" s="12">
        <f>SUM('组合输入'!$J$2:$J$11)-BA270</f>
        <v/>
      </c>
    </row>
    <row r="271">
      <c r="A271" s="11" t="n">
        <v>270</v>
      </c>
      <c r="B271" s="14">
        <f>NORM.S.INV(RAND())</f>
        <v/>
      </c>
      <c r="C271" s="14">
        <f>NORM.S.INV(RAND())</f>
        <v/>
      </c>
      <c r="D271" s="15">
        <f>IF('组合输入'!$C2="","",'组合输入'!$H2*$B271+SQRT(1-'组合输入'!$H2^2)*C271)</f>
        <v/>
      </c>
      <c r="E271" s="7">
        <f>IF(D271="","",NORM.S.DIST(D271,TRUE))</f>
        <v/>
      </c>
      <c r="F271" s="13">
        <f>IF(E271="","",IF(E271&lt;='组合输入'!$K2,"AAA",IF(E271&lt;='组合输入'!$L2,"AA",IF(E271&lt;='组合输入'!$M2,"A",IF(E271&lt;='组合输入'!$N2,"BBB",IF(E271&lt;='组合输入'!$O2,"BB",IF(E271&lt;='组合输入'!$P2,"B",IF(E271&lt;='组合输入'!$Q2,"CCC","D")))))))</f>
        <v/>
      </c>
      <c r="G271" s="12">
        <f>IF(F271="","",INDEX('状态价值'!$D2:$K2,MATCH(F271,'状态价值'!$D$1:$K$1,0)))</f>
        <v/>
      </c>
      <c r="H271" s="15">
        <f>NORM.S.INV(RAND())</f>
        <v/>
      </c>
      <c r="I271" s="15">
        <f>IF('组合输入'!$C3="","",'组合输入'!$H3*$B271+SQRT(1-'组合输入'!$H3^2)*H271)</f>
        <v/>
      </c>
      <c r="J271" s="7">
        <f>IF(I271="","",NORM.S.DIST(I271,TRUE))</f>
        <v/>
      </c>
      <c r="K271" s="13">
        <f>IF(J271="","",IF(J271&lt;='组合输入'!$K3,"AAA",IF(J271&lt;='组合输入'!$L3,"AA",IF(J271&lt;='组合输入'!$M3,"A",IF(J271&lt;='组合输入'!$N3,"BBB",IF(J271&lt;='组合输入'!$O3,"BB",IF(J271&lt;='组合输入'!$P3,"B",IF(J271&lt;='组合输入'!$Q3,"CCC","D")))))))</f>
        <v/>
      </c>
      <c r="L271" s="12">
        <f>IF(K271="","",INDEX('状态价值'!$D3:$K3,MATCH(K271,'状态价值'!$D$1:$K$1,0)))</f>
        <v/>
      </c>
      <c r="M271" s="15">
        <f>NORM.S.INV(RAND())</f>
        <v/>
      </c>
      <c r="N271" s="15">
        <f>IF('组合输入'!$C4="","",'组合输入'!$H4*$B271+SQRT(1-'组合输入'!$H4^2)*M271)</f>
        <v/>
      </c>
      <c r="O271" s="7">
        <f>IF(N271="","",NORM.S.DIST(N271,TRUE))</f>
        <v/>
      </c>
      <c r="P271" s="13">
        <f>IF(O271="","",IF(O271&lt;='组合输入'!$K4,"AAA",IF(O271&lt;='组合输入'!$L4,"AA",IF(O271&lt;='组合输入'!$M4,"A",IF(O271&lt;='组合输入'!$N4,"BBB",IF(O271&lt;='组合输入'!$O4,"BB",IF(O271&lt;='组合输入'!$P4,"B",IF(O271&lt;='组合输入'!$Q4,"CCC","D")))))))</f>
        <v/>
      </c>
      <c r="Q271" s="12">
        <f>IF(P271="","",INDEX('状态价值'!$D4:$K4,MATCH(P271,'状态价值'!$D$1:$K$1,0)))</f>
        <v/>
      </c>
      <c r="R271" s="15">
        <f>NORM.S.INV(RAND())</f>
        <v/>
      </c>
      <c r="S271" s="15">
        <f>IF('组合输入'!$C5="","",'组合输入'!$H5*$B271+SQRT(1-'组合输入'!$H5^2)*R271)</f>
        <v/>
      </c>
      <c r="T271" s="7">
        <f>IF(S271="","",NORM.S.DIST(S271,TRUE))</f>
        <v/>
      </c>
      <c r="U271" s="13">
        <f>IF(T271="","",IF(T271&lt;='组合输入'!$K5,"AAA",IF(T271&lt;='组合输入'!$L5,"AA",IF(T271&lt;='组合输入'!$M5,"A",IF(T271&lt;='组合输入'!$N5,"BBB",IF(T271&lt;='组合输入'!$O5,"BB",IF(T271&lt;='组合输入'!$P5,"B",IF(T271&lt;='组合输入'!$Q5,"CCC","D")))))))</f>
        <v/>
      </c>
      <c r="V271" s="12">
        <f>IF(U271="","",INDEX('状态价值'!$D5:$K5,MATCH(U271,'状态价值'!$D$1:$K$1,0)))</f>
        <v/>
      </c>
      <c r="W271" s="15">
        <f>NORM.S.INV(RAND())</f>
        <v/>
      </c>
      <c r="X271" s="15">
        <f>IF('组合输入'!$C6="","",'组合输入'!$H6*$B271+SQRT(1-'组合输入'!$H6^2)*W271)</f>
        <v/>
      </c>
      <c r="Y271" s="7">
        <f>IF(X271="","",NORM.S.DIST(X271,TRUE))</f>
        <v/>
      </c>
      <c r="Z271" s="13">
        <f>IF(Y271="","",IF(Y271&lt;='组合输入'!$K6,"AAA",IF(Y271&lt;='组合输入'!$L6,"AA",IF(Y271&lt;='组合输入'!$M6,"A",IF(Y271&lt;='组合输入'!$N6,"BBB",IF(Y271&lt;='组合输入'!$O6,"BB",IF(Y271&lt;='组合输入'!$P6,"B",IF(Y271&lt;='组合输入'!$Q6,"CCC","D")))))))</f>
        <v/>
      </c>
      <c r="AA271" s="12">
        <f>IF(Z271="","",INDEX('状态价值'!$D6:$K6,MATCH(Z271,'状态价值'!$D$1:$K$1,0)))</f>
        <v/>
      </c>
      <c r="AB271" s="15">
        <f>NORM.S.INV(RAND())</f>
        <v/>
      </c>
      <c r="AC271" s="15">
        <f>IF('组合输入'!$C7="","",'组合输入'!$H7*$B271+SQRT(1-'组合输入'!$H7^2)*AB271)</f>
        <v/>
      </c>
      <c r="AD271" s="7">
        <f>IF(AC271="","",NORM.S.DIST(AC271,TRUE))</f>
        <v/>
      </c>
      <c r="AE271" s="13">
        <f>IF(AD271="","",IF(AD271&lt;='组合输入'!$K7,"AAA",IF(AD271&lt;='组合输入'!$L7,"AA",IF(AD271&lt;='组合输入'!$M7,"A",IF(AD271&lt;='组合输入'!$N7,"BBB",IF(AD271&lt;='组合输入'!$O7,"BB",IF(AD271&lt;='组合输入'!$P7,"B",IF(AD271&lt;='组合输入'!$Q7,"CCC","D")))))))</f>
        <v/>
      </c>
      <c r="AF271" s="12">
        <f>IF(AE271="","",INDEX('状态价值'!$D7:$K7,MATCH(AE271,'状态价值'!$D$1:$K$1,0)))</f>
        <v/>
      </c>
      <c r="AG271" s="15">
        <f>NORM.S.INV(RAND())</f>
        <v/>
      </c>
      <c r="AH271" s="15">
        <f>IF('组合输入'!$C8="","",'组合输入'!$H8*$B271+SQRT(1-'组合输入'!$H8^2)*AG271)</f>
        <v/>
      </c>
      <c r="AI271" s="7">
        <f>IF(AH271="","",NORM.S.DIST(AH271,TRUE))</f>
        <v/>
      </c>
      <c r="AJ271" s="13">
        <f>IF(AI271="","",IF(AI271&lt;='组合输入'!$K8,"AAA",IF(AI271&lt;='组合输入'!$L8,"AA",IF(AI271&lt;='组合输入'!$M8,"A",IF(AI271&lt;='组合输入'!$N8,"BBB",IF(AI271&lt;='组合输入'!$O8,"BB",IF(AI271&lt;='组合输入'!$P8,"B",IF(AI271&lt;='组合输入'!$Q8,"CCC","D")))))))</f>
        <v/>
      </c>
      <c r="AK271" s="12">
        <f>IF(AJ271="","",INDEX('状态价值'!$D8:$K8,MATCH(AJ271,'状态价值'!$D$1:$K$1,0)))</f>
        <v/>
      </c>
      <c r="AL271" s="15">
        <f>NORM.S.INV(RAND())</f>
        <v/>
      </c>
      <c r="AM271" s="15">
        <f>IF('组合输入'!$C9="","",'组合输入'!$H9*$B271+SQRT(1-'组合输入'!$H9^2)*AL271)</f>
        <v/>
      </c>
      <c r="AN271" s="7">
        <f>IF(AM271="","",NORM.S.DIST(AM271,TRUE))</f>
        <v/>
      </c>
      <c r="AO271" s="13">
        <f>IF(AN271="","",IF(AN271&lt;='组合输入'!$K9,"AAA",IF(AN271&lt;='组合输入'!$L9,"AA",IF(AN271&lt;='组合输入'!$M9,"A",IF(AN271&lt;='组合输入'!$N9,"BBB",IF(AN271&lt;='组合输入'!$O9,"BB",IF(AN271&lt;='组合输入'!$P9,"B",IF(AN271&lt;='组合输入'!$Q9,"CCC","D")))))))</f>
        <v/>
      </c>
      <c r="AP271" s="12">
        <f>IF(AO271="","",INDEX('状态价值'!$D9:$K9,MATCH(AO271,'状态价值'!$D$1:$K$1,0)))</f>
        <v/>
      </c>
      <c r="AQ271" s="15">
        <f>NORM.S.INV(RAND())</f>
        <v/>
      </c>
      <c r="AR271" s="15">
        <f>IF('组合输入'!$C10="","",'组合输入'!$H10*$B271+SQRT(1-'组合输入'!$H10^2)*AQ271)</f>
        <v/>
      </c>
      <c r="AS271" s="7">
        <f>IF(AR271="","",NORM.S.DIST(AR271,TRUE))</f>
        <v/>
      </c>
      <c r="AT271" s="13">
        <f>IF(AS271="","",IF(AS271&lt;='组合输入'!$K10,"AAA",IF(AS271&lt;='组合输入'!$L10,"AA",IF(AS271&lt;='组合输入'!$M10,"A",IF(AS271&lt;='组合输入'!$N10,"BBB",IF(AS271&lt;='组合输入'!$O10,"BB",IF(AS271&lt;='组合输入'!$P10,"B",IF(AS271&lt;='组合输入'!$Q10,"CCC","D")))))))</f>
        <v/>
      </c>
      <c r="AU271" s="12">
        <f>IF(AT271="","",INDEX('状态价值'!$D10:$K10,MATCH(AT271,'状态价值'!$D$1:$K$1,0)))</f>
        <v/>
      </c>
      <c r="AV271" s="15">
        <f>NORM.S.INV(RAND())</f>
        <v/>
      </c>
      <c r="AW271" s="15">
        <f>IF('组合输入'!$C11="","",'组合输入'!$H11*$B271+SQRT(1-'组合输入'!$H11^2)*AV271)</f>
        <v/>
      </c>
      <c r="AX271" s="7">
        <f>IF(AW271="","",NORM.S.DIST(AW271,TRUE))</f>
        <v/>
      </c>
      <c r="AY271" s="13">
        <f>IF(AX271="","",IF(AX271&lt;='组合输入'!$K11,"AAA",IF(AX271&lt;='组合输入'!$L11,"AA",IF(AX271&lt;='组合输入'!$M11,"A",IF(AX271&lt;='组合输入'!$N11,"BBB",IF(AX271&lt;='组合输入'!$O11,"BB",IF(AX271&lt;='组合输入'!$P11,"B",IF(AX271&lt;='组合输入'!$Q11,"CCC","D")))))))</f>
        <v/>
      </c>
      <c r="AZ271" s="12">
        <f>IF(AY271="","",INDEX('状态价值'!$D11:$K11,MATCH(AY271,'状态价值'!$D$1:$K$1,0)))</f>
        <v/>
      </c>
      <c r="BA271" s="12">
        <f>G271+L271+Q271+V271+AA271+AF271+AK271+AP271+AU271+AZ271</f>
        <v/>
      </c>
      <c r="BB271" s="12">
        <f>SUM('组合输入'!$J$2:$J$11)-BA271</f>
        <v/>
      </c>
    </row>
    <row r="272">
      <c r="A272" s="11" t="n">
        <v>271</v>
      </c>
      <c r="B272" s="14">
        <f>NORM.S.INV(RAND())</f>
        <v/>
      </c>
      <c r="C272" s="14">
        <f>NORM.S.INV(RAND())</f>
        <v/>
      </c>
      <c r="D272" s="15">
        <f>IF('组合输入'!$C2="","",'组合输入'!$H2*$B272+SQRT(1-'组合输入'!$H2^2)*C272)</f>
        <v/>
      </c>
      <c r="E272" s="7">
        <f>IF(D272="","",NORM.S.DIST(D272,TRUE))</f>
        <v/>
      </c>
      <c r="F272" s="13">
        <f>IF(E272="","",IF(E272&lt;='组合输入'!$K2,"AAA",IF(E272&lt;='组合输入'!$L2,"AA",IF(E272&lt;='组合输入'!$M2,"A",IF(E272&lt;='组合输入'!$N2,"BBB",IF(E272&lt;='组合输入'!$O2,"BB",IF(E272&lt;='组合输入'!$P2,"B",IF(E272&lt;='组合输入'!$Q2,"CCC","D")))))))</f>
        <v/>
      </c>
      <c r="G272" s="12">
        <f>IF(F272="","",INDEX('状态价值'!$D2:$K2,MATCH(F272,'状态价值'!$D$1:$K$1,0)))</f>
        <v/>
      </c>
      <c r="H272" s="15">
        <f>NORM.S.INV(RAND())</f>
        <v/>
      </c>
      <c r="I272" s="15">
        <f>IF('组合输入'!$C3="","",'组合输入'!$H3*$B272+SQRT(1-'组合输入'!$H3^2)*H272)</f>
        <v/>
      </c>
      <c r="J272" s="7">
        <f>IF(I272="","",NORM.S.DIST(I272,TRUE))</f>
        <v/>
      </c>
      <c r="K272" s="13">
        <f>IF(J272="","",IF(J272&lt;='组合输入'!$K3,"AAA",IF(J272&lt;='组合输入'!$L3,"AA",IF(J272&lt;='组合输入'!$M3,"A",IF(J272&lt;='组合输入'!$N3,"BBB",IF(J272&lt;='组合输入'!$O3,"BB",IF(J272&lt;='组合输入'!$P3,"B",IF(J272&lt;='组合输入'!$Q3,"CCC","D")))))))</f>
        <v/>
      </c>
      <c r="L272" s="12">
        <f>IF(K272="","",INDEX('状态价值'!$D3:$K3,MATCH(K272,'状态价值'!$D$1:$K$1,0)))</f>
        <v/>
      </c>
      <c r="M272" s="15">
        <f>NORM.S.INV(RAND())</f>
        <v/>
      </c>
      <c r="N272" s="15">
        <f>IF('组合输入'!$C4="","",'组合输入'!$H4*$B272+SQRT(1-'组合输入'!$H4^2)*M272)</f>
        <v/>
      </c>
      <c r="O272" s="7">
        <f>IF(N272="","",NORM.S.DIST(N272,TRUE))</f>
        <v/>
      </c>
      <c r="P272" s="13">
        <f>IF(O272="","",IF(O272&lt;='组合输入'!$K4,"AAA",IF(O272&lt;='组合输入'!$L4,"AA",IF(O272&lt;='组合输入'!$M4,"A",IF(O272&lt;='组合输入'!$N4,"BBB",IF(O272&lt;='组合输入'!$O4,"BB",IF(O272&lt;='组合输入'!$P4,"B",IF(O272&lt;='组合输入'!$Q4,"CCC","D")))))))</f>
        <v/>
      </c>
      <c r="Q272" s="12">
        <f>IF(P272="","",INDEX('状态价值'!$D4:$K4,MATCH(P272,'状态价值'!$D$1:$K$1,0)))</f>
        <v/>
      </c>
      <c r="R272" s="15">
        <f>NORM.S.INV(RAND())</f>
        <v/>
      </c>
      <c r="S272" s="15">
        <f>IF('组合输入'!$C5="","",'组合输入'!$H5*$B272+SQRT(1-'组合输入'!$H5^2)*R272)</f>
        <v/>
      </c>
      <c r="T272" s="7">
        <f>IF(S272="","",NORM.S.DIST(S272,TRUE))</f>
        <v/>
      </c>
      <c r="U272" s="13">
        <f>IF(T272="","",IF(T272&lt;='组合输入'!$K5,"AAA",IF(T272&lt;='组合输入'!$L5,"AA",IF(T272&lt;='组合输入'!$M5,"A",IF(T272&lt;='组合输入'!$N5,"BBB",IF(T272&lt;='组合输入'!$O5,"BB",IF(T272&lt;='组合输入'!$P5,"B",IF(T272&lt;='组合输入'!$Q5,"CCC","D")))))))</f>
        <v/>
      </c>
      <c r="V272" s="12">
        <f>IF(U272="","",INDEX('状态价值'!$D5:$K5,MATCH(U272,'状态价值'!$D$1:$K$1,0)))</f>
        <v/>
      </c>
      <c r="W272" s="15">
        <f>NORM.S.INV(RAND())</f>
        <v/>
      </c>
      <c r="X272" s="15">
        <f>IF('组合输入'!$C6="","",'组合输入'!$H6*$B272+SQRT(1-'组合输入'!$H6^2)*W272)</f>
        <v/>
      </c>
      <c r="Y272" s="7">
        <f>IF(X272="","",NORM.S.DIST(X272,TRUE))</f>
        <v/>
      </c>
      <c r="Z272" s="13">
        <f>IF(Y272="","",IF(Y272&lt;='组合输入'!$K6,"AAA",IF(Y272&lt;='组合输入'!$L6,"AA",IF(Y272&lt;='组合输入'!$M6,"A",IF(Y272&lt;='组合输入'!$N6,"BBB",IF(Y272&lt;='组合输入'!$O6,"BB",IF(Y272&lt;='组合输入'!$P6,"B",IF(Y272&lt;='组合输入'!$Q6,"CCC","D")))))))</f>
        <v/>
      </c>
      <c r="AA272" s="12">
        <f>IF(Z272="","",INDEX('状态价值'!$D6:$K6,MATCH(Z272,'状态价值'!$D$1:$K$1,0)))</f>
        <v/>
      </c>
      <c r="AB272" s="15">
        <f>NORM.S.INV(RAND())</f>
        <v/>
      </c>
      <c r="AC272" s="15">
        <f>IF('组合输入'!$C7="","",'组合输入'!$H7*$B272+SQRT(1-'组合输入'!$H7^2)*AB272)</f>
        <v/>
      </c>
      <c r="AD272" s="7">
        <f>IF(AC272="","",NORM.S.DIST(AC272,TRUE))</f>
        <v/>
      </c>
      <c r="AE272" s="13">
        <f>IF(AD272="","",IF(AD272&lt;='组合输入'!$K7,"AAA",IF(AD272&lt;='组合输入'!$L7,"AA",IF(AD272&lt;='组合输入'!$M7,"A",IF(AD272&lt;='组合输入'!$N7,"BBB",IF(AD272&lt;='组合输入'!$O7,"BB",IF(AD272&lt;='组合输入'!$P7,"B",IF(AD272&lt;='组合输入'!$Q7,"CCC","D")))))))</f>
        <v/>
      </c>
      <c r="AF272" s="12">
        <f>IF(AE272="","",INDEX('状态价值'!$D7:$K7,MATCH(AE272,'状态价值'!$D$1:$K$1,0)))</f>
        <v/>
      </c>
      <c r="AG272" s="15">
        <f>NORM.S.INV(RAND())</f>
        <v/>
      </c>
      <c r="AH272" s="15">
        <f>IF('组合输入'!$C8="","",'组合输入'!$H8*$B272+SQRT(1-'组合输入'!$H8^2)*AG272)</f>
        <v/>
      </c>
      <c r="AI272" s="7">
        <f>IF(AH272="","",NORM.S.DIST(AH272,TRUE))</f>
        <v/>
      </c>
      <c r="AJ272" s="13">
        <f>IF(AI272="","",IF(AI272&lt;='组合输入'!$K8,"AAA",IF(AI272&lt;='组合输入'!$L8,"AA",IF(AI272&lt;='组合输入'!$M8,"A",IF(AI272&lt;='组合输入'!$N8,"BBB",IF(AI272&lt;='组合输入'!$O8,"BB",IF(AI272&lt;='组合输入'!$P8,"B",IF(AI272&lt;='组合输入'!$Q8,"CCC","D")))))))</f>
        <v/>
      </c>
      <c r="AK272" s="12">
        <f>IF(AJ272="","",INDEX('状态价值'!$D8:$K8,MATCH(AJ272,'状态价值'!$D$1:$K$1,0)))</f>
        <v/>
      </c>
      <c r="AL272" s="15">
        <f>NORM.S.INV(RAND())</f>
        <v/>
      </c>
      <c r="AM272" s="15">
        <f>IF('组合输入'!$C9="","",'组合输入'!$H9*$B272+SQRT(1-'组合输入'!$H9^2)*AL272)</f>
        <v/>
      </c>
      <c r="AN272" s="7">
        <f>IF(AM272="","",NORM.S.DIST(AM272,TRUE))</f>
        <v/>
      </c>
      <c r="AO272" s="13">
        <f>IF(AN272="","",IF(AN272&lt;='组合输入'!$K9,"AAA",IF(AN272&lt;='组合输入'!$L9,"AA",IF(AN272&lt;='组合输入'!$M9,"A",IF(AN272&lt;='组合输入'!$N9,"BBB",IF(AN272&lt;='组合输入'!$O9,"BB",IF(AN272&lt;='组合输入'!$P9,"B",IF(AN272&lt;='组合输入'!$Q9,"CCC","D")))))))</f>
        <v/>
      </c>
      <c r="AP272" s="12">
        <f>IF(AO272="","",INDEX('状态价值'!$D9:$K9,MATCH(AO272,'状态价值'!$D$1:$K$1,0)))</f>
        <v/>
      </c>
      <c r="AQ272" s="15">
        <f>NORM.S.INV(RAND())</f>
        <v/>
      </c>
      <c r="AR272" s="15">
        <f>IF('组合输入'!$C10="","",'组合输入'!$H10*$B272+SQRT(1-'组合输入'!$H10^2)*AQ272)</f>
        <v/>
      </c>
      <c r="AS272" s="7">
        <f>IF(AR272="","",NORM.S.DIST(AR272,TRUE))</f>
        <v/>
      </c>
      <c r="AT272" s="13">
        <f>IF(AS272="","",IF(AS272&lt;='组合输入'!$K10,"AAA",IF(AS272&lt;='组合输入'!$L10,"AA",IF(AS272&lt;='组合输入'!$M10,"A",IF(AS272&lt;='组合输入'!$N10,"BBB",IF(AS272&lt;='组合输入'!$O10,"BB",IF(AS272&lt;='组合输入'!$P10,"B",IF(AS272&lt;='组合输入'!$Q10,"CCC","D")))))))</f>
        <v/>
      </c>
      <c r="AU272" s="12">
        <f>IF(AT272="","",INDEX('状态价值'!$D10:$K10,MATCH(AT272,'状态价值'!$D$1:$K$1,0)))</f>
        <v/>
      </c>
      <c r="AV272" s="15">
        <f>NORM.S.INV(RAND())</f>
        <v/>
      </c>
      <c r="AW272" s="15">
        <f>IF('组合输入'!$C11="","",'组合输入'!$H11*$B272+SQRT(1-'组合输入'!$H11^2)*AV272)</f>
        <v/>
      </c>
      <c r="AX272" s="7">
        <f>IF(AW272="","",NORM.S.DIST(AW272,TRUE))</f>
        <v/>
      </c>
      <c r="AY272" s="13">
        <f>IF(AX272="","",IF(AX272&lt;='组合输入'!$K11,"AAA",IF(AX272&lt;='组合输入'!$L11,"AA",IF(AX272&lt;='组合输入'!$M11,"A",IF(AX272&lt;='组合输入'!$N11,"BBB",IF(AX272&lt;='组合输入'!$O11,"BB",IF(AX272&lt;='组合输入'!$P11,"B",IF(AX272&lt;='组合输入'!$Q11,"CCC","D")))))))</f>
        <v/>
      </c>
      <c r="AZ272" s="12">
        <f>IF(AY272="","",INDEX('状态价值'!$D11:$K11,MATCH(AY272,'状态价值'!$D$1:$K$1,0)))</f>
        <v/>
      </c>
      <c r="BA272" s="12">
        <f>G272+L272+Q272+V272+AA272+AF272+AK272+AP272+AU272+AZ272</f>
        <v/>
      </c>
      <c r="BB272" s="12">
        <f>SUM('组合输入'!$J$2:$J$11)-BA272</f>
        <v/>
      </c>
    </row>
    <row r="273">
      <c r="A273" s="11" t="n">
        <v>272</v>
      </c>
      <c r="B273" s="14">
        <f>NORM.S.INV(RAND())</f>
        <v/>
      </c>
      <c r="C273" s="14">
        <f>NORM.S.INV(RAND())</f>
        <v/>
      </c>
      <c r="D273" s="15">
        <f>IF('组合输入'!$C2="","",'组合输入'!$H2*$B273+SQRT(1-'组合输入'!$H2^2)*C273)</f>
        <v/>
      </c>
      <c r="E273" s="7">
        <f>IF(D273="","",NORM.S.DIST(D273,TRUE))</f>
        <v/>
      </c>
      <c r="F273" s="13">
        <f>IF(E273="","",IF(E273&lt;='组合输入'!$K2,"AAA",IF(E273&lt;='组合输入'!$L2,"AA",IF(E273&lt;='组合输入'!$M2,"A",IF(E273&lt;='组合输入'!$N2,"BBB",IF(E273&lt;='组合输入'!$O2,"BB",IF(E273&lt;='组合输入'!$P2,"B",IF(E273&lt;='组合输入'!$Q2,"CCC","D")))))))</f>
        <v/>
      </c>
      <c r="G273" s="12">
        <f>IF(F273="","",INDEX('状态价值'!$D2:$K2,MATCH(F273,'状态价值'!$D$1:$K$1,0)))</f>
        <v/>
      </c>
      <c r="H273" s="15">
        <f>NORM.S.INV(RAND())</f>
        <v/>
      </c>
      <c r="I273" s="15">
        <f>IF('组合输入'!$C3="","",'组合输入'!$H3*$B273+SQRT(1-'组合输入'!$H3^2)*H273)</f>
        <v/>
      </c>
      <c r="J273" s="7">
        <f>IF(I273="","",NORM.S.DIST(I273,TRUE))</f>
        <v/>
      </c>
      <c r="K273" s="13">
        <f>IF(J273="","",IF(J273&lt;='组合输入'!$K3,"AAA",IF(J273&lt;='组合输入'!$L3,"AA",IF(J273&lt;='组合输入'!$M3,"A",IF(J273&lt;='组合输入'!$N3,"BBB",IF(J273&lt;='组合输入'!$O3,"BB",IF(J273&lt;='组合输入'!$P3,"B",IF(J273&lt;='组合输入'!$Q3,"CCC","D")))))))</f>
        <v/>
      </c>
      <c r="L273" s="12">
        <f>IF(K273="","",INDEX('状态价值'!$D3:$K3,MATCH(K273,'状态价值'!$D$1:$K$1,0)))</f>
        <v/>
      </c>
      <c r="M273" s="15">
        <f>NORM.S.INV(RAND())</f>
        <v/>
      </c>
      <c r="N273" s="15">
        <f>IF('组合输入'!$C4="","",'组合输入'!$H4*$B273+SQRT(1-'组合输入'!$H4^2)*M273)</f>
        <v/>
      </c>
      <c r="O273" s="7">
        <f>IF(N273="","",NORM.S.DIST(N273,TRUE))</f>
        <v/>
      </c>
      <c r="P273" s="13">
        <f>IF(O273="","",IF(O273&lt;='组合输入'!$K4,"AAA",IF(O273&lt;='组合输入'!$L4,"AA",IF(O273&lt;='组合输入'!$M4,"A",IF(O273&lt;='组合输入'!$N4,"BBB",IF(O273&lt;='组合输入'!$O4,"BB",IF(O273&lt;='组合输入'!$P4,"B",IF(O273&lt;='组合输入'!$Q4,"CCC","D")))))))</f>
        <v/>
      </c>
      <c r="Q273" s="12">
        <f>IF(P273="","",INDEX('状态价值'!$D4:$K4,MATCH(P273,'状态价值'!$D$1:$K$1,0)))</f>
        <v/>
      </c>
      <c r="R273" s="15">
        <f>NORM.S.INV(RAND())</f>
        <v/>
      </c>
      <c r="S273" s="15">
        <f>IF('组合输入'!$C5="","",'组合输入'!$H5*$B273+SQRT(1-'组合输入'!$H5^2)*R273)</f>
        <v/>
      </c>
      <c r="T273" s="7">
        <f>IF(S273="","",NORM.S.DIST(S273,TRUE))</f>
        <v/>
      </c>
      <c r="U273" s="13">
        <f>IF(T273="","",IF(T273&lt;='组合输入'!$K5,"AAA",IF(T273&lt;='组合输入'!$L5,"AA",IF(T273&lt;='组合输入'!$M5,"A",IF(T273&lt;='组合输入'!$N5,"BBB",IF(T273&lt;='组合输入'!$O5,"BB",IF(T273&lt;='组合输入'!$P5,"B",IF(T273&lt;='组合输入'!$Q5,"CCC","D")))))))</f>
        <v/>
      </c>
      <c r="V273" s="12">
        <f>IF(U273="","",INDEX('状态价值'!$D5:$K5,MATCH(U273,'状态价值'!$D$1:$K$1,0)))</f>
        <v/>
      </c>
      <c r="W273" s="15">
        <f>NORM.S.INV(RAND())</f>
        <v/>
      </c>
      <c r="X273" s="15">
        <f>IF('组合输入'!$C6="","",'组合输入'!$H6*$B273+SQRT(1-'组合输入'!$H6^2)*W273)</f>
        <v/>
      </c>
      <c r="Y273" s="7">
        <f>IF(X273="","",NORM.S.DIST(X273,TRUE))</f>
        <v/>
      </c>
      <c r="Z273" s="13">
        <f>IF(Y273="","",IF(Y273&lt;='组合输入'!$K6,"AAA",IF(Y273&lt;='组合输入'!$L6,"AA",IF(Y273&lt;='组合输入'!$M6,"A",IF(Y273&lt;='组合输入'!$N6,"BBB",IF(Y273&lt;='组合输入'!$O6,"BB",IF(Y273&lt;='组合输入'!$P6,"B",IF(Y273&lt;='组合输入'!$Q6,"CCC","D")))))))</f>
        <v/>
      </c>
      <c r="AA273" s="12">
        <f>IF(Z273="","",INDEX('状态价值'!$D6:$K6,MATCH(Z273,'状态价值'!$D$1:$K$1,0)))</f>
        <v/>
      </c>
      <c r="AB273" s="15">
        <f>NORM.S.INV(RAND())</f>
        <v/>
      </c>
      <c r="AC273" s="15">
        <f>IF('组合输入'!$C7="","",'组合输入'!$H7*$B273+SQRT(1-'组合输入'!$H7^2)*AB273)</f>
        <v/>
      </c>
      <c r="AD273" s="7">
        <f>IF(AC273="","",NORM.S.DIST(AC273,TRUE))</f>
        <v/>
      </c>
      <c r="AE273" s="13">
        <f>IF(AD273="","",IF(AD273&lt;='组合输入'!$K7,"AAA",IF(AD273&lt;='组合输入'!$L7,"AA",IF(AD273&lt;='组合输入'!$M7,"A",IF(AD273&lt;='组合输入'!$N7,"BBB",IF(AD273&lt;='组合输入'!$O7,"BB",IF(AD273&lt;='组合输入'!$P7,"B",IF(AD273&lt;='组合输入'!$Q7,"CCC","D")))))))</f>
        <v/>
      </c>
      <c r="AF273" s="12">
        <f>IF(AE273="","",INDEX('状态价值'!$D7:$K7,MATCH(AE273,'状态价值'!$D$1:$K$1,0)))</f>
        <v/>
      </c>
      <c r="AG273" s="15">
        <f>NORM.S.INV(RAND())</f>
        <v/>
      </c>
      <c r="AH273" s="15">
        <f>IF('组合输入'!$C8="","",'组合输入'!$H8*$B273+SQRT(1-'组合输入'!$H8^2)*AG273)</f>
        <v/>
      </c>
      <c r="AI273" s="7">
        <f>IF(AH273="","",NORM.S.DIST(AH273,TRUE))</f>
        <v/>
      </c>
      <c r="AJ273" s="13">
        <f>IF(AI273="","",IF(AI273&lt;='组合输入'!$K8,"AAA",IF(AI273&lt;='组合输入'!$L8,"AA",IF(AI273&lt;='组合输入'!$M8,"A",IF(AI273&lt;='组合输入'!$N8,"BBB",IF(AI273&lt;='组合输入'!$O8,"BB",IF(AI273&lt;='组合输入'!$P8,"B",IF(AI273&lt;='组合输入'!$Q8,"CCC","D")))))))</f>
        <v/>
      </c>
      <c r="AK273" s="12">
        <f>IF(AJ273="","",INDEX('状态价值'!$D8:$K8,MATCH(AJ273,'状态价值'!$D$1:$K$1,0)))</f>
        <v/>
      </c>
      <c r="AL273" s="15">
        <f>NORM.S.INV(RAND())</f>
        <v/>
      </c>
      <c r="AM273" s="15">
        <f>IF('组合输入'!$C9="","",'组合输入'!$H9*$B273+SQRT(1-'组合输入'!$H9^2)*AL273)</f>
        <v/>
      </c>
      <c r="AN273" s="7">
        <f>IF(AM273="","",NORM.S.DIST(AM273,TRUE))</f>
        <v/>
      </c>
      <c r="AO273" s="13">
        <f>IF(AN273="","",IF(AN273&lt;='组合输入'!$K9,"AAA",IF(AN273&lt;='组合输入'!$L9,"AA",IF(AN273&lt;='组合输入'!$M9,"A",IF(AN273&lt;='组合输入'!$N9,"BBB",IF(AN273&lt;='组合输入'!$O9,"BB",IF(AN273&lt;='组合输入'!$P9,"B",IF(AN273&lt;='组合输入'!$Q9,"CCC","D")))))))</f>
        <v/>
      </c>
      <c r="AP273" s="12">
        <f>IF(AO273="","",INDEX('状态价值'!$D9:$K9,MATCH(AO273,'状态价值'!$D$1:$K$1,0)))</f>
        <v/>
      </c>
      <c r="AQ273" s="15">
        <f>NORM.S.INV(RAND())</f>
        <v/>
      </c>
      <c r="AR273" s="15">
        <f>IF('组合输入'!$C10="","",'组合输入'!$H10*$B273+SQRT(1-'组合输入'!$H10^2)*AQ273)</f>
        <v/>
      </c>
      <c r="AS273" s="7">
        <f>IF(AR273="","",NORM.S.DIST(AR273,TRUE))</f>
        <v/>
      </c>
      <c r="AT273" s="13">
        <f>IF(AS273="","",IF(AS273&lt;='组合输入'!$K10,"AAA",IF(AS273&lt;='组合输入'!$L10,"AA",IF(AS273&lt;='组合输入'!$M10,"A",IF(AS273&lt;='组合输入'!$N10,"BBB",IF(AS273&lt;='组合输入'!$O10,"BB",IF(AS273&lt;='组合输入'!$P10,"B",IF(AS273&lt;='组合输入'!$Q10,"CCC","D")))))))</f>
        <v/>
      </c>
      <c r="AU273" s="12">
        <f>IF(AT273="","",INDEX('状态价值'!$D10:$K10,MATCH(AT273,'状态价值'!$D$1:$K$1,0)))</f>
        <v/>
      </c>
      <c r="AV273" s="15">
        <f>NORM.S.INV(RAND())</f>
        <v/>
      </c>
      <c r="AW273" s="15">
        <f>IF('组合输入'!$C11="","",'组合输入'!$H11*$B273+SQRT(1-'组合输入'!$H11^2)*AV273)</f>
        <v/>
      </c>
      <c r="AX273" s="7">
        <f>IF(AW273="","",NORM.S.DIST(AW273,TRUE))</f>
        <v/>
      </c>
      <c r="AY273" s="13">
        <f>IF(AX273="","",IF(AX273&lt;='组合输入'!$K11,"AAA",IF(AX273&lt;='组合输入'!$L11,"AA",IF(AX273&lt;='组合输入'!$M11,"A",IF(AX273&lt;='组合输入'!$N11,"BBB",IF(AX273&lt;='组合输入'!$O11,"BB",IF(AX273&lt;='组合输入'!$P11,"B",IF(AX273&lt;='组合输入'!$Q11,"CCC","D")))))))</f>
        <v/>
      </c>
      <c r="AZ273" s="12">
        <f>IF(AY273="","",INDEX('状态价值'!$D11:$K11,MATCH(AY273,'状态价值'!$D$1:$K$1,0)))</f>
        <v/>
      </c>
      <c r="BA273" s="12">
        <f>G273+L273+Q273+V273+AA273+AF273+AK273+AP273+AU273+AZ273</f>
        <v/>
      </c>
      <c r="BB273" s="12">
        <f>SUM('组合输入'!$J$2:$J$11)-BA273</f>
        <v/>
      </c>
    </row>
    <row r="274">
      <c r="A274" s="11" t="n">
        <v>273</v>
      </c>
      <c r="B274" s="14">
        <f>NORM.S.INV(RAND())</f>
        <v/>
      </c>
      <c r="C274" s="14">
        <f>NORM.S.INV(RAND())</f>
        <v/>
      </c>
      <c r="D274" s="15">
        <f>IF('组合输入'!$C2="","",'组合输入'!$H2*$B274+SQRT(1-'组合输入'!$H2^2)*C274)</f>
        <v/>
      </c>
      <c r="E274" s="7">
        <f>IF(D274="","",NORM.S.DIST(D274,TRUE))</f>
        <v/>
      </c>
      <c r="F274" s="13">
        <f>IF(E274="","",IF(E274&lt;='组合输入'!$K2,"AAA",IF(E274&lt;='组合输入'!$L2,"AA",IF(E274&lt;='组合输入'!$M2,"A",IF(E274&lt;='组合输入'!$N2,"BBB",IF(E274&lt;='组合输入'!$O2,"BB",IF(E274&lt;='组合输入'!$P2,"B",IF(E274&lt;='组合输入'!$Q2,"CCC","D")))))))</f>
        <v/>
      </c>
      <c r="G274" s="12">
        <f>IF(F274="","",INDEX('状态价值'!$D2:$K2,MATCH(F274,'状态价值'!$D$1:$K$1,0)))</f>
        <v/>
      </c>
      <c r="H274" s="15">
        <f>NORM.S.INV(RAND())</f>
        <v/>
      </c>
      <c r="I274" s="15">
        <f>IF('组合输入'!$C3="","",'组合输入'!$H3*$B274+SQRT(1-'组合输入'!$H3^2)*H274)</f>
        <v/>
      </c>
      <c r="J274" s="7">
        <f>IF(I274="","",NORM.S.DIST(I274,TRUE))</f>
        <v/>
      </c>
      <c r="K274" s="13">
        <f>IF(J274="","",IF(J274&lt;='组合输入'!$K3,"AAA",IF(J274&lt;='组合输入'!$L3,"AA",IF(J274&lt;='组合输入'!$M3,"A",IF(J274&lt;='组合输入'!$N3,"BBB",IF(J274&lt;='组合输入'!$O3,"BB",IF(J274&lt;='组合输入'!$P3,"B",IF(J274&lt;='组合输入'!$Q3,"CCC","D")))))))</f>
        <v/>
      </c>
      <c r="L274" s="12">
        <f>IF(K274="","",INDEX('状态价值'!$D3:$K3,MATCH(K274,'状态价值'!$D$1:$K$1,0)))</f>
        <v/>
      </c>
      <c r="M274" s="15">
        <f>NORM.S.INV(RAND())</f>
        <v/>
      </c>
      <c r="N274" s="15">
        <f>IF('组合输入'!$C4="","",'组合输入'!$H4*$B274+SQRT(1-'组合输入'!$H4^2)*M274)</f>
        <v/>
      </c>
      <c r="O274" s="7">
        <f>IF(N274="","",NORM.S.DIST(N274,TRUE))</f>
        <v/>
      </c>
      <c r="P274" s="13">
        <f>IF(O274="","",IF(O274&lt;='组合输入'!$K4,"AAA",IF(O274&lt;='组合输入'!$L4,"AA",IF(O274&lt;='组合输入'!$M4,"A",IF(O274&lt;='组合输入'!$N4,"BBB",IF(O274&lt;='组合输入'!$O4,"BB",IF(O274&lt;='组合输入'!$P4,"B",IF(O274&lt;='组合输入'!$Q4,"CCC","D")))))))</f>
        <v/>
      </c>
      <c r="Q274" s="12">
        <f>IF(P274="","",INDEX('状态价值'!$D4:$K4,MATCH(P274,'状态价值'!$D$1:$K$1,0)))</f>
        <v/>
      </c>
      <c r="R274" s="15">
        <f>NORM.S.INV(RAND())</f>
        <v/>
      </c>
      <c r="S274" s="15">
        <f>IF('组合输入'!$C5="","",'组合输入'!$H5*$B274+SQRT(1-'组合输入'!$H5^2)*R274)</f>
        <v/>
      </c>
      <c r="T274" s="7">
        <f>IF(S274="","",NORM.S.DIST(S274,TRUE))</f>
        <v/>
      </c>
      <c r="U274" s="13">
        <f>IF(T274="","",IF(T274&lt;='组合输入'!$K5,"AAA",IF(T274&lt;='组合输入'!$L5,"AA",IF(T274&lt;='组合输入'!$M5,"A",IF(T274&lt;='组合输入'!$N5,"BBB",IF(T274&lt;='组合输入'!$O5,"BB",IF(T274&lt;='组合输入'!$P5,"B",IF(T274&lt;='组合输入'!$Q5,"CCC","D")))))))</f>
        <v/>
      </c>
      <c r="V274" s="12">
        <f>IF(U274="","",INDEX('状态价值'!$D5:$K5,MATCH(U274,'状态价值'!$D$1:$K$1,0)))</f>
        <v/>
      </c>
      <c r="W274" s="15">
        <f>NORM.S.INV(RAND())</f>
        <v/>
      </c>
      <c r="X274" s="15">
        <f>IF('组合输入'!$C6="","",'组合输入'!$H6*$B274+SQRT(1-'组合输入'!$H6^2)*W274)</f>
        <v/>
      </c>
      <c r="Y274" s="7">
        <f>IF(X274="","",NORM.S.DIST(X274,TRUE))</f>
        <v/>
      </c>
      <c r="Z274" s="13">
        <f>IF(Y274="","",IF(Y274&lt;='组合输入'!$K6,"AAA",IF(Y274&lt;='组合输入'!$L6,"AA",IF(Y274&lt;='组合输入'!$M6,"A",IF(Y274&lt;='组合输入'!$N6,"BBB",IF(Y274&lt;='组合输入'!$O6,"BB",IF(Y274&lt;='组合输入'!$P6,"B",IF(Y274&lt;='组合输入'!$Q6,"CCC","D")))))))</f>
        <v/>
      </c>
      <c r="AA274" s="12">
        <f>IF(Z274="","",INDEX('状态价值'!$D6:$K6,MATCH(Z274,'状态价值'!$D$1:$K$1,0)))</f>
        <v/>
      </c>
      <c r="AB274" s="15">
        <f>NORM.S.INV(RAND())</f>
        <v/>
      </c>
      <c r="AC274" s="15">
        <f>IF('组合输入'!$C7="","",'组合输入'!$H7*$B274+SQRT(1-'组合输入'!$H7^2)*AB274)</f>
        <v/>
      </c>
      <c r="AD274" s="7">
        <f>IF(AC274="","",NORM.S.DIST(AC274,TRUE))</f>
        <v/>
      </c>
      <c r="AE274" s="13">
        <f>IF(AD274="","",IF(AD274&lt;='组合输入'!$K7,"AAA",IF(AD274&lt;='组合输入'!$L7,"AA",IF(AD274&lt;='组合输入'!$M7,"A",IF(AD274&lt;='组合输入'!$N7,"BBB",IF(AD274&lt;='组合输入'!$O7,"BB",IF(AD274&lt;='组合输入'!$P7,"B",IF(AD274&lt;='组合输入'!$Q7,"CCC","D")))))))</f>
        <v/>
      </c>
      <c r="AF274" s="12">
        <f>IF(AE274="","",INDEX('状态价值'!$D7:$K7,MATCH(AE274,'状态价值'!$D$1:$K$1,0)))</f>
        <v/>
      </c>
      <c r="AG274" s="15">
        <f>NORM.S.INV(RAND())</f>
        <v/>
      </c>
      <c r="AH274" s="15">
        <f>IF('组合输入'!$C8="","",'组合输入'!$H8*$B274+SQRT(1-'组合输入'!$H8^2)*AG274)</f>
        <v/>
      </c>
      <c r="AI274" s="7">
        <f>IF(AH274="","",NORM.S.DIST(AH274,TRUE))</f>
        <v/>
      </c>
      <c r="AJ274" s="13">
        <f>IF(AI274="","",IF(AI274&lt;='组合输入'!$K8,"AAA",IF(AI274&lt;='组合输入'!$L8,"AA",IF(AI274&lt;='组合输入'!$M8,"A",IF(AI274&lt;='组合输入'!$N8,"BBB",IF(AI274&lt;='组合输入'!$O8,"BB",IF(AI274&lt;='组合输入'!$P8,"B",IF(AI274&lt;='组合输入'!$Q8,"CCC","D")))))))</f>
        <v/>
      </c>
      <c r="AK274" s="12">
        <f>IF(AJ274="","",INDEX('状态价值'!$D8:$K8,MATCH(AJ274,'状态价值'!$D$1:$K$1,0)))</f>
        <v/>
      </c>
      <c r="AL274" s="15">
        <f>NORM.S.INV(RAND())</f>
        <v/>
      </c>
      <c r="AM274" s="15">
        <f>IF('组合输入'!$C9="","",'组合输入'!$H9*$B274+SQRT(1-'组合输入'!$H9^2)*AL274)</f>
        <v/>
      </c>
      <c r="AN274" s="7">
        <f>IF(AM274="","",NORM.S.DIST(AM274,TRUE))</f>
        <v/>
      </c>
      <c r="AO274" s="13">
        <f>IF(AN274="","",IF(AN274&lt;='组合输入'!$K9,"AAA",IF(AN274&lt;='组合输入'!$L9,"AA",IF(AN274&lt;='组合输入'!$M9,"A",IF(AN274&lt;='组合输入'!$N9,"BBB",IF(AN274&lt;='组合输入'!$O9,"BB",IF(AN274&lt;='组合输入'!$P9,"B",IF(AN274&lt;='组合输入'!$Q9,"CCC","D")))))))</f>
        <v/>
      </c>
      <c r="AP274" s="12">
        <f>IF(AO274="","",INDEX('状态价值'!$D9:$K9,MATCH(AO274,'状态价值'!$D$1:$K$1,0)))</f>
        <v/>
      </c>
      <c r="AQ274" s="15">
        <f>NORM.S.INV(RAND())</f>
        <v/>
      </c>
      <c r="AR274" s="15">
        <f>IF('组合输入'!$C10="","",'组合输入'!$H10*$B274+SQRT(1-'组合输入'!$H10^2)*AQ274)</f>
        <v/>
      </c>
      <c r="AS274" s="7">
        <f>IF(AR274="","",NORM.S.DIST(AR274,TRUE))</f>
        <v/>
      </c>
      <c r="AT274" s="13">
        <f>IF(AS274="","",IF(AS274&lt;='组合输入'!$K10,"AAA",IF(AS274&lt;='组合输入'!$L10,"AA",IF(AS274&lt;='组合输入'!$M10,"A",IF(AS274&lt;='组合输入'!$N10,"BBB",IF(AS274&lt;='组合输入'!$O10,"BB",IF(AS274&lt;='组合输入'!$P10,"B",IF(AS274&lt;='组合输入'!$Q10,"CCC","D")))))))</f>
        <v/>
      </c>
      <c r="AU274" s="12">
        <f>IF(AT274="","",INDEX('状态价值'!$D10:$K10,MATCH(AT274,'状态价值'!$D$1:$K$1,0)))</f>
        <v/>
      </c>
      <c r="AV274" s="15">
        <f>NORM.S.INV(RAND())</f>
        <v/>
      </c>
      <c r="AW274" s="15">
        <f>IF('组合输入'!$C11="","",'组合输入'!$H11*$B274+SQRT(1-'组合输入'!$H11^2)*AV274)</f>
        <v/>
      </c>
      <c r="AX274" s="7">
        <f>IF(AW274="","",NORM.S.DIST(AW274,TRUE))</f>
        <v/>
      </c>
      <c r="AY274" s="13">
        <f>IF(AX274="","",IF(AX274&lt;='组合输入'!$K11,"AAA",IF(AX274&lt;='组合输入'!$L11,"AA",IF(AX274&lt;='组合输入'!$M11,"A",IF(AX274&lt;='组合输入'!$N11,"BBB",IF(AX274&lt;='组合输入'!$O11,"BB",IF(AX274&lt;='组合输入'!$P11,"B",IF(AX274&lt;='组合输入'!$Q11,"CCC","D")))))))</f>
        <v/>
      </c>
      <c r="AZ274" s="12">
        <f>IF(AY274="","",INDEX('状态价值'!$D11:$K11,MATCH(AY274,'状态价值'!$D$1:$K$1,0)))</f>
        <v/>
      </c>
      <c r="BA274" s="12">
        <f>G274+L274+Q274+V274+AA274+AF274+AK274+AP274+AU274+AZ274</f>
        <v/>
      </c>
      <c r="BB274" s="12">
        <f>SUM('组合输入'!$J$2:$J$11)-BA274</f>
        <v/>
      </c>
    </row>
    <row r="275">
      <c r="A275" s="11" t="n">
        <v>274</v>
      </c>
      <c r="B275" s="14">
        <f>NORM.S.INV(RAND())</f>
        <v/>
      </c>
      <c r="C275" s="14">
        <f>NORM.S.INV(RAND())</f>
        <v/>
      </c>
      <c r="D275" s="15">
        <f>IF('组合输入'!$C2="","",'组合输入'!$H2*$B275+SQRT(1-'组合输入'!$H2^2)*C275)</f>
        <v/>
      </c>
      <c r="E275" s="7">
        <f>IF(D275="","",NORM.S.DIST(D275,TRUE))</f>
        <v/>
      </c>
      <c r="F275" s="13">
        <f>IF(E275="","",IF(E275&lt;='组合输入'!$K2,"AAA",IF(E275&lt;='组合输入'!$L2,"AA",IF(E275&lt;='组合输入'!$M2,"A",IF(E275&lt;='组合输入'!$N2,"BBB",IF(E275&lt;='组合输入'!$O2,"BB",IF(E275&lt;='组合输入'!$P2,"B",IF(E275&lt;='组合输入'!$Q2,"CCC","D")))))))</f>
        <v/>
      </c>
      <c r="G275" s="12">
        <f>IF(F275="","",INDEX('状态价值'!$D2:$K2,MATCH(F275,'状态价值'!$D$1:$K$1,0)))</f>
        <v/>
      </c>
      <c r="H275" s="15">
        <f>NORM.S.INV(RAND())</f>
        <v/>
      </c>
      <c r="I275" s="15">
        <f>IF('组合输入'!$C3="","",'组合输入'!$H3*$B275+SQRT(1-'组合输入'!$H3^2)*H275)</f>
        <v/>
      </c>
      <c r="J275" s="7">
        <f>IF(I275="","",NORM.S.DIST(I275,TRUE))</f>
        <v/>
      </c>
      <c r="K275" s="13">
        <f>IF(J275="","",IF(J275&lt;='组合输入'!$K3,"AAA",IF(J275&lt;='组合输入'!$L3,"AA",IF(J275&lt;='组合输入'!$M3,"A",IF(J275&lt;='组合输入'!$N3,"BBB",IF(J275&lt;='组合输入'!$O3,"BB",IF(J275&lt;='组合输入'!$P3,"B",IF(J275&lt;='组合输入'!$Q3,"CCC","D")))))))</f>
        <v/>
      </c>
      <c r="L275" s="12">
        <f>IF(K275="","",INDEX('状态价值'!$D3:$K3,MATCH(K275,'状态价值'!$D$1:$K$1,0)))</f>
        <v/>
      </c>
      <c r="M275" s="15">
        <f>NORM.S.INV(RAND())</f>
        <v/>
      </c>
      <c r="N275" s="15">
        <f>IF('组合输入'!$C4="","",'组合输入'!$H4*$B275+SQRT(1-'组合输入'!$H4^2)*M275)</f>
        <v/>
      </c>
      <c r="O275" s="7">
        <f>IF(N275="","",NORM.S.DIST(N275,TRUE))</f>
        <v/>
      </c>
      <c r="P275" s="13">
        <f>IF(O275="","",IF(O275&lt;='组合输入'!$K4,"AAA",IF(O275&lt;='组合输入'!$L4,"AA",IF(O275&lt;='组合输入'!$M4,"A",IF(O275&lt;='组合输入'!$N4,"BBB",IF(O275&lt;='组合输入'!$O4,"BB",IF(O275&lt;='组合输入'!$P4,"B",IF(O275&lt;='组合输入'!$Q4,"CCC","D")))))))</f>
        <v/>
      </c>
      <c r="Q275" s="12">
        <f>IF(P275="","",INDEX('状态价值'!$D4:$K4,MATCH(P275,'状态价值'!$D$1:$K$1,0)))</f>
        <v/>
      </c>
      <c r="R275" s="15">
        <f>NORM.S.INV(RAND())</f>
        <v/>
      </c>
      <c r="S275" s="15">
        <f>IF('组合输入'!$C5="","",'组合输入'!$H5*$B275+SQRT(1-'组合输入'!$H5^2)*R275)</f>
        <v/>
      </c>
      <c r="T275" s="7">
        <f>IF(S275="","",NORM.S.DIST(S275,TRUE))</f>
        <v/>
      </c>
      <c r="U275" s="13">
        <f>IF(T275="","",IF(T275&lt;='组合输入'!$K5,"AAA",IF(T275&lt;='组合输入'!$L5,"AA",IF(T275&lt;='组合输入'!$M5,"A",IF(T275&lt;='组合输入'!$N5,"BBB",IF(T275&lt;='组合输入'!$O5,"BB",IF(T275&lt;='组合输入'!$P5,"B",IF(T275&lt;='组合输入'!$Q5,"CCC","D")))))))</f>
        <v/>
      </c>
      <c r="V275" s="12">
        <f>IF(U275="","",INDEX('状态价值'!$D5:$K5,MATCH(U275,'状态价值'!$D$1:$K$1,0)))</f>
        <v/>
      </c>
      <c r="W275" s="15">
        <f>NORM.S.INV(RAND())</f>
        <v/>
      </c>
      <c r="X275" s="15">
        <f>IF('组合输入'!$C6="","",'组合输入'!$H6*$B275+SQRT(1-'组合输入'!$H6^2)*W275)</f>
        <v/>
      </c>
      <c r="Y275" s="7">
        <f>IF(X275="","",NORM.S.DIST(X275,TRUE))</f>
        <v/>
      </c>
      <c r="Z275" s="13">
        <f>IF(Y275="","",IF(Y275&lt;='组合输入'!$K6,"AAA",IF(Y275&lt;='组合输入'!$L6,"AA",IF(Y275&lt;='组合输入'!$M6,"A",IF(Y275&lt;='组合输入'!$N6,"BBB",IF(Y275&lt;='组合输入'!$O6,"BB",IF(Y275&lt;='组合输入'!$P6,"B",IF(Y275&lt;='组合输入'!$Q6,"CCC","D")))))))</f>
        <v/>
      </c>
      <c r="AA275" s="12">
        <f>IF(Z275="","",INDEX('状态价值'!$D6:$K6,MATCH(Z275,'状态价值'!$D$1:$K$1,0)))</f>
        <v/>
      </c>
      <c r="AB275" s="15">
        <f>NORM.S.INV(RAND())</f>
        <v/>
      </c>
      <c r="AC275" s="15">
        <f>IF('组合输入'!$C7="","",'组合输入'!$H7*$B275+SQRT(1-'组合输入'!$H7^2)*AB275)</f>
        <v/>
      </c>
      <c r="AD275" s="7">
        <f>IF(AC275="","",NORM.S.DIST(AC275,TRUE))</f>
        <v/>
      </c>
      <c r="AE275" s="13">
        <f>IF(AD275="","",IF(AD275&lt;='组合输入'!$K7,"AAA",IF(AD275&lt;='组合输入'!$L7,"AA",IF(AD275&lt;='组合输入'!$M7,"A",IF(AD275&lt;='组合输入'!$N7,"BBB",IF(AD275&lt;='组合输入'!$O7,"BB",IF(AD275&lt;='组合输入'!$P7,"B",IF(AD275&lt;='组合输入'!$Q7,"CCC","D")))))))</f>
        <v/>
      </c>
      <c r="AF275" s="12">
        <f>IF(AE275="","",INDEX('状态价值'!$D7:$K7,MATCH(AE275,'状态价值'!$D$1:$K$1,0)))</f>
        <v/>
      </c>
      <c r="AG275" s="15">
        <f>NORM.S.INV(RAND())</f>
        <v/>
      </c>
      <c r="AH275" s="15">
        <f>IF('组合输入'!$C8="","",'组合输入'!$H8*$B275+SQRT(1-'组合输入'!$H8^2)*AG275)</f>
        <v/>
      </c>
      <c r="AI275" s="7">
        <f>IF(AH275="","",NORM.S.DIST(AH275,TRUE))</f>
        <v/>
      </c>
      <c r="AJ275" s="13">
        <f>IF(AI275="","",IF(AI275&lt;='组合输入'!$K8,"AAA",IF(AI275&lt;='组合输入'!$L8,"AA",IF(AI275&lt;='组合输入'!$M8,"A",IF(AI275&lt;='组合输入'!$N8,"BBB",IF(AI275&lt;='组合输入'!$O8,"BB",IF(AI275&lt;='组合输入'!$P8,"B",IF(AI275&lt;='组合输入'!$Q8,"CCC","D")))))))</f>
        <v/>
      </c>
      <c r="AK275" s="12">
        <f>IF(AJ275="","",INDEX('状态价值'!$D8:$K8,MATCH(AJ275,'状态价值'!$D$1:$K$1,0)))</f>
        <v/>
      </c>
      <c r="AL275" s="15">
        <f>NORM.S.INV(RAND())</f>
        <v/>
      </c>
      <c r="AM275" s="15">
        <f>IF('组合输入'!$C9="","",'组合输入'!$H9*$B275+SQRT(1-'组合输入'!$H9^2)*AL275)</f>
        <v/>
      </c>
      <c r="AN275" s="7">
        <f>IF(AM275="","",NORM.S.DIST(AM275,TRUE))</f>
        <v/>
      </c>
      <c r="AO275" s="13">
        <f>IF(AN275="","",IF(AN275&lt;='组合输入'!$K9,"AAA",IF(AN275&lt;='组合输入'!$L9,"AA",IF(AN275&lt;='组合输入'!$M9,"A",IF(AN275&lt;='组合输入'!$N9,"BBB",IF(AN275&lt;='组合输入'!$O9,"BB",IF(AN275&lt;='组合输入'!$P9,"B",IF(AN275&lt;='组合输入'!$Q9,"CCC","D")))))))</f>
        <v/>
      </c>
      <c r="AP275" s="12">
        <f>IF(AO275="","",INDEX('状态价值'!$D9:$K9,MATCH(AO275,'状态价值'!$D$1:$K$1,0)))</f>
        <v/>
      </c>
      <c r="AQ275" s="15">
        <f>NORM.S.INV(RAND())</f>
        <v/>
      </c>
      <c r="AR275" s="15">
        <f>IF('组合输入'!$C10="","",'组合输入'!$H10*$B275+SQRT(1-'组合输入'!$H10^2)*AQ275)</f>
        <v/>
      </c>
      <c r="AS275" s="7">
        <f>IF(AR275="","",NORM.S.DIST(AR275,TRUE))</f>
        <v/>
      </c>
      <c r="AT275" s="13">
        <f>IF(AS275="","",IF(AS275&lt;='组合输入'!$K10,"AAA",IF(AS275&lt;='组合输入'!$L10,"AA",IF(AS275&lt;='组合输入'!$M10,"A",IF(AS275&lt;='组合输入'!$N10,"BBB",IF(AS275&lt;='组合输入'!$O10,"BB",IF(AS275&lt;='组合输入'!$P10,"B",IF(AS275&lt;='组合输入'!$Q10,"CCC","D")))))))</f>
        <v/>
      </c>
      <c r="AU275" s="12">
        <f>IF(AT275="","",INDEX('状态价值'!$D10:$K10,MATCH(AT275,'状态价值'!$D$1:$K$1,0)))</f>
        <v/>
      </c>
      <c r="AV275" s="15">
        <f>NORM.S.INV(RAND())</f>
        <v/>
      </c>
      <c r="AW275" s="15">
        <f>IF('组合输入'!$C11="","",'组合输入'!$H11*$B275+SQRT(1-'组合输入'!$H11^2)*AV275)</f>
        <v/>
      </c>
      <c r="AX275" s="7">
        <f>IF(AW275="","",NORM.S.DIST(AW275,TRUE))</f>
        <v/>
      </c>
      <c r="AY275" s="13">
        <f>IF(AX275="","",IF(AX275&lt;='组合输入'!$K11,"AAA",IF(AX275&lt;='组合输入'!$L11,"AA",IF(AX275&lt;='组合输入'!$M11,"A",IF(AX275&lt;='组合输入'!$N11,"BBB",IF(AX275&lt;='组合输入'!$O11,"BB",IF(AX275&lt;='组合输入'!$P11,"B",IF(AX275&lt;='组合输入'!$Q11,"CCC","D")))))))</f>
        <v/>
      </c>
      <c r="AZ275" s="12">
        <f>IF(AY275="","",INDEX('状态价值'!$D11:$K11,MATCH(AY275,'状态价值'!$D$1:$K$1,0)))</f>
        <v/>
      </c>
      <c r="BA275" s="12">
        <f>G275+L275+Q275+V275+AA275+AF275+AK275+AP275+AU275+AZ275</f>
        <v/>
      </c>
      <c r="BB275" s="12">
        <f>SUM('组合输入'!$J$2:$J$11)-BA275</f>
        <v/>
      </c>
    </row>
    <row r="276">
      <c r="A276" s="11" t="n">
        <v>275</v>
      </c>
      <c r="B276" s="14">
        <f>NORM.S.INV(RAND())</f>
        <v/>
      </c>
      <c r="C276" s="14">
        <f>NORM.S.INV(RAND())</f>
        <v/>
      </c>
      <c r="D276" s="15">
        <f>IF('组合输入'!$C2="","",'组合输入'!$H2*$B276+SQRT(1-'组合输入'!$H2^2)*C276)</f>
        <v/>
      </c>
      <c r="E276" s="7">
        <f>IF(D276="","",NORM.S.DIST(D276,TRUE))</f>
        <v/>
      </c>
      <c r="F276" s="13">
        <f>IF(E276="","",IF(E276&lt;='组合输入'!$K2,"AAA",IF(E276&lt;='组合输入'!$L2,"AA",IF(E276&lt;='组合输入'!$M2,"A",IF(E276&lt;='组合输入'!$N2,"BBB",IF(E276&lt;='组合输入'!$O2,"BB",IF(E276&lt;='组合输入'!$P2,"B",IF(E276&lt;='组合输入'!$Q2,"CCC","D")))))))</f>
        <v/>
      </c>
      <c r="G276" s="12">
        <f>IF(F276="","",INDEX('状态价值'!$D2:$K2,MATCH(F276,'状态价值'!$D$1:$K$1,0)))</f>
        <v/>
      </c>
      <c r="H276" s="15">
        <f>NORM.S.INV(RAND())</f>
        <v/>
      </c>
      <c r="I276" s="15">
        <f>IF('组合输入'!$C3="","",'组合输入'!$H3*$B276+SQRT(1-'组合输入'!$H3^2)*H276)</f>
        <v/>
      </c>
      <c r="J276" s="7">
        <f>IF(I276="","",NORM.S.DIST(I276,TRUE))</f>
        <v/>
      </c>
      <c r="K276" s="13">
        <f>IF(J276="","",IF(J276&lt;='组合输入'!$K3,"AAA",IF(J276&lt;='组合输入'!$L3,"AA",IF(J276&lt;='组合输入'!$M3,"A",IF(J276&lt;='组合输入'!$N3,"BBB",IF(J276&lt;='组合输入'!$O3,"BB",IF(J276&lt;='组合输入'!$P3,"B",IF(J276&lt;='组合输入'!$Q3,"CCC","D")))))))</f>
        <v/>
      </c>
      <c r="L276" s="12">
        <f>IF(K276="","",INDEX('状态价值'!$D3:$K3,MATCH(K276,'状态价值'!$D$1:$K$1,0)))</f>
        <v/>
      </c>
      <c r="M276" s="15">
        <f>NORM.S.INV(RAND())</f>
        <v/>
      </c>
      <c r="N276" s="15">
        <f>IF('组合输入'!$C4="","",'组合输入'!$H4*$B276+SQRT(1-'组合输入'!$H4^2)*M276)</f>
        <v/>
      </c>
      <c r="O276" s="7">
        <f>IF(N276="","",NORM.S.DIST(N276,TRUE))</f>
        <v/>
      </c>
      <c r="P276" s="13">
        <f>IF(O276="","",IF(O276&lt;='组合输入'!$K4,"AAA",IF(O276&lt;='组合输入'!$L4,"AA",IF(O276&lt;='组合输入'!$M4,"A",IF(O276&lt;='组合输入'!$N4,"BBB",IF(O276&lt;='组合输入'!$O4,"BB",IF(O276&lt;='组合输入'!$P4,"B",IF(O276&lt;='组合输入'!$Q4,"CCC","D")))))))</f>
        <v/>
      </c>
      <c r="Q276" s="12">
        <f>IF(P276="","",INDEX('状态价值'!$D4:$K4,MATCH(P276,'状态价值'!$D$1:$K$1,0)))</f>
        <v/>
      </c>
      <c r="R276" s="15">
        <f>NORM.S.INV(RAND())</f>
        <v/>
      </c>
      <c r="S276" s="15">
        <f>IF('组合输入'!$C5="","",'组合输入'!$H5*$B276+SQRT(1-'组合输入'!$H5^2)*R276)</f>
        <v/>
      </c>
      <c r="T276" s="7">
        <f>IF(S276="","",NORM.S.DIST(S276,TRUE))</f>
        <v/>
      </c>
      <c r="U276" s="13">
        <f>IF(T276="","",IF(T276&lt;='组合输入'!$K5,"AAA",IF(T276&lt;='组合输入'!$L5,"AA",IF(T276&lt;='组合输入'!$M5,"A",IF(T276&lt;='组合输入'!$N5,"BBB",IF(T276&lt;='组合输入'!$O5,"BB",IF(T276&lt;='组合输入'!$P5,"B",IF(T276&lt;='组合输入'!$Q5,"CCC","D")))))))</f>
        <v/>
      </c>
      <c r="V276" s="12">
        <f>IF(U276="","",INDEX('状态价值'!$D5:$K5,MATCH(U276,'状态价值'!$D$1:$K$1,0)))</f>
        <v/>
      </c>
      <c r="W276" s="15">
        <f>NORM.S.INV(RAND())</f>
        <v/>
      </c>
      <c r="X276" s="15">
        <f>IF('组合输入'!$C6="","",'组合输入'!$H6*$B276+SQRT(1-'组合输入'!$H6^2)*W276)</f>
        <v/>
      </c>
      <c r="Y276" s="7">
        <f>IF(X276="","",NORM.S.DIST(X276,TRUE))</f>
        <v/>
      </c>
      <c r="Z276" s="13">
        <f>IF(Y276="","",IF(Y276&lt;='组合输入'!$K6,"AAA",IF(Y276&lt;='组合输入'!$L6,"AA",IF(Y276&lt;='组合输入'!$M6,"A",IF(Y276&lt;='组合输入'!$N6,"BBB",IF(Y276&lt;='组合输入'!$O6,"BB",IF(Y276&lt;='组合输入'!$P6,"B",IF(Y276&lt;='组合输入'!$Q6,"CCC","D")))))))</f>
        <v/>
      </c>
      <c r="AA276" s="12">
        <f>IF(Z276="","",INDEX('状态价值'!$D6:$K6,MATCH(Z276,'状态价值'!$D$1:$K$1,0)))</f>
        <v/>
      </c>
      <c r="AB276" s="15">
        <f>NORM.S.INV(RAND())</f>
        <v/>
      </c>
      <c r="AC276" s="15">
        <f>IF('组合输入'!$C7="","",'组合输入'!$H7*$B276+SQRT(1-'组合输入'!$H7^2)*AB276)</f>
        <v/>
      </c>
      <c r="AD276" s="7">
        <f>IF(AC276="","",NORM.S.DIST(AC276,TRUE))</f>
        <v/>
      </c>
      <c r="AE276" s="13">
        <f>IF(AD276="","",IF(AD276&lt;='组合输入'!$K7,"AAA",IF(AD276&lt;='组合输入'!$L7,"AA",IF(AD276&lt;='组合输入'!$M7,"A",IF(AD276&lt;='组合输入'!$N7,"BBB",IF(AD276&lt;='组合输入'!$O7,"BB",IF(AD276&lt;='组合输入'!$P7,"B",IF(AD276&lt;='组合输入'!$Q7,"CCC","D")))))))</f>
        <v/>
      </c>
      <c r="AF276" s="12">
        <f>IF(AE276="","",INDEX('状态价值'!$D7:$K7,MATCH(AE276,'状态价值'!$D$1:$K$1,0)))</f>
        <v/>
      </c>
      <c r="AG276" s="15">
        <f>NORM.S.INV(RAND())</f>
        <v/>
      </c>
      <c r="AH276" s="15">
        <f>IF('组合输入'!$C8="","",'组合输入'!$H8*$B276+SQRT(1-'组合输入'!$H8^2)*AG276)</f>
        <v/>
      </c>
      <c r="AI276" s="7">
        <f>IF(AH276="","",NORM.S.DIST(AH276,TRUE))</f>
        <v/>
      </c>
      <c r="AJ276" s="13">
        <f>IF(AI276="","",IF(AI276&lt;='组合输入'!$K8,"AAA",IF(AI276&lt;='组合输入'!$L8,"AA",IF(AI276&lt;='组合输入'!$M8,"A",IF(AI276&lt;='组合输入'!$N8,"BBB",IF(AI276&lt;='组合输入'!$O8,"BB",IF(AI276&lt;='组合输入'!$P8,"B",IF(AI276&lt;='组合输入'!$Q8,"CCC","D")))))))</f>
        <v/>
      </c>
      <c r="AK276" s="12">
        <f>IF(AJ276="","",INDEX('状态价值'!$D8:$K8,MATCH(AJ276,'状态价值'!$D$1:$K$1,0)))</f>
        <v/>
      </c>
      <c r="AL276" s="15">
        <f>NORM.S.INV(RAND())</f>
        <v/>
      </c>
      <c r="AM276" s="15">
        <f>IF('组合输入'!$C9="","",'组合输入'!$H9*$B276+SQRT(1-'组合输入'!$H9^2)*AL276)</f>
        <v/>
      </c>
      <c r="AN276" s="7">
        <f>IF(AM276="","",NORM.S.DIST(AM276,TRUE))</f>
        <v/>
      </c>
      <c r="AO276" s="13">
        <f>IF(AN276="","",IF(AN276&lt;='组合输入'!$K9,"AAA",IF(AN276&lt;='组合输入'!$L9,"AA",IF(AN276&lt;='组合输入'!$M9,"A",IF(AN276&lt;='组合输入'!$N9,"BBB",IF(AN276&lt;='组合输入'!$O9,"BB",IF(AN276&lt;='组合输入'!$P9,"B",IF(AN276&lt;='组合输入'!$Q9,"CCC","D")))))))</f>
        <v/>
      </c>
      <c r="AP276" s="12">
        <f>IF(AO276="","",INDEX('状态价值'!$D9:$K9,MATCH(AO276,'状态价值'!$D$1:$K$1,0)))</f>
        <v/>
      </c>
      <c r="AQ276" s="15">
        <f>NORM.S.INV(RAND())</f>
        <v/>
      </c>
      <c r="AR276" s="15">
        <f>IF('组合输入'!$C10="","",'组合输入'!$H10*$B276+SQRT(1-'组合输入'!$H10^2)*AQ276)</f>
        <v/>
      </c>
      <c r="AS276" s="7">
        <f>IF(AR276="","",NORM.S.DIST(AR276,TRUE))</f>
        <v/>
      </c>
      <c r="AT276" s="13">
        <f>IF(AS276="","",IF(AS276&lt;='组合输入'!$K10,"AAA",IF(AS276&lt;='组合输入'!$L10,"AA",IF(AS276&lt;='组合输入'!$M10,"A",IF(AS276&lt;='组合输入'!$N10,"BBB",IF(AS276&lt;='组合输入'!$O10,"BB",IF(AS276&lt;='组合输入'!$P10,"B",IF(AS276&lt;='组合输入'!$Q10,"CCC","D")))))))</f>
        <v/>
      </c>
      <c r="AU276" s="12">
        <f>IF(AT276="","",INDEX('状态价值'!$D10:$K10,MATCH(AT276,'状态价值'!$D$1:$K$1,0)))</f>
        <v/>
      </c>
      <c r="AV276" s="15">
        <f>NORM.S.INV(RAND())</f>
        <v/>
      </c>
      <c r="AW276" s="15">
        <f>IF('组合输入'!$C11="","",'组合输入'!$H11*$B276+SQRT(1-'组合输入'!$H11^2)*AV276)</f>
        <v/>
      </c>
      <c r="AX276" s="7">
        <f>IF(AW276="","",NORM.S.DIST(AW276,TRUE))</f>
        <v/>
      </c>
      <c r="AY276" s="13">
        <f>IF(AX276="","",IF(AX276&lt;='组合输入'!$K11,"AAA",IF(AX276&lt;='组合输入'!$L11,"AA",IF(AX276&lt;='组合输入'!$M11,"A",IF(AX276&lt;='组合输入'!$N11,"BBB",IF(AX276&lt;='组合输入'!$O11,"BB",IF(AX276&lt;='组合输入'!$P11,"B",IF(AX276&lt;='组合输入'!$Q11,"CCC","D")))))))</f>
        <v/>
      </c>
      <c r="AZ276" s="12">
        <f>IF(AY276="","",INDEX('状态价值'!$D11:$K11,MATCH(AY276,'状态价值'!$D$1:$K$1,0)))</f>
        <v/>
      </c>
      <c r="BA276" s="12">
        <f>G276+L276+Q276+V276+AA276+AF276+AK276+AP276+AU276+AZ276</f>
        <v/>
      </c>
      <c r="BB276" s="12">
        <f>SUM('组合输入'!$J$2:$J$11)-BA276</f>
        <v/>
      </c>
    </row>
    <row r="277">
      <c r="A277" s="11" t="n">
        <v>276</v>
      </c>
      <c r="B277" s="14">
        <f>NORM.S.INV(RAND())</f>
        <v/>
      </c>
      <c r="C277" s="14">
        <f>NORM.S.INV(RAND())</f>
        <v/>
      </c>
      <c r="D277" s="15">
        <f>IF('组合输入'!$C2="","",'组合输入'!$H2*$B277+SQRT(1-'组合输入'!$H2^2)*C277)</f>
        <v/>
      </c>
      <c r="E277" s="7">
        <f>IF(D277="","",NORM.S.DIST(D277,TRUE))</f>
        <v/>
      </c>
      <c r="F277" s="13">
        <f>IF(E277="","",IF(E277&lt;='组合输入'!$K2,"AAA",IF(E277&lt;='组合输入'!$L2,"AA",IF(E277&lt;='组合输入'!$M2,"A",IF(E277&lt;='组合输入'!$N2,"BBB",IF(E277&lt;='组合输入'!$O2,"BB",IF(E277&lt;='组合输入'!$P2,"B",IF(E277&lt;='组合输入'!$Q2,"CCC","D")))))))</f>
        <v/>
      </c>
      <c r="G277" s="12">
        <f>IF(F277="","",INDEX('状态价值'!$D2:$K2,MATCH(F277,'状态价值'!$D$1:$K$1,0)))</f>
        <v/>
      </c>
      <c r="H277" s="15">
        <f>NORM.S.INV(RAND())</f>
        <v/>
      </c>
      <c r="I277" s="15">
        <f>IF('组合输入'!$C3="","",'组合输入'!$H3*$B277+SQRT(1-'组合输入'!$H3^2)*H277)</f>
        <v/>
      </c>
      <c r="J277" s="7">
        <f>IF(I277="","",NORM.S.DIST(I277,TRUE))</f>
        <v/>
      </c>
      <c r="K277" s="13">
        <f>IF(J277="","",IF(J277&lt;='组合输入'!$K3,"AAA",IF(J277&lt;='组合输入'!$L3,"AA",IF(J277&lt;='组合输入'!$M3,"A",IF(J277&lt;='组合输入'!$N3,"BBB",IF(J277&lt;='组合输入'!$O3,"BB",IF(J277&lt;='组合输入'!$P3,"B",IF(J277&lt;='组合输入'!$Q3,"CCC","D")))))))</f>
        <v/>
      </c>
      <c r="L277" s="12">
        <f>IF(K277="","",INDEX('状态价值'!$D3:$K3,MATCH(K277,'状态价值'!$D$1:$K$1,0)))</f>
        <v/>
      </c>
      <c r="M277" s="15">
        <f>NORM.S.INV(RAND())</f>
        <v/>
      </c>
      <c r="N277" s="15">
        <f>IF('组合输入'!$C4="","",'组合输入'!$H4*$B277+SQRT(1-'组合输入'!$H4^2)*M277)</f>
        <v/>
      </c>
      <c r="O277" s="7">
        <f>IF(N277="","",NORM.S.DIST(N277,TRUE))</f>
        <v/>
      </c>
      <c r="P277" s="13">
        <f>IF(O277="","",IF(O277&lt;='组合输入'!$K4,"AAA",IF(O277&lt;='组合输入'!$L4,"AA",IF(O277&lt;='组合输入'!$M4,"A",IF(O277&lt;='组合输入'!$N4,"BBB",IF(O277&lt;='组合输入'!$O4,"BB",IF(O277&lt;='组合输入'!$P4,"B",IF(O277&lt;='组合输入'!$Q4,"CCC","D")))))))</f>
        <v/>
      </c>
      <c r="Q277" s="12">
        <f>IF(P277="","",INDEX('状态价值'!$D4:$K4,MATCH(P277,'状态价值'!$D$1:$K$1,0)))</f>
        <v/>
      </c>
      <c r="R277" s="15">
        <f>NORM.S.INV(RAND())</f>
        <v/>
      </c>
      <c r="S277" s="15">
        <f>IF('组合输入'!$C5="","",'组合输入'!$H5*$B277+SQRT(1-'组合输入'!$H5^2)*R277)</f>
        <v/>
      </c>
      <c r="T277" s="7">
        <f>IF(S277="","",NORM.S.DIST(S277,TRUE))</f>
        <v/>
      </c>
      <c r="U277" s="13">
        <f>IF(T277="","",IF(T277&lt;='组合输入'!$K5,"AAA",IF(T277&lt;='组合输入'!$L5,"AA",IF(T277&lt;='组合输入'!$M5,"A",IF(T277&lt;='组合输入'!$N5,"BBB",IF(T277&lt;='组合输入'!$O5,"BB",IF(T277&lt;='组合输入'!$P5,"B",IF(T277&lt;='组合输入'!$Q5,"CCC","D")))))))</f>
        <v/>
      </c>
      <c r="V277" s="12">
        <f>IF(U277="","",INDEX('状态价值'!$D5:$K5,MATCH(U277,'状态价值'!$D$1:$K$1,0)))</f>
        <v/>
      </c>
      <c r="W277" s="15">
        <f>NORM.S.INV(RAND())</f>
        <v/>
      </c>
      <c r="X277" s="15">
        <f>IF('组合输入'!$C6="","",'组合输入'!$H6*$B277+SQRT(1-'组合输入'!$H6^2)*W277)</f>
        <v/>
      </c>
      <c r="Y277" s="7">
        <f>IF(X277="","",NORM.S.DIST(X277,TRUE))</f>
        <v/>
      </c>
      <c r="Z277" s="13">
        <f>IF(Y277="","",IF(Y277&lt;='组合输入'!$K6,"AAA",IF(Y277&lt;='组合输入'!$L6,"AA",IF(Y277&lt;='组合输入'!$M6,"A",IF(Y277&lt;='组合输入'!$N6,"BBB",IF(Y277&lt;='组合输入'!$O6,"BB",IF(Y277&lt;='组合输入'!$P6,"B",IF(Y277&lt;='组合输入'!$Q6,"CCC","D")))))))</f>
        <v/>
      </c>
      <c r="AA277" s="12">
        <f>IF(Z277="","",INDEX('状态价值'!$D6:$K6,MATCH(Z277,'状态价值'!$D$1:$K$1,0)))</f>
        <v/>
      </c>
      <c r="AB277" s="15">
        <f>NORM.S.INV(RAND())</f>
        <v/>
      </c>
      <c r="AC277" s="15">
        <f>IF('组合输入'!$C7="","",'组合输入'!$H7*$B277+SQRT(1-'组合输入'!$H7^2)*AB277)</f>
        <v/>
      </c>
      <c r="AD277" s="7">
        <f>IF(AC277="","",NORM.S.DIST(AC277,TRUE))</f>
        <v/>
      </c>
      <c r="AE277" s="13">
        <f>IF(AD277="","",IF(AD277&lt;='组合输入'!$K7,"AAA",IF(AD277&lt;='组合输入'!$L7,"AA",IF(AD277&lt;='组合输入'!$M7,"A",IF(AD277&lt;='组合输入'!$N7,"BBB",IF(AD277&lt;='组合输入'!$O7,"BB",IF(AD277&lt;='组合输入'!$P7,"B",IF(AD277&lt;='组合输入'!$Q7,"CCC","D")))))))</f>
        <v/>
      </c>
      <c r="AF277" s="12">
        <f>IF(AE277="","",INDEX('状态价值'!$D7:$K7,MATCH(AE277,'状态价值'!$D$1:$K$1,0)))</f>
        <v/>
      </c>
      <c r="AG277" s="15">
        <f>NORM.S.INV(RAND())</f>
        <v/>
      </c>
      <c r="AH277" s="15">
        <f>IF('组合输入'!$C8="","",'组合输入'!$H8*$B277+SQRT(1-'组合输入'!$H8^2)*AG277)</f>
        <v/>
      </c>
      <c r="AI277" s="7">
        <f>IF(AH277="","",NORM.S.DIST(AH277,TRUE))</f>
        <v/>
      </c>
      <c r="AJ277" s="13">
        <f>IF(AI277="","",IF(AI277&lt;='组合输入'!$K8,"AAA",IF(AI277&lt;='组合输入'!$L8,"AA",IF(AI277&lt;='组合输入'!$M8,"A",IF(AI277&lt;='组合输入'!$N8,"BBB",IF(AI277&lt;='组合输入'!$O8,"BB",IF(AI277&lt;='组合输入'!$P8,"B",IF(AI277&lt;='组合输入'!$Q8,"CCC","D")))))))</f>
        <v/>
      </c>
      <c r="AK277" s="12">
        <f>IF(AJ277="","",INDEX('状态价值'!$D8:$K8,MATCH(AJ277,'状态价值'!$D$1:$K$1,0)))</f>
        <v/>
      </c>
      <c r="AL277" s="15">
        <f>NORM.S.INV(RAND())</f>
        <v/>
      </c>
      <c r="AM277" s="15">
        <f>IF('组合输入'!$C9="","",'组合输入'!$H9*$B277+SQRT(1-'组合输入'!$H9^2)*AL277)</f>
        <v/>
      </c>
      <c r="AN277" s="7">
        <f>IF(AM277="","",NORM.S.DIST(AM277,TRUE))</f>
        <v/>
      </c>
      <c r="AO277" s="13">
        <f>IF(AN277="","",IF(AN277&lt;='组合输入'!$K9,"AAA",IF(AN277&lt;='组合输入'!$L9,"AA",IF(AN277&lt;='组合输入'!$M9,"A",IF(AN277&lt;='组合输入'!$N9,"BBB",IF(AN277&lt;='组合输入'!$O9,"BB",IF(AN277&lt;='组合输入'!$P9,"B",IF(AN277&lt;='组合输入'!$Q9,"CCC","D")))))))</f>
        <v/>
      </c>
      <c r="AP277" s="12">
        <f>IF(AO277="","",INDEX('状态价值'!$D9:$K9,MATCH(AO277,'状态价值'!$D$1:$K$1,0)))</f>
        <v/>
      </c>
      <c r="AQ277" s="15">
        <f>NORM.S.INV(RAND())</f>
        <v/>
      </c>
      <c r="AR277" s="15">
        <f>IF('组合输入'!$C10="","",'组合输入'!$H10*$B277+SQRT(1-'组合输入'!$H10^2)*AQ277)</f>
        <v/>
      </c>
      <c r="AS277" s="7">
        <f>IF(AR277="","",NORM.S.DIST(AR277,TRUE))</f>
        <v/>
      </c>
      <c r="AT277" s="13">
        <f>IF(AS277="","",IF(AS277&lt;='组合输入'!$K10,"AAA",IF(AS277&lt;='组合输入'!$L10,"AA",IF(AS277&lt;='组合输入'!$M10,"A",IF(AS277&lt;='组合输入'!$N10,"BBB",IF(AS277&lt;='组合输入'!$O10,"BB",IF(AS277&lt;='组合输入'!$P10,"B",IF(AS277&lt;='组合输入'!$Q10,"CCC","D")))))))</f>
        <v/>
      </c>
      <c r="AU277" s="12">
        <f>IF(AT277="","",INDEX('状态价值'!$D10:$K10,MATCH(AT277,'状态价值'!$D$1:$K$1,0)))</f>
        <v/>
      </c>
      <c r="AV277" s="15">
        <f>NORM.S.INV(RAND())</f>
        <v/>
      </c>
      <c r="AW277" s="15">
        <f>IF('组合输入'!$C11="","",'组合输入'!$H11*$B277+SQRT(1-'组合输入'!$H11^2)*AV277)</f>
        <v/>
      </c>
      <c r="AX277" s="7">
        <f>IF(AW277="","",NORM.S.DIST(AW277,TRUE))</f>
        <v/>
      </c>
      <c r="AY277" s="13">
        <f>IF(AX277="","",IF(AX277&lt;='组合输入'!$K11,"AAA",IF(AX277&lt;='组合输入'!$L11,"AA",IF(AX277&lt;='组合输入'!$M11,"A",IF(AX277&lt;='组合输入'!$N11,"BBB",IF(AX277&lt;='组合输入'!$O11,"BB",IF(AX277&lt;='组合输入'!$P11,"B",IF(AX277&lt;='组合输入'!$Q11,"CCC","D")))))))</f>
        <v/>
      </c>
      <c r="AZ277" s="12">
        <f>IF(AY277="","",INDEX('状态价值'!$D11:$K11,MATCH(AY277,'状态价值'!$D$1:$K$1,0)))</f>
        <v/>
      </c>
      <c r="BA277" s="12">
        <f>G277+L277+Q277+V277+AA277+AF277+AK277+AP277+AU277+AZ277</f>
        <v/>
      </c>
      <c r="BB277" s="12">
        <f>SUM('组合输入'!$J$2:$J$11)-BA277</f>
        <v/>
      </c>
    </row>
    <row r="278">
      <c r="A278" s="11" t="n">
        <v>277</v>
      </c>
      <c r="B278" s="14">
        <f>NORM.S.INV(RAND())</f>
        <v/>
      </c>
      <c r="C278" s="14">
        <f>NORM.S.INV(RAND())</f>
        <v/>
      </c>
      <c r="D278" s="15">
        <f>IF('组合输入'!$C2="","",'组合输入'!$H2*$B278+SQRT(1-'组合输入'!$H2^2)*C278)</f>
        <v/>
      </c>
      <c r="E278" s="7">
        <f>IF(D278="","",NORM.S.DIST(D278,TRUE))</f>
        <v/>
      </c>
      <c r="F278" s="13">
        <f>IF(E278="","",IF(E278&lt;='组合输入'!$K2,"AAA",IF(E278&lt;='组合输入'!$L2,"AA",IF(E278&lt;='组合输入'!$M2,"A",IF(E278&lt;='组合输入'!$N2,"BBB",IF(E278&lt;='组合输入'!$O2,"BB",IF(E278&lt;='组合输入'!$P2,"B",IF(E278&lt;='组合输入'!$Q2,"CCC","D")))))))</f>
        <v/>
      </c>
      <c r="G278" s="12">
        <f>IF(F278="","",INDEX('状态价值'!$D2:$K2,MATCH(F278,'状态价值'!$D$1:$K$1,0)))</f>
        <v/>
      </c>
      <c r="H278" s="15">
        <f>NORM.S.INV(RAND())</f>
        <v/>
      </c>
      <c r="I278" s="15">
        <f>IF('组合输入'!$C3="","",'组合输入'!$H3*$B278+SQRT(1-'组合输入'!$H3^2)*H278)</f>
        <v/>
      </c>
      <c r="J278" s="7">
        <f>IF(I278="","",NORM.S.DIST(I278,TRUE))</f>
        <v/>
      </c>
      <c r="K278" s="13">
        <f>IF(J278="","",IF(J278&lt;='组合输入'!$K3,"AAA",IF(J278&lt;='组合输入'!$L3,"AA",IF(J278&lt;='组合输入'!$M3,"A",IF(J278&lt;='组合输入'!$N3,"BBB",IF(J278&lt;='组合输入'!$O3,"BB",IF(J278&lt;='组合输入'!$P3,"B",IF(J278&lt;='组合输入'!$Q3,"CCC","D")))))))</f>
        <v/>
      </c>
      <c r="L278" s="12">
        <f>IF(K278="","",INDEX('状态价值'!$D3:$K3,MATCH(K278,'状态价值'!$D$1:$K$1,0)))</f>
        <v/>
      </c>
      <c r="M278" s="15">
        <f>NORM.S.INV(RAND())</f>
        <v/>
      </c>
      <c r="N278" s="15">
        <f>IF('组合输入'!$C4="","",'组合输入'!$H4*$B278+SQRT(1-'组合输入'!$H4^2)*M278)</f>
        <v/>
      </c>
      <c r="O278" s="7">
        <f>IF(N278="","",NORM.S.DIST(N278,TRUE))</f>
        <v/>
      </c>
      <c r="P278" s="13">
        <f>IF(O278="","",IF(O278&lt;='组合输入'!$K4,"AAA",IF(O278&lt;='组合输入'!$L4,"AA",IF(O278&lt;='组合输入'!$M4,"A",IF(O278&lt;='组合输入'!$N4,"BBB",IF(O278&lt;='组合输入'!$O4,"BB",IF(O278&lt;='组合输入'!$P4,"B",IF(O278&lt;='组合输入'!$Q4,"CCC","D")))))))</f>
        <v/>
      </c>
      <c r="Q278" s="12">
        <f>IF(P278="","",INDEX('状态价值'!$D4:$K4,MATCH(P278,'状态价值'!$D$1:$K$1,0)))</f>
        <v/>
      </c>
      <c r="R278" s="15">
        <f>NORM.S.INV(RAND())</f>
        <v/>
      </c>
      <c r="S278" s="15">
        <f>IF('组合输入'!$C5="","",'组合输入'!$H5*$B278+SQRT(1-'组合输入'!$H5^2)*R278)</f>
        <v/>
      </c>
      <c r="T278" s="7">
        <f>IF(S278="","",NORM.S.DIST(S278,TRUE))</f>
        <v/>
      </c>
      <c r="U278" s="13">
        <f>IF(T278="","",IF(T278&lt;='组合输入'!$K5,"AAA",IF(T278&lt;='组合输入'!$L5,"AA",IF(T278&lt;='组合输入'!$M5,"A",IF(T278&lt;='组合输入'!$N5,"BBB",IF(T278&lt;='组合输入'!$O5,"BB",IF(T278&lt;='组合输入'!$P5,"B",IF(T278&lt;='组合输入'!$Q5,"CCC","D")))))))</f>
        <v/>
      </c>
      <c r="V278" s="12">
        <f>IF(U278="","",INDEX('状态价值'!$D5:$K5,MATCH(U278,'状态价值'!$D$1:$K$1,0)))</f>
        <v/>
      </c>
      <c r="W278" s="15">
        <f>NORM.S.INV(RAND())</f>
        <v/>
      </c>
      <c r="X278" s="15">
        <f>IF('组合输入'!$C6="","",'组合输入'!$H6*$B278+SQRT(1-'组合输入'!$H6^2)*W278)</f>
        <v/>
      </c>
      <c r="Y278" s="7">
        <f>IF(X278="","",NORM.S.DIST(X278,TRUE))</f>
        <v/>
      </c>
      <c r="Z278" s="13">
        <f>IF(Y278="","",IF(Y278&lt;='组合输入'!$K6,"AAA",IF(Y278&lt;='组合输入'!$L6,"AA",IF(Y278&lt;='组合输入'!$M6,"A",IF(Y278&lt;='组合输入'!$N6,"BBB",IF(Y278&lt;='组合输入'!$O6,"BB",IF(Y278&lt;='组合输入'!$P6,"B",IF(Y278&lt;='组合输入'!$Q6,"CCC","D")))))))</f>
        <v/>
      </c>
      <c r="AA278" s="12">
        <f>IF(Z278="","",INDEX('状态价值'!$D6:$K6,MATCH(Z278,'状态价值'!$D$1:$K$1,0)))</f>
        <v/>
      </c>
      <c r="AB278" s="15">
        <f>NORM.S.INV(RAND())</f>
        <v/>
      </c>
      <c r="AC278" s="15">
        <f>IF('组合输入'!$C7="","",'组合输入'!$H7*$B278+SQRT(1-'组合输入'!$H7^2)*AB278)</f>
        <v/>
      </c>
      <c r="AD278" s="7">
        <f>IF(AC278="","",NORM.S.DIST(AC278,TRUE))</f>
        <v/>
      </c>
      <c r="AE278" s="13">
        <f>IF(AD278="","",IF(AD278&lt;='组合输入'!$K7,"AAA",IF(AD278&lt;='组合输入'!$L7,"AA",IF(AD278&lt;='组合输入'!$M7,"A",IF(AD278&lt;='组合输入'!$N7,"BBB",IF(AD278&lt;='组合输入'!$O7,"BB",IF(AD278&lt;='组合输入'!$P7,"B",IF(AD278&lt;='组合输入'!$Q7,"CCC","D")))))))</f>
        <v/>
      </c>
      <c r="AF278" s="12">
        <f>IF(AE278="","",INDEX('状态价值'!$D7:$K7,MATCH(AE278,'状态价值'!$D$1:$K$1,0)))</f>
        <v/>
      </c>
      <c r="AG278" s="15">
        <f>NORM.S.INV(RAND())</f>
        <v/>
      </c>
      <c r="AH278" s="15">
        <f>IF('组合输入'!$C8="","",'组合输入'!$H8*$B278+SQRT(1-'组合输入'!$H8^2)*AG278)</f>
        <v/>
      </c>
      <c r="AI278" s="7">
        <f>IF(AH278="","",NORM.S.DIST(AH278,TRUE))</f>
        <v/>
      </c>
      <c r="AJ278" s="13">
        <f>IF(AI278="","",IF(AI278&lt;='组合输入'!$K8,"AAA",IF(AI278&lt;='组合输入'!$L8,"AA",IF(AI278&lt;='组合输入'!$M8,"A",IF(AI278&lt;='组合输入'!$N8,"BBB",IF(AI278&lt;='组合输入'!$O8,"BB",IF(AI278&lt;='组合输入'!$P8,"B",IF(AI278&lt;='组合输入'!$Q8,"CCC","D")))))))</f>
        <v/>
      </c>
      <c r="AK278" s="12">
        <f>IF(AJ278="","",INDEX('状态价值'!$D8:$K8,MATCH(AJ278,'状态价值'!$D$1:$K$1,0)))</f>
        <v/>
      </c>
      <c r="AL278" s="15">
        <f>NORM.S.INV(RAND())</f>
        <v/>
      </c>
      <c r="AM278" s="15">
        <f>IF('组合输入'!$C9="","",'组合输入'!$H9*$B278+SQRT(1-'组合输入'!$H9^2)*AL278)</f>
        <v/>
      </c>
      <c r="AN278" s="7">
        <f>IF(AM278="","",NORM.S.DIST(AM278,TRUE))</f>
        <v/>
      </c>
      <c r="AO278" s="13">
        <f>IF(AN278="","",IF(AN278&lt;='组合输入'!$K9,"AAA",IF(AN278&lt;='组合输入'!$L9,"AA",IF(AN278&lt;='组合输入'!$M9,"A",IF(AN278&lt;='组合输入'!$N9,"BBB",IF(AN278&lt;='组合输入'!$O9,"BB",IF(AN278&lt;='组合输入'!$P9,"B",IF(AN278&lt;='组合输入'!$Q9,"CCC","D")))))))</f>
        <v/>
      </c>
      <c r="AP278" s="12">
        <f>IF(AO278="","",INDEX('状态价值'!$D9:$K9,MATCH(AO278,'状态价值'!$D$1:$K$1,0)))</f>
        <v/>
      </c>
      <c r="AQ278" s="15">
        <f>NORM.S.INV(RAND())</f>
        <v/>
      </c>
      <c r="AR278" s="15">
        <f>IF('组合输入'!$C10="","",'组合输入'!$H10*$B278+SQRT(1-'组合输入'!$H10^2)*AQ278)</f>
        <v/>
      </c>
      <c r="AS278" s="7">
        <f>IF(AR278="","",NORM.S.DIST(AR278,TRUE))</f>
        <v/>
      </c>
      <c r="AT278" s="13">
        <f>IF(AS278="","",IF(AS278&lt;='组合输入'!$K10,"AAA",IF(AS278&lt;='组合输入'!$L10,"AA",IF(AS278&lt;='组合输入'!$M10,"A",IF(AS278&lt;='组合输入'!$N10,"BBB",IF(AS278&lt;='组合输入'!$O10,"BB",IF(AS278&lt;='组合输入'!$P10,"B",IF(AS278&lt;='组合输入'!$Q10,"CCC","D")))))))</f>
        <v/>
      </c>
      <c r="AU278" s="12">
        <f>IF(AT278="","",INDEX('状态价值'!$D10:$K10,MATCH(AT278,'状态价值'!$D$1:$K$1,0)))</f>
        <v/>
      </c>
      <c r="AV278" s="15">
        <f>NORM.S.INV(RAND())</f>
        <v/>
      </c>
      <c r="AW278" s="15">
        <f>IF('组合输入'!$C11="","",'组合输入'!$H11*$B278+SQRT(1-'组合输入'!$H11^2)*AV278)</f>
        <v/>
      </c>
      <c r="AX278" s="7">
        <f>IF(AW278="","",NORM.S.DIST(AW278,TRUE))</f>
        <v/>
      </c>
      <c r="AY278" s="13">
        <f>IF(AX278="","",IF(AX278&lt;='组合输入'!$K11,"AAA",IF(AX278&lt;='组合输入'!$L11,"AA",IF(AX278&lt;='组合输入'!$M11,"A",IF(AX278&lt;='组合输入'!$N11,"BBB",IF(AX278&lt;='组合输入'!$O11,"BB",IF(AX278&lt;='组合输入'!$P11,"B",IF(AX278&lt;='组合输入'!$Q11,"CCC","D")))))))</f>
        <v/>
      </c>
      <c r="AZ278" s="12">
        <f>IF(AY278="","",INDEX('状态价值'!$D11:$K11,MATCH(AY278,'状态价值'!$D$1:$K$1,0)))</f>
        <v/>
      </c>
      <c r="BA278" s="12">
        <f>G278+L278+Q278+V278+AA278+AF278+AK278+AP278+AU278+AZ278</f>
        <v/>
      </c>
      <c r="BB278" s="12">
        <f>SUM('组合输入'!$J$2:$J$11)-BA278</f>
        <v/>
      </c>
    </row>
    <row r="279">
      <c r="A279" s="11" t="n">
        <v>278</v>
      </c>
      <c r="B279" s="14">
        <f>NORM.S.INV(RAND())</f>
        <v/>
      </c>
      <c r="C279" s="14">
        <f>NORM.S.INV(RAND())</f>
        <v/>
      </c>
      <c r="D279" s="15">
        <f>IF('组合输入'!$C2="","",'组合输入'!$H2*$B279+SQRT(1-'组合输入'!$H2^2)*C279)</f>
        <v/>
      </c>
      <c r="E279" s="7">
        <f>IF(D279="","",NORM.S.DIST(D279,TRUE))</f>
        <v/>
      </c>
      <c r="F279" s="13">
        <f>IF(E279="","",IF(E279&lt;='组合输入'!$K2,"AAA",IF(E279&lt;='组合输入'!$L2,"AA",IF(E279&lt;='组合输入'!$M2,"A",IF(E279&lt;='组合输入'!$N2,"BBB",IF(E279&lt;='组合输入'!$O2,"BB",IF(E279&lt;='组合输入'!$P2,"B",IF(E279&lt;='组合输入'!$Q2,"CCC","D")))))))</f>
        <v/>
      </c>
      <c r="G279" s="12">
        <f>IF(F279="","",INDEX('状态价值'!$D2:$K2,MATCH(F279,'状态价值'!$D$1:$K$1,0)))</f>
        <v/>
      </c>
      <c r="H279" s="15">
        <f>NORM.S.INV(RAND())</f>
        <v/>
      </c>
      <c r="I279" s="15">
        <f>IF('组合输入'!$C3="","",'组合输入'!$H3*$B279+SQRT(1-'组合输入'!$H3^2)*H279)</f>
        <v/>
      </c>
      <c r="J279" s="7">
        <f>IF(I279="","",NORM.S.DIST(I279,TRUE))</f>
        <v/>
      </c>
      <c r="K279" s="13">
        <f>IF(J279="","",IF(J279&lt;='组合输入'!$K3,"AAA",IF(J279&lt;='组合输入'!$L3,"AA",IF(J279&lt;='组合输入'!$M3,"A",IF(J279&lt;='组合输入'!$N3,"BBB",IF(J279&lt;='组合输入'!$O3,"BB",IF(J279&lt;='组合输入'!$P3,"B",IF(J279&lt;='组合输入'!$Q3,"CCC","D")))))))</f>
        <v/>
      </c>
      <c r="L279" s="12">
        <f>IF(K279="","",INDEX('状态价值'!$D3:$K3,MATCH(K279,'状态价值'!$D$1:$K$1,0)))</f>
        <v/>
      </c>
      <c r="M279" s="15">
        <f>NORM.S.INV(RAND())</f>
        <v/>
      </c>
      <c r="N279" s="15">
        <f>IF('组合输入'!$C4="","",'组合输入'!$H4*$B279+SQRT(1-'组合输入'!$H4^2)*M279)</f>
        <v/>
      </c>
      <c r="O279" s="7">
        <f>IF(N279="","",NORM.S.DIST(N279,TRUE))</f>
        <v/>
      </c>
      <c r="P279" s="13">
        <f>IF(O279="","",IF(O279&lt;='组合输入'!$K4,"AAA",IF(O279&lt;='组合输入'!$L4,"AA",IF(O279&lt;='组合输入'!$M4,"A",IF(O279&lt;='组合输入'!$N4,"BBB",IF(O279&lt;='组合输入'!$O4,"BB",IF(O279&lt;='组合输入'!$P4,"B",IF(O279&lt;='组合输入'!$Q4,"CCC","D")))))))</f>
        <v/>
      </c>
      <c r="Q279" s="12">
        <f>IF(P279="","",INDEX('状态价值'!$D4:$K4,MATCH(P279,'状态价值'!$D$1:$K$1,0)))</f>
        <v/>
      </c>
      <c r="R279" s="15">
        <f>NORM.S.INV(RAND())</f>
        <v/>
      </c>
      <c r="S279" s="15">
        <f>IF('组合输入'!$C5="","",'组合输入'!$H5*$B279+SQRT(1-'组合输入'!$H5^2)*R279)</f>
        <v/>
      </c>
      <c r="T279" s="7">
        <f>IF(S279="","",NORM.S.DIST(S279,TRUE))</f>
        <v/>
      </c>
      <c r="U279" s="13">
        <f>IF(T279="","",IF(T279&lt;='组合输入'!$K5,"AAA",IF(T279&lt;='组合输入'!$L5,"AA",IF(T279&lt;='组合输入'!$M5,"A",IF(T279&lt;='组合输入'!$N5,"BBB",IF(T279&lt;='组合输入'!$O5,"BB",IF(T279&lt;='组合输入'!$P5,"B",IF(T279&lt;='组合输入'!$Q5,"CCC","D")))))))</f>
        <v/>
      </c>
      <c r="V279" s="12">
        <f>IF(U279="","",INDEX('状态价值'!$D5:$K5,MATCH(U279,'状态价值'!$D$1:$K$1,0)))</f>
        <v/>
      </c>
      <c r="W279" s="15">
        <f>NORM.S.INV(RAND())</f>
        <v/>
      </c>
      <c r="X279" s="15">
        <f>IF('组合输入'!$C6="","",'组合输入'!$H6*$B279+SQRT(1-'组合输入'!$H6^2)*W279)</f>
        <v/>
      </c>
      <c r="Y279" s="7">
        <f>IF(X279="","",NORM.S.DIST(X279,TRUE))</f>
        <v/>
      </c>
      <c r="Z279" s="13">
        <f>IF(Y279="","",IF(Y279&lt;='组合输入'!$K6,"AAA",IF(Y279&lt;='组合输入'!$L6,"AA",IF(Y279&lt;='组合输入'!$M6,"A",IF(Y279&lt;='组合输入'!$N6,"BBB",IF(Y279&lt;='组合输入'!$O6,"BB",IF(Y279&lt;='组合输入'!$P6,"B",IF(Y279&lt;='组合输入'!$Q6,"CCC","D")))))))</f>
        <v/>
      </c>
      <c r="AA279" s="12">
        <f>IF(Z279="","",INDEX('状态价值'!$D6:$K6,MATCH(Z279,'状态价值'!$D$1:$K$1,0)))</f>
        <v/>
      </c>
      <c r="AB279" s="15">
        <f>NORM.S.INV(RAND())</f>
        <v/>
      </c>
      <c r="AC279" s="15">
        <f>IF('组合输入'!$C7="","",'组合输入'!$H7*$B279+SQRT(1-'组合输入'!$H7^2)*AB279)</f>
        <v/>
      </c>
      <c r="AD279" s="7">
        <f>IF(AC279="","",NORM.S.DIST(AC279,TRUE))</f>
        <v/>
      </c>
      <c r="AE279" s="13">
        <f>IF(AD279="","",IF(AD279&lt;='组合输入'!$K7,"AAA",IF(AD279&lt;='组合输入'!$L7,"AA",IF(AD279&lt;='组合输入'!$M7,"A",IF(AD279&lt;='组合输入'!$N7,"BBB",IF(AD279&lt;='组合输入'!$O7,"BB",IF(AD279&lt;='组合输入'!$P7,"B",IF(AD279&lt;='组合输入'!$Q7,"CCC","D")))))))</f>
        <v/>
      </c>
      <c r="AF279" s="12">
        <f>IF(AE279="","",INDEX('状态价值'!$D7:$K7,MATCH(AE279,'状态价值'!$D$1:$K$1,0)))</f>
        <v/>
      </c>
      <c r="AG279" s="15">
        <f>NORM.S.INV(RAND())</f>
        <v/>
      </c>
      <c r="AH279" s="15">
        <f>IF('组合输入'!$C8="","",'组合输入'!$H8*$B279+SQRT(1-'组合输入'!$H8^2)*AG279)</f>
        <v/>
      </c>
      <c r="AI279" s="7">
        <f>IF(AH279="","",NORM.S.DIST(AH279,TRUE))</f>
        <v/>
      </c>
      <c r="AJ279" s="13">
        <f>IF(AI279="","",IF(AI279&lt;='组合输入'!$K8,"AAA",IF(AI279&lt;='组合输入'!$L8,"AA",IF(AI279&lt;='组合输入'!$M8,"A",IF(AI279&lt;='组合输入'!$N8,"BBB",IF(AI279&lt;='组合输入'!$O8,"BB",IF(AI279&lt;='组合输入'!$P8,"B",IF(AI279&lt;='组合输入'!$Q8,"CCC","D")))))))</f>
        <v/>
      </c>
      <c r="AK279" s="12">
        <f>IF(AJ279="","",INDEX('状态价值'!$D8:$K8,MATCH(AJ279,'状态价值'!$D$1:$K$1,0)))</f>
        <v/>
      </c>
      <c r="AL279" s="15">
        <f>NORM.S.INV(RAND())</f>
        <v/>
      </c>
      <c r="AM279" s="15">
        <f>IF('组合输入'!$C9="","",'组合输入'!$H9*$B279+SQRT(1-'组合输入'!$H9^2)*AL279)</f>
        <v/>
      </c>
      <c r="AN279" s="7">
        <f>IF(AM279="","",NORM.S.DIST(AM279,TRUE))</f>
        <v/>
      </c>
      <c r="AO279" s="13">
        <f>IF(AN279="","",IF(AN279&lt;='组合输入'!$K9,"AAA",IF(AN279&lt;='组合输入'!$L9,"AA",IF(AN279&lt;='组合输入'!$M9,"A",IF(AN279&lt;='组合输入'!$N9,"BBB",IF(AN279&lt;='组合输入'!$O9,"BB",IF(AN279&lt;='组合输入'!$P9,"B",IF(AN279&lt;='组合输入'!$Q9,"CCC","D")))))))</f>
        <v/>
      </c>
      <c r="AP279" s="12">
        <f>IF(AO279="","",INDEX('状态价值'!$D9:$K9,MATCH(AO279,'状态价值'!$D$1:$K$1,0)))</f>
        <v/>
      </c>
      <c r="AQ279" s="15">
        <f>NORM.S.INV(RAND())</f>
        <v/>
      </c>
      <c r="AR279" s="15">
        <f>IF('组合输入'!$C10="","",'组合输入'!$H10*$B279+SQRT(1-'组合输入'!$H10^2)*AQ279)</f>
        <v/>
      </c>
      <c r="AS279" s="7">
        <f>IF(AR279="","",NORM.S.DIST(AR279,TRUE))</f>
        <v/>
      </c>
      <c r="AT279" s="13">
        <f>IF(AS279="","",IF(AS279&lt;='组合输入'!$K10,"AAA",IF(AS279&lt;='组合输入'!$L10,"AA",IF(AS279&lt;='组合输入'!$M10,"A",IF(AS279&lt;='组合输入'!$N10,"BBB",IF(AS279&lt;='组合输入'!$O10,"BB",IF(AS279&lt;='组合输入'!$P10,"B",IF(AS279&lt;='组合输入'!$Q10,"CCC","D")))))))</f>
        <v/>
      </c>
      <c r="AU279" s="12">
        <f>IF(AT279="","",INDEX('状态价值'!$D10:$K10,MATCH(AT279,'状态价值'!$D$1:$K$1,0)))</f>
        <v/>
      </c>
      <c r="AV279" s="15">
        <f>NORM.S.INV(RAND())</f>
        <v/>
      </c>
      <c r="AW279" s="15">
        <f>IF('组合输入'!$C11="","",'组合输入'!$H11*$B279+SQRT(1-'组合输入'!$H11^2)*AV279)</f>
        <v/>
      </c>
      <c r="AX279" s="7">
        <f>IF(AW279="","",NORM.S.DIST(AW279,TRUE))</f>
        <v/>
      </c>
      <c r="AY279" s="13">
        <f>IF(AX279="","",IF(AX279&lt;='组合输入'!$K11,"AAA",IF(AX279&lt;='组合输入'!$L11,"AA",IF(AX279&lt;='组合输入'!$M11,"A",IF(AX279&lt;='组合输入'!$N11,"BBB",IF(AX279&lt;='组合输入'!$O11,"BB",IF(AX279&lt;='组合输入'!$P11,"B",IF(AX279&lt;='组合输入'!$Q11,"CCC","D")))))))</f>
        <v/>
      </c>
      <c r="AZ279" s="12">
        <f>IF(AY279="","",INDEX('状态价值'!$D11:$K11,MATCH(AY279,'状态价值'!$D$1:$K$1,0)))</f>
        <v/>
      </c>
      <c r="BA279" s="12">
        <f>G279+L279+Q279+V279+AA279+AF279+AK279+AP279+AU279+AZ279</f>
        <v/>
      </c>
      <c r="BB279" s="12">
        <f>SUM('组合输入'!$J$2:$J$11)-BA279</f>
        <v/>
      </c>
    </row>
    <row r="280">
      <c r="A280" s="11" t="n">
        <v>279</v>
      </c>
      <c r="B280" s="14">
        <f>NORM.S.INV(RAND())</f>
        <v/>
      </c>
      <c r="C280" s="14">
        <f>NORM.S.INV(RAND())</f>
        <v/>
      </c>
      <c r="D280" s="15">
        <f>IF('组合输入'!$C2="","",'组合输入'!$H2*$B280+SQRT(1-'组合输入'!$H2^2)*C280)</f>
        <v/>
      </c>
      <c r="E280" s="7">
        <f>IF(D280="","",NORM.S.DIST(D280,TRUE))</f>
        <v/>
      </c>
      <c r="F280" s="13">
        <f>IF(E280="","",IF(E280&lt;='组合输入'!$K2,"AAA",IF(E280&lt;='组合输入'!$L2,"AA",IF(E280&lt;='组合输入'!$M2,"A",IF(E280&lt;='组合输入'!$N2,"BBB",IF(E280&lt;='组合输入'!$O2,"BB",IF(E280&lt;='组合输入'!$P2,"B",IF(E280&lt;='组合输入'!$Q2,"CCC","D")))))))</f>
        <v/>
      </c>
      <c r="G280" s="12">
        <f>IF(F280="","",INDEX('状态价值'!$D2:$K2,MATCH(F280,'状态价值'!$D$1:$K$1,0)))</f>
        <v/>
      </c>
      <c r="H280" s="15">
        <f>NORM.S.INV(RAND())</f>
        <v/>
      </c>
      <c r="I280" s="15">
        <f>IF('组合输入'!$C3="","",'组合输入'!$H3*$B280+SQRT(1-'组合输入'!$H3^2)*H280)</f>
        <v/>
      </c>
      <c r="J280" s="7">
        <f>IF(I280="","",NORM.S.DIST(I280,TRUE))</f>
        <v/>
      </c>
      <c r="K280" s="13">
        <f>IF(J280="","",IF(J280&lt;='组合输入'!$K3,"AAA",IF(J280&lt;='组合输入'!$L3,"AA",IF(J280&lt;='组合输入'!$M3,"A",IF(J280&lt;='组合输入'!$N3,"BBB",IF(J280&lt;='组合输入'!$O3,"BB",IF(J280&lt;='组合输入'!$P3,"B",IF(J280&lt;='组合输入'!$Q3,"CCC","D")))))))</f>
        <v/>
      </c>
      <c r="L280" s="12">
        <f>IF(K280="","",INDEX('状态价值'!$D3:$K3,MATCH(K280,'状态价值'!$D$1:$K$1,0)))</f>
        <v/>
      </c>
      <c r="M280" s="15">
        <f>NORM.S.INV(RAND())</f>
        <v/>
      </c>
      <c r="N280" s="15">
        <f>IF('组合输入'!$C4="","",'组合输入'!$H4*$B280+SQRT(1-'组合输入'!$H4^2)*M280)</f>
        <v/>
      </c>
      <c r="O280" s="7">
        <f>IF(N280="","",NORM.S.DIST(N280,TRUE))</f>
        <v/>
      </c>
      <c r="P280" s="13">
        <f>IF(O280="","",IF(O280&lt;='组合输入'!$K4,"AAA",IF(O280&lt;='组合输入'!$L4,"AA",IF(O280&lt;='组合输入'!$M4,"A",IF(O280&lt;='组合输入'!$N4,"BBB",IF(O280&lt;='组合输入'!$O4,"BB",IF(O280&lt;='组合输入'!$P4,"B",IF(O280&lt;='组合输入'!$Q4,"CCC","D")))))))</f>
        <v/>
      </c>
      <c r="Q280" s="12">
        <f>IF(P280="","",INDEX('状态价值'!$D4:$K4,MATCH(P280,'状态价值'!$D$1:$K$1,0)))</f>
        <v/>
      </c>
      <c r="R280" s="15">
        <f>NORM.S.INV(RAND())</f>
        <v/>
      </c>
      <c r="S280" s="15">
        <f>IF('组合输入'!$C5="","",'组合输入'!$H5*$B280+SQRT(1-'组合输入'!$H5^2)*R280)</f>
        <v/>
      </c>
      <c r="T280" s="7">
        <f>IF(S280="","",NORM.S.DIST(S280,TRUE))</f>
        <v/>
      </c>
      <c r="U280" s="13">
        <f>IF(T280="","",IF(T280&lt;='组合输入'!$K5,"AAA",IF(T280&lt;='组合输入'!$L5,"AA",IF(T280&lt;='组合输入'!$M5,"A",IF(T280&lt;='组合输入'!$N5,"BBB",IF(T280&lt;='组合输入'!$O5,"BB",IF(T280&lt;='组合输入'!$P5,"B",IF(T280&lt;='组合输入'!$Q5,"CCC","D")))))))</f>
        <v/>
      </c>
      <c r="V280" s="12">
        <f>IF(U280="","",INDEX('状态价值'!$D5:$K5,MATCH(U280,'状态价值'!$D$1:$K$1,0)))</f>
        <v/>
      </c>
      <c r="W280" s="15">
        <f>NORM.S.INV(RAND())</f>
        <v/>
      </c>
      <c r="X280" s="15">
        <f>IF('组合输入'!$C6="","",'组合输入'!$H6*$B280+SQRT(1-'组合输入'!$H6^2)*W280)</f>
        <v/>
      </c>
      <c r="Y280" s="7">
        <f>IF(X280="","",NORM.S.DIST(X280,TRUE))</f>
        <v/>
      </c>
      <c r="Z280" s="13">
        <f>IF(Y280="","",IF(Y280&lt;='组合输入'!$K6,"AAA",IF(Y280&lt;='组合输入'!$L6,"AA",IF(Y280&lt;='组合输入'!$M6,"A",IF(Y280&lt;='组合输入'!$N6,"BBB",IF(Y280&lt;='组合输入'!$O6,"BB",IF(Y280&lt;='组合输入'!$P6,"B",IF(Y280&lt;='组合输入'!$Q6,"CCC","D")))))))</f>
        <v/>
      </c>
      <c r="AA280" s="12">
        <f>IF(Z280="","",INDEX('状态价值'!$D6:$K6,MATCH(Z280,'状态价值'!$D$1:$K$1,0)))</f>
        <v/>
      </c>
      <c r="AB280" s="15">
        <f>NORM.S.INV(RAND())</f>
        <v/>
      </c>
      <c r="AC280" s="15">
        <f>IF('组合输入'!$C7="","",'组合输入'!$H7*$B280+SQRT(1-'组合输入'!$H7^2)*AB280)</f>
        <v/>
      </c>
      <c r="AD280" s="7">
        <f>IF(AC280="","",NORM.S.DIST(AC280,TRUE))</f>
        <v/>
      </c>
      <c r="AE280" s="13">
        <f>IF(AD280="","",IF(AD280&lt;='组合输入'!$K7,"AAA",IF(AD280&lt;='组合输入'!$L7,"AA",IF(AD280&lt;='组合输入'!$M7,"A",IF(AD280&lt;='组合输入'!$N7,"BBB",IF(AD280&lt;='组合输入'!$O7,"BB",IF(AD280&lt;='组合输入'!$P7,"B",IF(AD280&lt;='组合输入'!$Q7,"CCC","D")))))))</f>
        <v/>
      </c>
      <c r="AF280" s="12">
        <f>IF(AE280="","",INDEX('状态价值'!$D7:$K7,MATCH(AE280,'状态价值'!$D$1:$K$1,0)))</f>
        <v/>
      </c>
      <c r="AG280" s="15">
        <f>NORM.S.INV(RAND())</f>
        <v/>
      </c>
      <c r="AH280" s="15">
        <f>IF('组合输入'!$C8="","",'组合输入'!$H8*$B280+SQRT(1-'组合输入'!$H8^2)*AG280)</f>
        <v/>
      </c>
      <c r="AI280" s="7">
        <f>IF(AH280="","",NORM.S.DIST(AH280,TRUE))</f>
        <v/>
      </c>
      <c r="AJ280" s="13">
        <f>IF(AI280="","",IF(AI280&lt;='组合输入'!$K8,"AAA",IF(AI280&lt;='组合输入'!$L8,"AA",IF(AI280&lt;='组合输入'!$M8,"A",IF(AI280&lt;='组合输入'!$N8,"BBB",IF(AI280&lt;='组合输入'!$O8,"BB",IF(AI280&lt;='组合输入'!$P8,"B",IF(AI280&lt;='组合输入'!$Q8,"CCC","D")))))))</f>
        <v/>
      </c>
      <c r="AK280" s="12">
        <f>IF(AJ280="","",INDEX('状态价值'!$D8:$K8,MATCH(AJ280,'状态价值'!$D$1:$K$1,0)))</f>
        <v/>
      </c>
      <c r="AL280" s="15">
        <f>NORM.S.INV(RAND())</f>
        <v/>
      </c>
      <c r="AM280" s="15">
        <f>IF('组合输入'!$C9="","",'组合输入'!$H9*$B280+SQRT(1-'组合输入'!$H9^2)*AL280)</f>
        <v/>
      </c>
      <c r="AN280" s="7">
        <f>IF(AM280="","",NORM.S.DIST(AM280,TRUE))</f>
        <v/>
      </c>
      <c r="AO280" s="13">
        <f>IF(AN280="","",IF(AN280&lt;='组合输入'!$K9,"AAA",IF(AN280&lt;='组合输入'!$L9,"AA",IF(AN280&lt;='组合输入'!$M9,"A",IF(AN280&lt;='组合输入'!$N9,"BBB",IF(AN280&lt;='组合输入'!$O9,"BB",IF(AN280&lt;='组合输入'!$P9,"B",IF(AN280&lt;='组合输入'!$Q9,"CCC","D")))))))</f>
        <v/>
      </c>
      <c r="AP280" s="12">
        <f>IF(AO280="","",INDEX('状态价值'!$D9:$K9,MATCH(AO280,'状态价值'!$D$1:$K$1,0)))</f>
        <v/>
      </c>
      <c r="AQ280" s="15">
        <f>NORM.S.INV(RAND())</f>
        <v/>
      </c>
      <c r="AR280" s="15">
        <f>IF('组合输入'!$C10="","",'组合输入'!$H10*$B280+SQRT(1-'组合输入'!$H10^2)*AQ280)</f>
        <v/>
      </c>
      <c r="AS280" s="7">
        <f>IF(AR280="","",NORM.S.DIST(AR280,TRUE))</f>
        <v/>
      </c>
      <c r="AT280" s="13">
        <f>IF(AS280="","",IF(AS280&lt;='组合输入'!$K10,"AAA",IF(AS280&lt;='组合输入'!$L10,"AA",IF(AS280&lt;='组合输入'!$M10,"A",IF(AS280&lt;='组合输入'!$N10,"BBB",IF(AS280&lt;='组合输入'!$O10,"BB",IF(AS280&lt;='组合输入'!$P10,"B",IF(AS280&lt;='组合输入'!$Q10,"CCC","D")))))))</f>
        <v/>
      </c>
      <c r="AU280" s="12">
        <f>IF(AT280="","",INDEX('状态价值'!$D10:$K10,MATCH(AT280,'状态价值'!$D$1:$K$1,0)))</f>
        <v/>
      </c>
      <c r="AV280" s="15">
        <f>NORM.S.INV(RAND())</f>
        <v/>
      </c>
      <c r="AW280" s="15">
        <f>IF('组合输入'!$C11="","",'组合输入'!$H11*$B280+SQRT(1-'组合输入'!$H11^2)*AV280)</f>
        <v/>
      </c>
      <c r="AX280" s="7">
        <f>IF(AW280="","",NORM.S.DIST(AW280,TRUE))</f>
        <v/>
      </c>
      <c r="AY280" s="13">
        <f>IF(AX280="","",IF(AX280&lt;='组合输入'!$K11,"AAA",IF(AX280&lt;='组合输入'!$L11,"AA",IF(AX280&lt;='组合输入'!$M11,"A",IF(AX280&lt;='组合输入'!$N11,"BBB",IF(AX280&lt;='组合输入'!$O11,"BB",IF(AX280&lt;='组合输入'!$P11,"B",IF(AX280&lt;='组合输入'!$Q11,"CCC","D")))))))</f>
        <v/>
      </c>
      <c r="AZ280" s="12">
        <f>IF(AY280="","",INDEX('状态价值'!$D11:$K11,MATCH(AY280,'状态价值'!$D$1:$K$1,0)))</f>
        <v/>
      </c>
      <c r="BA280" s="12">
        <f>G280+L280+Q280+V280+AA280+AF280+AK280+AP280+AU280+AZ280</f>
        <v/>
      </c>
      <c r="BB280" s="12">
        <f>SUM('组合输入'!$J$2:$J$11)-BA280</f>
        <v/>
      </c>
    </row>
    <row r="281">
      <c r="A281" s="11" t="n">
        <v>280</v>
      </c>
      <c r="B281" s="14">
        <f>NORM.S.INV(RAND())</f>
        <v/>
      </c>
      <c r="C281" s="14">
        <f>NORM.S.INV(RAND())</f>
        <v/>
      </c>
      <c r="D281" s="15">
        <f>IF('组合输入'!$C2="","",'组合输入'!$H2*$B281+SQRT(1-'组合输入'!$H2^2)*C281)</f>
        <v/>
      </c>
      <c r="E281" s="7">
        <f>IF(D281="","",NORM.S.DIST(D281,TRUE))</f>
        <v/>
      </c>
      <c r="F281" s="13">
        <f>IF(E281="","",IF(E281&lt;='组合输入'!$K2,"AAA",IF(E281&lt;='组合输入'!$L2,"AA",IF(E281&lt;='组合输入'!$M2,"A",IF(E281&lt;='组合输入'!$N2,"BBB",IF(E281&lt;='组合输入'!$O2,"BB",IF(E281&lt;='组合输入'!$P2,"B",IF(E281&lt;='组合输入'!$Q2,"CCC","D")))))))</f>
        <v/>
      </c>
      <c r="G281" s="12">
        <f>IF(F281="","",INDEX('状态价值'!$D2:$K2,MATCH(F281,'状态价值'!$D$1:$K$1,0)))</f>
        <v/>
      </c>
      <c r="H281" s="15">
        <f>NORM.S.INV(RAND())</f>
        <v/>
      </c>
      <c r="I281" s="15">
        <f>IF('组合输入'!$C3="","",'组合输入'!$H3*$B281+SQRT(1-'组合输入'!$H3^2)*H281)</f>
        <v/>
      </c>
      <c r="J281" s="7">
        <f>IF(I281="","",NORM.S.DIST(I281,TRUE))</f>
        <v/>
      </c>
      <c r="K281" s="13">
        <f>IF(J281="","",IF(J281&lt;='组合输入'!$K3,"AAA",IF(J281&lt;='组合输入'!$L3,"AA",IF(J281&lt;='组合输入'!$M3,"A",IF(J281&lt;='组合输入'!$N3,"BBB",IF(J281&lt;='组合输入'!$O3,"BB",IF(J281&lt;='组合输入'!$P3,"B",IF(J281&lt;='组合输入'!$Q3,"CCC","D")))))))</f>
        <v/>
      </c>
      <c r="L281" s="12">
        <f>IF(K281="","",INDEX('状态价值'!$D3:$K3,MATCH(K281,'状态价值'!$D$1:$K$1,0)))</f>
        <v/>
      </c>
      <c r="M281" s="15">
        <f>NORM.S.INV(RAND())</f>
        <v/>
      </c>
      <c r="N281" s="15">
        <f>IF('组合输入'!$C4="","",'组合输入'!$H4*$B281+SQRT(1-'组合输入'!$H4^2)*M281)</f>
        <v/>
      </c>
      <c r="O281" s="7">
        <f>IF(N281="","",NORM.S.DIST(N281,TRUE))</f>
        <v/>
      </c>
      <c r="P281" s="13">
        <f>IF(O281="","",IF(O281&lt;='组合输入'!$K4,"AAA",IF(O281&lt;='组合输入'!$L4,"AA",IF(O281&lt;='组合输入'!$M4,"A",IF(O281&lt;='组合输入'!$N4,"BBB",IF(O281&lt;='组合输入'!$O4,"BB",IF(O281&lt;='组合输入'!$P4,"B",IF(O281&lt;='组合输入'!$Q4,"CCC","D")))))))</f>
        <v/>
      </c>
      <c r="Q281" s="12">
        <f>IF(P281="","",INDEX('状态价值'!$D4:$K4,MATCH(P281,'状态价值'!$D$1:$K$1,0)))</f>
        <v/>
      </c>
      <c r="R281" s="15">
        <f>NORM.S.INV(RAND())</f>
        <v/>
      </c>
      <c r="S281" s="15">
        <f>IF('组合输入'!$C5="","",'组合输入'!$H5*$B281+SQRT(1-'组合输入'!$H5^2)*R281)</f>
        <v/>
      </c>
      <c r="T281" s="7">
        <f>IF(S281="","",NORM.S.DIST(S281,TRUE))</f>
        <v/>
      </c>
      <c r="U281" s="13">
        <f>IF(T281="","",IF(T281&lt;='组合输入'!$K5,"AAA",IF(T281&lt;='组合输入'!$L5,"AA",IF(T281&lt;='组合输入'!$M5,"A",IF(T281&lt;='组合输入'!$N5,"BBB",IF(T281&lt;='组合输入'!$O5,"BB",IF(T281&lt;='组合输入'!$P5,"B",IF(T281&lt;='组合输入'!$Q5,"CCC","D")))))))</f>
        <v/>
      </c>
      <c r="V281" s="12">
        <f>IF(U281="","",INDEX('状态价值'!$D5:$K5,MATCH(U281,'状态价值'!$D$1:$K$1,0)))</f>
        <v/>
      </c>
      <c r="W281" s="15">
        <f>NORM.S.INV(RAND())</f>
        <v/>
      </c>
      <c r="X281" s="15">
        <f>IF('组合输入'!$C6="","",'组合输入'!$H6*$B281+SQRT(1-'组合输入'!$H6^2)*W281)</f>
        <v/>
      </c>
      <c r="Y281" s="7">
        <f>IF(X281="","",NORM.S.DIST(X281,TRUE))</f>
        <v/>
      </c>
      <c r="Z281" s="13">
        <f>IF(Y281="","",IF(Y281&lt;='组合输入'!$K6,"AAA",IF(Y281&lt;='组合输入'!$L6,"AA",IF(Y281&lt;='组合输入'!$M6,"A",IF(Y281&lt;='组合输入'!$N6,"BBB",IF(Y281&lt;='组合输入'!$O6,"BB",IF(Y281&lt;='组合输入'!$P6,"B",IF(Y281&lt;='组合输入'!$Q6,"CCC","D")))))))</f>
        <v/>
      </c>
      <c r="AA281" s="12">
        <f>IF(Z281="","",INDEX('状态价值'!$D6:$K6,MATCH(Z281,'状态价值'!$D$1:$K$1,0)))</f>
        <v/>
      </c>
      <c r="AB281" s="15">
        <f>NORM.S.INV(RAND())</f>
        <v/>
      </c>
      <c r="AC281" s="15">
        <f>IF('组合输入'!$C7="","",'组合输入'!$H7*$B281+SQRT(1-'组合输入'!$H7^2)*AB281)</f>
        <v/>
      </c>
      <c r="AD281" s="7">
        <f>IF(AC281="","",NORM.S.DIST(AC281,TRUE))</f>
        <v/>
      </c>
      <c r="AE281" s="13">
        <f>IF(AD281="","",IF(AD281&lt;='组合输入'!$K7,"AAA",IF(AD281&lt;='组合输入'!$L7,"AA",IF(AD281&lt;='组合输入'!$M7,"A",IF(AD281&lt;='组合输入'!$N7,"BBB",IF(AD281&lt;='组合输入'!$O7,"BB",IF(AD281&lt;='组合输入'!$P7,"B",IF(AD281&lt;='组合输入'!$Q7,"CCC","D")))))))</f>
        <v/>
      </c>
      <c r="AF281" s="12">
        <f>IF(AE281="","",INDEX('状态价值'!$D7:$K7,MATCH(AE281,'状态价值'!$D$1:$K$1,0)))</f>
        <v/>
      </c>
      <c r="AG281" s="15">
        <f>NORM.S.INV(RAND())</f>
        <v/>
      </c>
      <c r="AH281" s="15">
        <f>IF('组合输入'!$C8="","",'组合输入'!$H8*$B281+SQRT(1-'组合输入'!$H8^2)*AG281)</f>
        <v/>
      </c>
      <c r="AI281" s="7">
        <f>IF(AH281="","",NORM.S.DIST(AH281,TRUE))</f>
        <v/>
      </c>
      <c r="AJ281" s="13">
        <f>IF(AI281="","",IF(AI281&lt;='组合输入'!$K8,"AAA",IF(AI281&lt;='组合输入'!$L8,"AA",IF(AI281&lt;='组合输入'!$M8,"A",IF(AI281&lt;='组合输入'!$N8,"BBB",IF(AI281&lt;='组合输入'!$O8,"BB",IF(AI281&lt;='组合输入'!$P8,"B",IF(AI281&lt;='组合输入'!$Q8,"CCC","D")))))))</f>
        <v/>
      </c>
      <c r="AK281" s="12">
        <f>IF(AJ281="","",INDEX('状态价值'!$D8:$K8,MATCH(AJ281,'状态价值'!$D$1:$K$1,0)))</f>
        <v/>
      </c>
      <c r="AL281" s="15">
        <f>NORM.S.INV(RAND())</f>
        <v/>
      </c>
      <c r="AM281" s="15">
        <f>IF('组合输入'!$C9="","",'组合输入'!$H9*$B281+SQRT(1-'组合输入'!$H9^2)*AL281)</f>
        <v/>
      </c>
      <c r="AN281" s="7">
        <f>IF(AM281="","",NORM.S.DIST(AM281,TRUE))</f>
        <v/>
      </c>
      <c r="AO281" s="13">
        <f>IF(AN281="","",IF(AN281&lt;='组合输入'!$K9,"AAA",IF(AN281&lt;='组合输入'!$L9,"AA",IF(AN281&lt;='组合输入'!$M9,"A",IF(AN281&lt;='组合输入'!$N9,"BBB",IF(AN281&lt;='组合输入'!$O9,"BB",IF(AN281&lt;='组合输入'!$P9,"B",IF(AN281&lt;='组合输入'!$Q9,"CCC","D")))))))</f>
        <v/>
      </c>
      <c r="AP281" s="12">
        <f>IF(AO281="","",INDEX('状态价值'!$D9:$K9,MATCH(AO281,'状态价值'!$D$1:$K$1,0)))</f>
        <v/>
      </c>
      <c r="AQ281" s="15">
        <f>NORM.S.INV(RAND())</f>
        <v/>
      </c>
      <c r="AR281" s="15">
        <f>IF('组合输入'!$C10="","",'组合输入'!$H10*$B281+SQRT(1-'组合输入'!$H10^2)*AQ281)</f>
        <v/>
      </c>
      <c r="AS281" s="7">
        <f>IF(AR281="","",NORM.S.DIST(AR281,TRUE))</f>
        <v/>
      </c>
      <c r="AT281" s="13">
        <f>IF(AS281="","",IF(AS281&lt;='组合输入'!$K10,"AAA",IF(AS281&lt;='组合输入'!$L10,"AA",IF(AS281&lt;='组合输入'!$M10,"A",IF(AS281&lt;='组合输入'!$N10,"BBB",IF(AS281&lt;='组合输入'!$O10,"BB",IF(AS281&lt;='组合输入'!$P10,"B",IF(AS281&lt;='组合输入'!$Q10,"CCC","D")))))))</f>
        <v/>
      </c>
      <c r="AU281" s="12">
        <f>IF(AT281="","",INDEX('状态价值'!$D10:$K10,MATCH(AT281,'状态价值'!$D$1:$K$1,0)))</f>
        <v/>
      </c>
      <c r="AV281" s="15">
        <f>NORM.S.INV(RAND())</f>
        <v/>
      </c>
      <c r="AW281" s="15">
        <f>IF('组合输入'!$C11="","",'组合输入'!$H11*$B281+SQRT(1-'组合输入'!$H11^2)*AV281)</f>
        <v/>
      </c>
      <c r="AX281" s="7">
        <f>IF(AW281="","",NORM.S.DIST(AW281,TRUE))</f>
        <v/>
      </c>
      <c r="AY281" s="13">
        <f>IF(AX281="","",IF(AX281&lt;='组合输入'!$K11,"AAA",IF(AX281&lt;='组合输入'!$L11,"AA",IF(AX281&lt;='组合输入'!$M11,"A",IF(AX281&lt;='组合输入'!$N11,"BBB",IF(AX281&lt;='组合输入'!$O11,"BB",IF(AX281&lt;='组合输入'!$P11,"B",IF(AX281&lt;='组合输入'!$Q11,"CCC","D")))))))</f>
        <v/>
      </c>
      <c r="AZ281" s="12">
        <f>IF(AY281="","",INDEX('状态价值'!$D11:$K11,MATCH(AY281,'状态价值'!$D$1:$K$1,0)))</f>
        <v/>
      </c>
      <c r="BA281" s="12">
        <f>G281+L281+Q281+V281+AA281+AF281+AK281+AP281+AU281+AZ281</f>
        <v/>
      </c>
      <c r="BB281" s="12">
        <f>SUM('组合输入'!$J$2:$J$11)-BA281</f>
        <v/>
      </c>
    </row>
    <row r="282">
      <c r="A282" s="11" t="n">
        <v>281</v>
      </c>
      <c r="B282" s="14">
        <f>NORM.S.INV(RAND())</f>
        <v/>
      </c>
      <c r="C282" s="14">
        <f>NORM.S.INV(RAND())</f>
        <v/>
      </c>
      <c r="D282" s="15">
        <f>IF('组合输入'!$C2="","",'组合输入'!$H2*$B282+SQRT(1-'组合输入'!$H2^2)*C282)</f>
        <v/>
      </c>
      <c r="E282" s="7">
        <f>IF(D282="","",NORM.S.DIST(D282,TRUE))</f>
        <v/>
      </c>
      <c r="F282" s="13">
        <f>IF(E282="","",IF(E282&lt;='组合输入'!$K2,"AAA",IF(E282&lt;='组合输入'!$L2,"AA",IF(E282&lt;='组合输入'!$M2,"A",IF(E282&lt;='组合输入'!$N2,"BBB",IF(E282&lt;='组合输入'!$O2,"BB",IF(E282&lt;='组合输入'!$P2,"B",IF(E282&lt;='组合输入'!$Q2,"CCC","D")))))))</f>
        <v/>
      </c>
      <c r="G282" s="12">
        <f>IF(F282="","",INDEX('状态价值'!$D2:$K2,MATCH(F282,'状态价值'!$D$1:$K$1,0)))</f>
        <v/>
      </c>
      <c r="H282" s="15">
        <f>NORM.S.INV(RAND())</f>
        <v/>
      </c>
      <c r="I282" s="15">
        <f>IF('组合输入'!$C3="","",'组合输入'!$H3*$B282+SQRT(1-'组合输入'!$H3^2)*H282)</f>
        <v/>
      </c>
      <c r="J282" s="7">
        <f>IF(I282="","",NORM.S.DIST(I282,TRUE))</f>
        <v/>
      </c>
      <c r="K282" s="13">
        <f>IF(J282="","",IF(J282&lt;='组合输入'!$K3,"AAA",IF(J282&lt;='组合输入'!$L3,"AA",IF(J282&lt;='组合输入'!$M3,"A",IF(J282&lt;='组合输入'!$N3,"BBB",IF(J282&lt;='组合输入'!$O3,"BB",IF(J282&lt;='组合输入'!$P3,"B",IF(J282&lt;='组合输入'!$Q3,"CCC","D")))))))</f>
        <v/>
      </c>
      <c r="L282" s="12">
        <f>IF(K282="","",INDEX('状态价值'!$D3:$K3,MATCH(K282,'状态价值'!$D$1:$K$1,0)))</f>
        <v/>
      </c>
      <c r="M282" s="15">
        <f>NORM.S.INV(RAND())</f>
        <v/>
      </c>
      <c r="N282" s="15">
        <f>IF('组合输入'!$C4="","",'组合输入'!$H4*$B282+SQRT(1-'组合输入'!$H4^2)*M282)</f>
        <v/>
      </c>
      <c r="O282" s="7">
        <f>IF(N282="","",NORM.S.DIST(N282,TRUE))</f>
        <v/>
      </c>
      <c r="P282" s="13">
        <f>IF(O282="","",IF(O282&lt;='组合输入'!$K4,"AAA",IF(O282&lt;='组合输入'!$L4,"AA",IF(O282&lt;='组合输入'!$M4,"A",IF(O282&lt;='组合输入'!$N4,"BBB",IF(O282&lt;='组合输入'!$O4,"BB",IF(O282&lt;='组合输入'!$P4,"B",IF(O282&lt;='组合输入'!$Q4,"CCC","D")))))))</f>
        <v/>
      </c>
      <c r="Q282" s="12">
        <f>IF(P282="","",INDEX('状态价值'!$D4:$K4,MATCH(P282,'状态价值'!$D$1:$K$1,0)))</f>
        <v/>
      </c>
      <c r="R282" s="15">
        <f>NORM.S.INV(RAND())</f>
        <v/>
      </c>
      <c r="S282" s="15">
        <f>IF('组合输入'!$C5="","",'组合输入'!$H5*$B282+SQRT(1-'组合输入'!$H5^2)*R282)</f>
        <v/>
      </c>
      <c r="T282" s="7">
        <f>IF(S282="","",NORM.S.DIST(S282,TRUE))</f>
        <v/>
      </c>
      <c r="U282" s="13">
        <f>IF(T282="","",IF(T282&lt;='组合输入'!$K5,"AAA",IF(T282&lt;='组合输入'!$L5,"AA",IF(T282&lt;='组合输入'!$M5,"A",IF(T282&lt;='组合输入'!$N5,"BBB",IF(T282&lt;='组合输入'!$O5,"BB",IF(T282&lt;='组合输入'!$P5,"B",IF(T282&lt;='组合输入'!$Q5,"CCC","D")))))))</f>
        <v/>
      </c>
      <c r="V282" s="12">
        <f>IF(U282="","",INDEX('状态价值'!$D5:$K5,MATCH(U282,'状态价值'!$D$1:$K$1,0)))</f>
        <v/>
      </c>
      <c r="W282" s="15">
        <f>NORM.S.INV(RAND())</f>
        <v/>
      </c>
      <c r="X282" s="15">
        <f>IF('组合输入'!$C6="","",'组合输入'!$H6*$B282+SQRT(1-'组合输入'!$H6^2)*W282)</f>
        <v/>
      </c>
      <c r="Y282" s="7">
        <f>IF(X282="","",NORM.S.DIST(X282,TRUE))</f>
        <v/>
      </c>
      <c r="Z282" s="13">
        <f>IF(Y282="","",IF(Y282&lt;='组合输入'!$K6,"AAA",IF(Y282&lt;='组合输入'!$L6,"AA",IF(Y282&lt;='组合输入'!$M6,"A",IF(Y282&lt;='组合输入'!$N6,"BBB",IF(Y282&lt;='组合输入'!$O6,"BB",IF(Y282&lt;='组合输入'!$P6,"B",IF(Y282&lt;='组合输入'!$Q6,"CCC","D")))))))</f>
        <v/>
      </c>
      <c r="AA282" s="12">
        <f>IF(Z282="","",INDEX('状态价值'!$D6:$K6,MATCH(Z282,'状态价值'!$D$1:$K$1,0)))</f>
        <v/>
      </c>
      <c r="AB282" s="15">
        <f>NORM.S.INV(RAND())</f>
        <v/>
      </c>
      <c r="AC282" s="15">
        <f>IF('组合输入'!$C7="","",'组合输入'!$H7*$B282+SQRT(1-'组合输入'!$H7^2)*AB282)</f>
        <v/>
      </c>
      <c r="AD282" s="7">
        <f>IF(AC282="","",NORM.S.DIST(AC282,TRUE))</f>
        <v/>
      </c>
      <c r="AE282" s="13">
        <f>IF(AD282="","",IF(AD282&lt;='组合输入'!$K7,"AAA",IF(AD282&lt;='组合输入'!$L7,"AA",IF(AD282&lt;='组合输入'!$M7,"A",IF(AD282&lt;='组合输入'!$N7,"BBB",IF(AD282&lt;='组合输入'!$O7,"BB",IF(AD282&lt;='组合输入'!$P7,"B",IF(AD282&lt;='组合输入'!$Q7,"CCC","D")))))))</f>
        <v/>
      </c>
      <c r="AF282" s="12">
        <f>IF(AE282="","",INDEX('状态价值'!$D7:$K7,MATCH(AE282,'状态价值'!$D$1:$K$1,0)))</f>
        <v/>
      </c>
      <c r="AG282" s="15">
        <f>NORM.S.INV(RAND())</f>
        <v/>
      </c>
      <c r="AH282" s="15">
        <f>IF('组合输入'!$C8="","",'组合输入'!$H8*$B282+SQRT(1-'组合输入'!$H8^2)*AG282)</f>
        <v/>
      </c>
      <c r="AI282" s="7">
        <f>IF(AH282="","",NORM.S.DIST(AH282,TRUE))</f>
        <v/>
      </c>
      <c r="AJ282" s="13">
        <f>IF(AI282="","",IF(AI282&lt;='组合输入'!$K8,"AAA",IF(AI282&lt;='组合输入'!$L8,"AA",IF(AI282&lt;='组合输入'!$M8,"A",IF(AI282&lt;='组合输入'!$N8,"BBB",IF(AI282&lt;='组合输入'!$O8,"BB",IF(AI282&lt;='组合输入'!$P8,"B",IF(AI282&lt;='组合输入'!$Q8,"CCC","D")))))))</f>
        <v/>
      </c>
      <c r="AK282" s="12">
        <f>IF(AJ282="","",INDEX('状态价值'!$D8:$K8,MATCH(AJ282,'状态价值'!$D$1:$K$1,0)))</f>
        <v/>
      </c>
      <c r="AL282" s="15">
        <f>NORM.S.INV(RAND())</f>
        <v/>
      </c>
      <c r="AM282" s="15">
        <f>IF('组合输入'!$C9="","",'组合输入'!$H9*$B282+SQRT(1-'组合输入'!$H9^2)*AL282)</f>
        <v/>
      </c>
      <c r="AN282" s="7">
        <f>IF(AM282="","",NORM.S.DIST(AM282,TRUE))</f>
        <v/>
      </c>
      <c r="AO282" s="13">
        <f>IF(AN282="","",IF(AN282&lt;='组合输入'!$K9,"AAA",IF(AN282&lt;='组合输入'!$L9,"AA",IF(AN282&lt;='组合输入'!$M9,"A",IF(AN282&lt;='组合输入'!$N9,"BBB",IF(AN282&lt;='组合输入'!$O9,"BB",IF(AN282&lt;='组合输入'!$P9,"B",IF(AN282&lt;='组合输入'!$Q9,"CCC","D")))))))</f>
        <v/>
      </c>
      <c r="AP282" s="12">
        <f>IF(AO282="","",INDEX('状态价值'!$D9:$K9,MATCH(AO282,'状态价值'!$D$1:$K$1,0)))</f>
        <v/>
      </c>
      <c r="AQ282" s="15">
        <f>NORM.S.INV(RAND())</f>
        <v/>
      </c>
      <c r="AR282" s="15">
        <f>IF('组合输入'!$C10="","",'组合输入'!$H10*$B282+SQRT(1-'组合输入'!$H10^2)*AQ282)</f>
        <v/>
      </c>
      <c r="AS282" s="7">
        <f>IF(AR282="","",NORM.S.DIST(AR282,TRUE))</f>
        <v/>
      </c>
      <c r="AT282" s="13">
        <f>IF(AS282="","",IF(AS282&lt;='组合输入'!$K10,"AAA",IF(AS282&lt;='组合输入'!$L10,"AA",IF(AS282&lt;='组合输入'!$M10,"A",IF(AS282&lt;='组合输入'!$N10,"BBB",IF(AS282&lt;='组合输入'!$O10,"BB",IF(AS282&lt;='组合输入'!$P10,"B",IF(AS282&lt;='组合输入'!$Q10,"CCC","D")))))))</f>
        <v/>
      </c>
      <c r="AU282" s="12">
        <f>IF(AT282="","",INDEX('状态价值'!$D10:$K10,MATCH(AT282,'状态价值'!$D$1:$K$1,0)))</f>
        <v/>
      </c>
      <c r="AV282" s="15">
        <f>NORM.S.INV(RAND())</f>
        <v/>
      </c>
      <c r="AW282" s="15">
        <f>IF('组合输入'!$C11="","",'组合输入'!$H11*$B282+SQRT(1-'组合输入'!$H11^2)*AV282)</f>
        <v/>
      </c>
      <c r="AX282" s="7">
        <f>IF(AW282="","",NORM.S.DIST(AW282,TRUE))</f>
        <v/>
      </c>
      <c r="AY282" s="13">
        <f>IF(AX282="","",IF(AX282&lt;='组合输入'!$K11,"AAA",IF(AX282&lt;='组合输入'!$L11,"AA",IF(AX282&lt;='组合输入'!$M11,"A",IF(AX282&lt;='组合输入'!$N11,"BBB",IF(AX282&lt;='组合输入'!$O11,"BB",IF(AX282&lt;='组合输入'!$P11,"B",IF(AX282&lt;='组合输入'!$Q11,"CCC","D")))))))</f>
        <v/>
      </c>
      <c r="AZ282" s="12">
        <f>IF(AY282="","",INDEX('状态价值'!$D11:$K11,MATCH(AY282,'状态价值'!$D$1:$K$1,0)))</f>
        <v/>
      </c>
      <c r="BA282" s="12">
        <f>G282+L282+Q282+V282+AA282+AF282+AK282+AP282+AU282+AZ282</f>
        <v/>
      </c>
      <c r="BB282" s="12">
        <f>SUM('组合输入'!$J$2:$J$11)-BA282</f>
        <v/>
      </c>
    </row>
    <row r="283">
      <c r="A283" s="11" t="n">
        <v>282</v>
      </c>
      <c r="B283" s="14">
        <f>NORM.S.INV(RAND())</f>
        <v/>
      </c>
      <c r="C283" s="14">
        <f>NORM.S.INV(RAND())</f>
        <v/>
      </c>
      <c r="D283" s="15">
        <f>IF('组合输入'!$C2="","",'组合输入'!$H2*$B283+SQRT(1-'组合输入'!$H2^2)*C283)</f>
        <v/>
      </c>
      <c r="E283" s="7">
        <f>IF(D283="","",NORM.S.DIST(D283,TRUE))</f>
        <v/>
      </c>
      <c r="F283" s="13">
        <f>IF(E283="","",IF(E283&lt;='组合输入'!$K2,"AAA",IF(E283&lt;='组合输入'!$L2,"AA",IF(E283&lt;='组合输入'!$M2,"A",IF(E283&lt;='组合输入'!$N2,"BBB",IF(E283&lt;='组合输入'!$O2,"BB",IF(E283&lt;='组合输入'!$P2,"B",IF(E283&lt;='组合输入'!$Q2,"CCC","D")))))))</f>
        <v/>
      </c>
      <c r="G283" s="12">
        <f>IF(F283="","",INDEX('状态价值'!$D2:$K2,MATCH(F283,'状态价值'!$D$1:$K$1,0)))</f>
        <v/>
      </c>
      <c r="H283" s="15">
        <f>NORM.S.INV(RAND())</f>
        <v/>
      </c>
      <c r="I283" s="15">
        <f>IF('组合输入'!$C3="","",'组合输入'!$H3*$B283+SQRT(1-'组合输入'!$H3^2)*H283)</f>
        <v/>
      </c>
      <c r="J283" s="7">
        <f>IF(I283="","",NORM.S.DIST(I283,TRUE))</f>
        <v/>
      </c>
      <c r="K283" s="13">
        <f>IF(J283="","",IF(J283&lt;='组合输入'!$K3,"AAA",IF(J283&lt;='组合输入'!$L3,"AA",IF(J283&lt;='组合输入'!$M3,"A",IF(J283&lt;='组合输入'!$N3,"BBB",IF(J283&lt;='组合输入'!$O3,"BB",IF(J283&lt;='组合输入'!$P3,"B",IF(J283&lt;='组合输入'!$Q3,"CCC","D")))))))</f>
        <v/>
      </c>
      <c r="L283" s="12">
        <f>IF(K283="","",INDEX('状态价值'!$D3:$K3,MATCH(K283,'状态价值'!$D$1:$K$1,0)))</f>
        <v/>
      </c>
      <c r="M283" s="15">
        <f>NORM.S.INV(RAND())</f>
        <v/>
      </c>
      <c r="N283" s="15">
        <f>IF('组合输入'!$C4="","",'组合输入'!$H4*$B283+SQRT(1-'组合输入'!$H4^2)*M283)</f>
        <v/>
      </c>
      <c r="O283" s="7">
        <f>IF(N283="","",NORM.S.DIST(N283,TRUE))</f>
        <v/>
      </c>
      <c r="P283" s="13">
        <f>IF(O283="","",IF(O283&lt;='组合输入'!$K4,"AAA",IF(O283&lt;='组合输入'!$L4,"AA",IF(O283&lt;='组合输入'!$M4,"A",IF(O283&lt;='组合输入'!$N4,"BBB",IF(O283&lt;='组合输入'!$O4,"BB",IF(O283&lt;='组合输入'!$P4,"B",IF(O283&lt;='组合输入'!$Q4,"CCC","D")))))))</f>
        <v/>
      </c>
      <c r="Q283" s="12">
        <f>IF(P283="","",INDEX('状态价值'!$D4:$K4,MATCH(P283,'状态价值'!$D$1:$K$1,0)))</f>
        <v/>
      </c>
      <c r="R283" s="15">
        <f>NORM.S.INV(RAND())</f>
        <v/>
      </c>
      <c r="S283" s="15">
        <f>IF('组合输入'!$C5="","",'组合输入'!$H5*$B283+SQRT(1-'组合输入'!$H5^2)*R283)</f>
        <v/>
      </c>
      <c r="T283" s="7">
        <f>IF(S283="","",NORM.S.DIST(S283,TRUE))</f>
        <v/>
      </c>
      <c r="U283" s="13">
        <f>IF(T283="","",IF(T283&lt;='组合输入'!$K5,"AAA",IF(T283&lt;='组合输入'!$L5,"AA",IF(T283&lt;='组合输入'!$M5,"A",IF(T283&lt;='组合输入'!$N5,"BBB",IF(T283&lt;='组合输入'!$O5,"BB",IF(T283&lt;='组合输入'!$P5,"B",IF(T283&lt;='组合输入'!$Q5,"CCC","D")))))))</f>
        <v/>
      </c>
      <c r="V283" s="12">
        <f>IF(U283="","",INDEX('状态价值'!$D5:$K5,MATCH(U283,'状态价值'!$D$1:$K$1,0)))</f>
        <v/>
      </c>
      <c r="W283" s="15">
        <f>NORM.S.INV(RAND())</f>
        <v/>
      </c>
      <c r="X283" s="15">
        <f>IF('组合输入'!$C6="","",'组合输入'!$H6*$B283+SQRT(1-'组合输入'!$H6^2)*W283)</f>
        <v/>
      </c>
      <c r="Y283" s="7">
        <f>IF(X283="","",NORM.S.DIST(X283,TRUE))</f>
        <v/>
      </c>
      <c r="Z283" s="13">
        <f>IF(Y283="","",IF(Y283&lt;='组合输入'!$K6,"AAA",IF(Y283&lt;='组合输入'!$L6,"AA",IF(Y283&lt;='组合输入'!$M6,"A",IF(Y283&lt;='组合输入'!$N6,"BBB",IF(Y283&lt;='组合输入'!$O6,"BB",IF(Y283&lt;='组合输入'!$P6,"B",IF(Y283&lt;='组合输入'!$Q6,"CCC","D")))))))</f>
        <v/>
      </c>
      <c r="AA283" s="12">
        <f>IF(Z283="","",INDEX('状态价值'!$D6:$K6,MATCH(Z283,'状态价值'!$D$1:$K$1,0)))</f>
        <v/>
      </c>
      <c r="AB283" s="15">
        <f>NORM.S.INV(RAND())</f>
        <v/>
      </c>
      <c r="AC283" s="15">
        <f>IF('组合输入'!$C7="","",'组合输入'!$H7*$B283+SQRT(1-'组合输入'!$H7^2)*AB283)</f>
        <v/>
      </c>
      <c r="AD283" s="7">
        <f>IF(AC283="","",NORM.S.DIST(AC283,TRUE))</f>
        <v/>
      </c>
      <c r="AE283" s="13">
        <f>IF(AD283="","",IF(AD283&lt;='组合输入'!$K7,"AAA",IF(AD283&lt;='组合输入'!$L7,"AA",IF(AD283&lt;='组合输入'!$M7,"A",IF(AD283&lt;='组合输入'!$N7,"BBB",IF(AD283&lt;='组合输入'!$O7,"BB",IF(AD283&lt;='组合输入'!$P7,"B",IF(AD283&lt;='组合输入'!$Q7,"CCC","D")))))))</f>
        <v/>
      </c>
      <c r="AF283" s="12">
        <f>IF(AE283="","",INDEX('状态价值'!$D7:$K7,MATCH(AE283,'状态价值'!$D$1:$K$1,0)))</f>
        <v/>
      </c>
      <c r="AG283" s="15">
        <f>NORM.S.INV(RAND())</f>
        <v/>
      </c>
      <c r="AH283" s="15">
        <f>IF('组合输入'!$C8="","",'组合输入'!$H8*$B283+SQRT(1-'组合输入'!$H8^2)*AG283)</f>
        <v/>
      </c>
      <c r="AI283" s="7">
        <f>IF(AH283="","",NORM.S.DIST(AH283,TRUE))</f>
        <v/>
      </c>
      <c r="AJ283" s="13">
        <f>IF(AI283="","",IF(AI283&lt;='组合输入'!$K8,"AAA",IF(AI283&lt;='组合输入'!$L8,"AA",IF(AI283&lt;='组合输入'!$M8,"A",IF(AI283&lt;='组合输入'!$N8,"BBB",IF(AI283&lt;='组合输入'!$O8,"BB",IF(AI283&lt;='组合输入'!$P8,"B",IF(AI283&lt;='组合输入'!$Q8,"CCC","D")))))))</f>
        <v/>
      </c>
      <c r="AK283" s="12">
        <f>IF(AJ283="","",INDEX('状态价值'!$D8:$K8,MATCH(AJ283,'状态价值'!$D$1:$K$1,0)))</f>
        <v/>
      </c>
      <c r="AL283" s="15">
        <f>NORM.S.INV(RAND())</f>
        <v/>
      </c>
      <c r="AM283" s="15">
        <f>IF('组合输入'!$C9="","",'组合输入'!$H9*$B283+SQRT(1-'组合输入'!$H9^2)*AL283)</f>
        <v/>
      </c>
      <c r="AN283" s="7">
        <f>IF(AM283="","",NORM.S.DIST(AM283,TRUE))</f>
        <v/>
      </c>
      <c r="AO283" s="13">
        <f>IF(AN283="","",IF(AN283&lt;='组合输入'!$K9,"AAA",IF(AN283&lt;='组合输入'!$L9,"AA",IF(AN283&lt;='组合输入'!$M9,"A",IF(AN283&lt;='组合输入'!$N9,"BBB",IF(AN283&lt;='组合输入'!$O9,"BB",IF(AN283&lt;='组合输入'!$P9,"B",IF(AN283&lt;='组合输入'!$Q9,"CCC","D")))))))</f>
        <v/>
      </c>
      <c r="AP283" s="12">
        <f>IF(AO283="","",INDEX('状态价值'!$D9:$K9,MATCH(AO283,'状态价值'!$D$1:$K$1,0)))</f>
        <v/>
      </c>
      <c r="AQ283" s="15">
        <f>NORM.S.INV(RAND())</f>
        <v/>
      </c>
      <c r="AR283" s="15">
        <f>IF('组合输入'!$C10="","",'组合输入'!$H10*$B283+SQRT(1-'组合输入'!$H10^2)*AQ283)</f>
        <v/>
      </c>
      <c r="AS283" s="7">
        <f>IF(AR283="","",NORM.S.DIST(AR283,TRUE))</f>
        <v/>
      </c>
      <c r="AT283" s="13">
        <f>IF(AS283="","",IF(AS283&lt;='组合输入'!$K10,"AAA",IF(AS283&lt;='组合输入'!$L10,"AA",IF(AS283&lt;='组合输入'!$M10,"A",IF(AS283&lt;='组合输入'!$N10,"BBB",IF(AS283&lt;='组合输入'!$O10,"BB",IF(AS283&lt;='组合输入'!$P10,"B",IF(AS283&lt;='组合输入'!$Q10,"CCC","D")))))))</f>
        <v/>
      </c>
      <c r="AU283" s="12">
        <f>IF(AT283="","",INDEX('状态价值'!$D10:$K10,MATCH(AT283,'状态价值'!$D$1:$K$1,0)))</f>
        <v/>
      </c>
      <c r="AV283" s="15">
        <f>NORM.S.INV(RAND())</f>
        <v/>
      </c>
      <c r="AW283" s="15">
        <f>IF('组合输入'!$C11="","",'组合输入'!$H11*$B283+SQRT(1-'组合输入'!$H11^2)*AV283)</f>
        <v/>
      </c>
      <c r="AX283" s="7">
        <f>IF(AW283="","",NORM.S.DIST(AW283,TRUE))</f>
        <v/>
      </c>
      <c r="AY283" s="13">
        <f>IF(AX283="","",IF(AX283&lt;='组合输入'!$K11,"AAA",IF(AX283&lt;='组合输入'!$L11,"AA",IF(AX283&lt;='组合输入'!$M11,"A",IF(AX283&lt;='组合输入'!$N11,"BBB",IF(AX283&lt;='组合输入'!$O11,"BB",IF(AX283&lt;='组合输入'!$P11,"B",IF(AX283&lt;='组合输入'!$Q11,"CCC","D")))))))</f>
        <v/>
      </c>
      <c r="AZ283" s="12">
        <f>IF(AY283="","",INDEX('状态价值'!$D11:$K11,MATCH(AY283,'状态价值'!$D$1:$K$1,0)))</f>
        <v/>
      </c>
      <c r="BA283" s="12">
        <f>G283+L283+Q283+V283+AA283+AF283+AK283+AP283+AU283+AZ283</f>
        <v/>
      </c>
      <c r="BB283" s="12">
        <f>SUM('组合输入'!$J$2:$J$11)-BA283</f>
        <v/>
      </c>
    </row>
    <row r="284">
      <c r="A284" s="11" t="n">
        <v>283</v>
      </c>
      <c r="B284" s="14">
        <f>NORM.S.INV(RAND())</f>
        <v/>
      </c>
      <c r="C284" s="14">
        <f>NORM.S.INV(RAND())</f>
        <v/>
      </c>
      <c r="D284" s="15">
        <f>IF('组合输入'!$C2="","",'组合输入'!$H2*$B284+SQRT(1-'组合输入'!$H2^2)*C284)</f>
        <v/>
      </c>
      <c r="E284" s="7">
        <f>IF(D284="","",NORM.S.DIST(D284,TRUE))</f>
        <v/>
      </c>
      <c r="F284" s="13">
        <f>IF(E284="","",IF(E284&lt;='组合输入'!$K2,"AAA",IF(E284&lt;='组合输入'!$L2,"AA",IF(E284&lt;='组合输入'!$M2,"A",IF(E284&lt;='组合输入'!$N2,"BBB",IF(E284&lt;='组合输入'!$O2,"BB",IF(E284&lt;='组合输入'!$P2,"B",IF(E284&lt;='组合输入'!$Q2,"CCC","D")))))))</f>
        <v/>
      </c>
      <c r="G284" s="12">
        <f>IF(F284="","",INDEX('状态价值'!$D2:$K2,MATCH(F284,'状态价值'!$D$1:$K$1,0)))</f>
        <v/>
      </c>
      <c r="H284" s="15">
        <f>NORM.S.INV(RAND())</f>
        <v/>
      </c>
      <c r="I284" s="15">
        <f>IF('组合输入'!$C3="","",'组合输入'!$H3*$B284+SQRT(1-'组合输入'!$H3^2)*H284)</f>
        <v/>
      </c>
      <c r="J284" s="7">
        <f>IF(I284="","",NORM.S.DIST(I284,TRUE))</f>
        <v/>
      </c>
      <c r="K284" s="13">
        <f>IF(J284="","",IF(J284&lt;='组合输入'!$K3,"AAA",IF(J284&lt;='组合输入'!$L3,"AA",IF(J284&lt;='组合输入'!$M3,"A",IF(J284&lt;='组合输入'!$N3,"BBB",IF(J284&lt;='组合输入'!$O3,"BB",IF(J284&lt;='组合输入'!$P3,"B",IF(J284&lt;='组合输入'!$Q3,"CCC","D")))))))</f>
        <v/>
      </c>
      <c r="L284" s="12">
        <f>IF(K284="","",INDEX('状态价值'!$D3:$K3,MATCH(K284,'状态价值'!$D$1:$K$1,0)))</f>
        <v/>
      </c>
      <c r="M284" s="15">
        <f>NORM.S.INV(RAND())</f>
        <v/>
      </c>
      <c r="N284" s="15">
        <f>IF('组合输入'!$C4="","",'组合输入'!$H4*$B284+SQRT(1-'组合输入'!$H4^2)*M284)</f>
        <v/>
      </c>
      <c r="O284" s="7">
        <f>IF(N284="","",NORM.S.DIST(N284,TRUE))</f>
        <v/>
      </c>
      <c r="P284" s="13">
        <f>IF(O284="","",IF(O284&lt;='组合输入'!$K4,"AAA",IF(O284&lt;='组合输入'!$L4,"AA",IF(O284&lt;='组合输入'!$M4,"A",IF(O284&lt;='组合输入'!$N4,"BBB",IF(O284&lt;='组合输入'!$O4,"BB",IF(O284&lt;='组合输入'!$P4,"B",IF(O284&lt;='组合输入'!$Q4,"CCC","D")))))))</f>
        <v/>
      </c>
      <c r="Q284" s="12">
        <f>IF(P284="","",INDEX('状态价值'!$D4:$K4,MATCH(P284,'状态价值'!$D$1:$K$1,0)))</f>
        <v/>
      </c>
      <c r="R284" s="15">
        <f>NORM.S.INV(RAND())</f>
        <v/>
      </c>
      <c r="S284" s="15">
        <f>IF('组合输入'!$C5="","",'组合输入'!$H5*$B284+SQRT(1-'组合输入'!$H5^2)*R284)</f>
        <v/>
      </c>
      <c r="T284" s="7">
        <f>IF(S284="","",NORM.S.DIST(S284,TRUE))</f>
        <v/>
      </c>
      <c r="U284" s="13">
        <f>IF(T284="","",IF(T284&lt;='组合输入'!$K5,"AAA",IF(T284&lt;='组合输入'!$L5,"AA",IF(T284&lt;='组合输入'!$M5,"A",IF(T284&lt;='组合输入'!$N5,"BBB",IF(T284&lt;='组合输入'!$O5,"BB",IF(T284&lt;='组合输入'!$P5,"B",IF(T284&lt;='组合输入'!$Q5,"CCC","D")))))))</f>
        <v/>
      </c>
      <c r="V284" s="12">
        <f>IF(U284="","",INDEX('状态价值'!$D5:$K5,MATCH(U284,'状态价值'!$D$1:$K$1,0)))</f>
        <v/>
      </c>
      <c r="W284" s="15">
        <f>NORM.S.INV(RAND())</f>
        <v/>
      </c>
      <c r="X284" s="15">
        <f>IF('组合输入'!$C6="","",'组合输入'!$H6*$B284+SQRT(1-'组合输入'!$H6^2)*W284)</f>
        <v/>
      </c>
      <c r="Y284" s="7">
        <f>IF(X284="","",NORM.S.DIST(X284,TRUE))</f>
        <v/>
      </c>
      <c r="Z284" s="13">
        <f>IF(Y284="","",IF(Y284&lt;='组合输入'!$K6,"AAA",IF(Y284&lt;='组合输入'!$L6,"AA",IF(Y284&lt;='组合输入'!$M6,"A",IF(Y284&lt;='组合输入'!$N6,"BBB",IF(Y284&lt;='组合输入'!$O6,"BB",IF(Y284&lt;='组合输入'!$P6,"B",IF(Y284&lt;='组合输入'!$Q6,"CCC","D")))))))</f>
        <v/>
      </c>
      <c r="AA284" s="12">
        <f>IF(Z284="","",INDEX('状态价值'!$D6:$K6,MATCH(Z284,'状态价值'!$D$1:$K$1,0)))</f>
        <v/>
      </c>
      <c r="AB284" s="15">
        <f>NORM.S.INV(RAND())</f>
        <v/>
      </c>
      <c r="AC284" s="15">
        <f>IF('组合输入'!$C7="","",'组合输入'!$H7*$B284+SQRT(1-'组合输入'!$H7^2)*AB284)</f>
        <v/>
      </c>
      <c r="AD284" s="7">
        <f>IF(AC284="","",NORM.S.DIST(AC284,TRUE))</f>
        <v/>
      </c>
      <c r="AE284" s="13">
        <f>IF(AD284="","",IF(AD284&lt;='组合输入'!$K7,"AAA",IF(AD284&lt;='组合输入'!$L7,"AA",IF(AD284&lt;='组合输入'!$M7,"A",IF(AD284&lt;='组合输入'!$N7,"BBB",IF(AD284&lt;='组合输入'!$O7,"BB",IF(AD284&lt;='组合输入'!$P7,"B",IF(AD284&lt;='组合输入'!$Q7,"CCC","D")))))))</f>
        <v/>
      </c>
      <c r="AF284" s="12">
        <f>IF(AE284="","",INDEX('状态价值'!$D7:$K7,MATCH(AE284,'状态价值'!$D$1:$K$1,0)))</f>
        <v/>
      </c>
      <c r="AG284" s="15">
        <f>NORM.S.INV(RAND())</f>
        <v/>
      </c>
      <c r="AH284" s="15">
        <f>IF('组合输入'!$C8="","",'组合输入'!$H8*$B284+SQRT(1-'组合输入'!$H8^2)*AG284)</f>
        <v/>
      </c>
      <c r="AI284" s="7">
        <f>IF(AH284="","",NORM.S.DIST(AH284,TRUE))</f>
        <v/>
      </c>
      <c r="AJ284" s="13">
        <f>IF(AI284="","",IF(AI284&lt;='组合输入'!$K8,"AAA",IF(AI284&lt;='组合输入'!$L8,"AA",IF(AI284&lt;='组合输入'!$M8,"A",IF(AI284&lt;='组合输入'!$N8,"BBB",IF(AI284&lt;='组合输入'!$O8,"BB",IF(AI284&lt;='组合输入'!$P8,"B",IF(AI284&lt;='组合输入'!$Q8,"CCC","D")))))))</f>
        <v/>
      </c>
      <c r="AK284" s="12">
        <f>IF(AJ284="","",INDEX('状态价值'!$D8:$K8,MATCH(AJ284,'状态价值'!$D$1:$K$1,0)))</f>
        <v/>
      </c>
      <c r="AL284" s="15">
        <f>NORM.S.INV(RAND())</f>
        <v/>
      </c>
      <c r="AM284" s="15">
        <f>IF('组合输入'!$C9="","",'组合输入'!$H9*$B284+SQRT(1-'组合输入'!$H9^2)*AL284)</f>
        <v/>
      </c>
      <c r="AN284" s="7">
        <f>IF(AM284="","",NORM.S.DIST(AM284,TRUE))</f>
        <v/>
      </c>
      <c r="AO284" s="13">
        <f>IF(AN284="","",IF(AN284&lt;='组合输入'!$K9,"AAA",IF(AN284&lt;='组合输入'!$L9,"AA",IF(AN284&lt;='组合输入'!$M9,"A",IF(AN284&lt;='组合输入'!$N9,"BBB",IF(AN284&lt;='组合输入'!$O9,"BB",IF(AN284&lt;='组合输入'!$P9,"B",IF(AN284&lt;='组合输入'!$Q9,"CCC","D")))))))</f>
        <v/>
      </c>
      <c r="AP284" s="12">
        <f>IF(AO284="","",INDEX('状态价值'!$D9:$K9,MATCH(AO284,'状态价值'!$D$1:$K$1,0)))</f>
        <v/>
      </c>
      <c r="AQ284" s="15">
        <f>NORM.S.INV(RAND())</f>
        <v/>
      </c>
      <c r="AR284" s="15">
        <f>IF('组合输入'!$C10="","",'组合输入'!$H10*$B284+SQRT(1-'组合输入'!$H10^2)*AQ284)</f>
        <v/>
      </c>
      <c r="AS284" s="7">
        <f>IF(AR284="","",NORM.S.DIST(AR284,TRUE))</f>
        <v/>
      </c>
      <c r="AT284" s="13">
        <f>IF(AS284="","",IF(AS284&lt;='组合输入'!$K10,"AAA",IF(AS284&lt;='组合输入'!$L10,"AA",IF(AS284&lt;='组合输入'!$M10,"A",IF(AS284&lt;='组合输入'!$N10,"BBB",IF(AS284&lt;='组合输入'!$O10,"BB",IF(AS284&lt;='组合输入'!$P10,"B",IF(AS284&lt;='组合输入'!$Q10,"CCC","D")))))))</f>
        <v/>
      </c>
      <c r="AU284" s="12">
        <f>IF(AT284="","",INDEX('状态价值'!$D10:$K10,MATCH(AT284,'状态价值'!$D$1:$K$1,0)))</f>
        <v/>
      </c>
      <c r="AV284" s="15">
        <f>NORM.S.INV(RAND())</f>
        <v/>
      </c>
      <c r="AW284" s="15">
        <f>IF('组合输入'!$C11="","",'组合输入'!$H11*$B284+SQRT(1-'组合输入'!$H11^2)*AV284)</f>
        <v/>
      </c>
      <c r="AX284" s="7">
        <f>IF(AW284="","",NORM.S.DIST(AW284,TRUE))</f>
        <v/>
      </c>
      <c r="AY284" s="13">
        <f>IF(AX284="","",IF(AX284&lt;='组合输入'!$K11,"AAA",IF(AX284&lt;='组合输入'!$L11,"AA",IF(AX284&lt;='组合输入'!$M11,"A",IF(AX284&lt;='组合输入'!$N11,"BBB",IF(AX284&lt;='组合输入'!$O11,"BB",IF(AX284&lt;='组合输入'!$P11,"B",IF(AX284&lt;='组合输入'!$Q11,"CCC","D")))))))</f>
        <v/>
      </c>
      <c r="AZ284" s="12">
        <f>IF(AY284="","",INDEX('状态价值'!$D11:$K11,MATCH(AY284,'状态价值'!$D$1:$K$1,0)))</f>
        <v/>
      </c>
      <c r="BA284" s="12">
        <f>G284+L284+Q284+V284+AA284+AF284+AK284+AP284+AU284+AZ284</f>
        <v/>
      </c>
      <c r="BB284" s="12">
        <f>SUM('组合输入'!$J$2:$J$11)-BA284</f>
        <v/>
      </c>
    </row>
    <row r="285">
      <c r="A285" s="11" t="n">
        <v>284</v>
      </c>
      <c r="B285" s="14">
        <f>NORM.S.INV(RAND())</f>
        <v/>
      </c>
      <c r="C285" s="14">
        <f>NORM.S.INV(RAND())</f>
        <v/>
      </c>
      <c r="D285" s="15">
        <f>IF('组合输入'!$C2="","",'组合输入'!$H2*$B285+SQRT(1-'组合输入'!$H2^2)*C285)</f>
        <v/>
      </c>
      <c r="E285" s="7">
        <f>IF(D285="","",NORM.S.DIST(D285,TRUE))</f>
        <v/>
      </c>
      <c r="F285" s="13">
        <f>IF(E285="","",IF(E285&lt;='组合输入'!$K2,"AAA",IF(E285&lt;='组合输入'!$L2,"AA",IF(E285&lt;='组合输入'!$M2,"A",IF(E285&lt;='组合输入'!$N2,"BBB",IF(E285&lt;='组合输入'!$O2,"BB",IF(E285&lt;='组合输入'!$P2,"B",IF(E285&lt;='组合输入'!$Q2,"CCC","D")))))))</f>
        <v/>
      </c>
      <c r="G285" s="12">
        <f>IF(F285="","",INDEX('状态价值'!$D2:$K2,MATCH(F285,'状态价值'!$D$1:$K$1,0)))</f>
        <v/>
      </c>
      <c r="H285" s="15">
        <f>NORM.S.INV(RAND())</f>
        <v/>
      </c>
      <c r="I285" s="15">
        <f>IF('组合输入'!$C3="","",'组合输入'!$H3*$B285+SQRT(1-'组合输入'!$H3^2)*H285)</f>
        <v/>
      </c>
      <c r="J285" s="7">
        <f>IF(I285="","",NORM.S.DIST(I285,TRUE))</f>
        <v/>
      </c>
      <c r="K285" s="13">
        <f>IF(J285="","",IF(J285&lt;='组合输入'!$K3,"AAA",IF(J285&lt;='组合输入'!$L3,"AA",IF(J285&lt;='组合输入'!$M3,"A",IF(J285&lt;='组合输入'!$N3,"BBB",IF(J285&lt;='组合输入'!$O3,"BB",IF(J285&lt;='组合输入'!$P3,"B",IF(J285&lt;='组合输入'!$Q3,"CCC","D")))))))</f>
        <v/>
      </c>
      <c r="L285" s="12">
        <f>IF(K285="","",INDEX('状态价值'!$D3:$K3,MATCH(K285,'状态价值'!$D$1:$K$1,0)))</f>
        <v/>
      </c>
      <c r="M285" s="15">
        <f>NORM.S.INV(RAND())</f>
        <v/>
      </c>
      <c r="N285" s="15">
        <f>IF('组合输入'!$C4="","",'组合输入'!$H4*$B285+SQRT(1-'组合输入'!$H4^2)*M285)</f>
        <v/>
      </c>
      <c r="O285" s="7">
        <f>IF(N285="","",NORM.S.DIST(N285,TRUE))</f>
        <v/>
      </c>
      <c r="P285" s="13">
        <f>IF(O285="","",IF(O285&lt;='组合输入'!$K4,"AAA",IF(O285&lt;='组合输入'!$L4,"AA",IF(O285&lt;='组合输入'!$M4,"A",IF(O285&lt;='组合输入'!$N4,"BBB",IF(O285&lt;='组合输入'!$O4,"BB",IF(O285&lt;='组合输入'!$P4,"B",IF(O285&lt;='组合输入'!$Q4,"CCC","D")))))))</f>
        <v/>
      </c>
      <c r="Q285" s="12">
        <f>IF(P285="","",INDEX('状态价值'!$D4:$K4,MATCH(P285,'状态价值'!$D$1:$K$1,0)))</f>
        <v/>
      </c>
      <c r="R285" s="15">
        <f>NORM.S.INV(RAND())</f>
        <v/>
      </c>
      <c r="S285" s="15">
        <f>IF('组合输入'!$C5="","",'组合输入'!$H5*$B285+SQRT(1-'组合输入'!$H5^2)*R285)</f>
        <v/>
      </c>
      <c r="T285" s="7">
        <f>IF(S285="","",NORM.S.DIST(S285,TRUE))</f>
        <v/>
      </c>
      <c r="U285" s="13">
        <f>IF(T285="","",IF(T285&lt;='组合输入'!$K5,"AAA",IF(T285&lt;='组合输入'!$L5,"AA",IF(T285&lt;='组合输入'!$M5,"A",IF(T285&lt;='组合输入'!$N5,"BBB",IF(T285&lt;='组合输入'!$O5,"BB",IF(T285&lt;='组合输入'!$P5,"B",IF(T285&lt;='组合输入'!$Q5,"CCC","D")))))))</f>
        <v/>
      </c>
      <c r="V285" s="12">
        <f>IF(U285="","",INDEX('状态价值'!$D5:$K5,MATCH(U285,'状态价值'!$D$1:$K$1,0)))</f>
        <v/>
      </c>
      <c r="W285" s="15">
        <f>NORM.S.INV(RAND())</f>
        <v/>
      </c>
      <c r="X285" s="15">
        <f>IF('组合输入'!$C6="","",'组合输入'!$H6*$B285+SQRT(1-'组合输入'!$H6^2)*W285)</f>
        <v/>
      </c>
      <c r="Y285" s="7">
        <f>IF(X285="","",NORM.S.DIST(X285,TRUE))</f>
        <v/>
      </c>
      <c r="Z285" s="13">
        <f>IF(Y285="","",IF(Y285&lt;='组合输入'!$K6,"AAA",IF(Y285&lt;='组合输入'!$L6,"AA",IF(Y285&lt;='组合输入'!$M6,"A",IF(Y285&lt;='组合输入'!$N6,"BBB",IF(Y285&lt;='组合输入'!$O6,"BB",IF(Y285&lt;='组合输入'!$P6,"B",IF(Y285&lt;='组合输入'!$Q6,"CCC","D")))))))</f>
        <v/>
      </c>
      <c r="AA285" s="12">
        <f>IF(Z285="","",INDEX('状态价值'!$D6:$K6,MATCH(Z285,'状态价值'!$D$1:$K$1,0)))</f>
        <v/>
      </c>
      <c r="AB285" s="15">
        <f>NORM.S.INV(RAND())</f>
        <v/>
      </c>
      <c r="AC285" s="15">
        <f>IF('组合输入'!$C7="","",'组合输入'!$H7*$B285+SQRT(1-'组合输入'!$H7^2)*AB285)</f>
        <v/>
      </c>
      <c r="AD285" s="7">
        <f>IF(AC285="","",NORM.S.DIST(AC285,TRUE))</f>
        <v/>
      </c>
      <c r="AE285" s="13">
        <f>IF(AD285="","",IF(AD285&lt;='组合输入'!$K7,"AAA",IF(AD285&lt;='组合输入'!$L7,"AA",IF(AD285&lt;='组合输入'!$M7,"A",IF(AD285&lt;='组合输入'!$N7,"BBB",IF(AD285&lt;='组合输入'!$O7,"BB",IF(AD285&lt;='组合输入'!$P7,"B",IF(AD285&lt;='组合输入'!$Q7,"CCC","D")))))))</f>
        <v/>
      </c>
      <c r="AF285" s="12">
        <f>IF(AE285="","",INDEX('状态价值'!$D7:$K7,MATCH(AE285,'状态价值'!$D$1:$K$1,0)))</f>
        <v/>
      </c>
      <c r="AG285" s="15">
        <f>NORM.S.INV(RAND())</f>
        <v/>
      </c>
      <c r="AH285" s="15">
        <f>IF('组合输入'!$C8="","",'组合输入'!$H8*$B285+SQRT(1-'组合输入'!$H8^2)*AG285)</f>
        <v/>
      </c>
      <c r="AI285" s="7">
        <f>IF(AH285="","",NORM.S.DIST(AH285,TRUE))</f>
        <v/>
      </c>
      <c r="AJ285" s="13">
        <f>IF(AI285="","",IF(AI285&lt;='组合输入'!$K8,"AAA",IF(AI285&lt;='组合输入'!$L8,"AA",IF(AI285&lt;='组合输入'!$M8,"A",IF(AI285&lt;='组合输入'!$N8,"BBB",IF(AI285&lt;='组合输入'!$O8,"BB",IF(AI285&lt;='组合输入'!$P8,"B",IF(AI285&lt;='组合输入'!$Q8,"CCC","D")))))))</f>
        <v/>
      </c>
      <c r="AK285" s="12">
        <f>IF(AJ285="","",INDEX('状态价值'!$D8:$K8,MATCH(AJ285,'状态价值'!$D$1:$K$1,0)))</f>
        <v/>
      </c>
      <c r="AL285" s="15">
        <f>NORM.S.INV(RAND())</f>
        <v/>
      </c>
      <c r="AM285" s="15">
        <f>IF('组合输入'!$C9="","",'组合输入'!$H9*$B285+SQRT(1-'组合输入'!$H9^2)*AL285)</f>
        <v/>
      </c>
      <c r="AN285" s="7">
        <f>IF(AM285="","",NORM.S.DIST(AM285,TRUE))</f>
        <v/>
      </c>
      <c r="AO285" s="13">
        <f>IF(AN285="","",IF(AN285&lt;='组合输入'!$K9,"AAA",IF(AN285&lt;='组合输入'!$L9,"AA",IF(AN285&lt;='组合输入'!$M9,"A",IF(AN285&lt;='组合输入'!$N9,"BBB",IF(AN285&lt;='组合输入'!$O9,"BB",IF(AN285&lt;='组合输入'!$P9,"B",IF(AN285&lt;='组合输入'!$Q9,"CCC","D")))))))</f>
        <v/>
      </c>
      <c r="AP285" s="12">
        <f>IF(AO285="","",INDEX('状态价值'!$D9:$K9,MATCH(AO285,'状态价值'!$D$1:$K$1,0)))</f>
        <v/>
      </c>
      <c r="AQ285" s="15">
        <f>NORM.S.INV(RAND())</f>
        <v/>
      </c>
      <c r="AR285" s="15">
        <f>IF('组合输入'!$C10="","",'组合输入'!$H10*$B285+SQRT(1-'组合输入'!$H10^2)*AQ285)</f>
        <v/>
      </c>
      <c r="AS285" s="7">
        <f>IF(AR285="","",NORM.S.DIST(AR285,TRUE))</f>
        <v/>
      </c>
      <c r="AT285" s="13">
        <f>IF(AS285="","",IF(AS285&lt;='组合输入'!$K10,"AAA",IF(AS285&lt;='组合输入'!$L10,"AA",IF(AS285&lt;='组合输入'!$M10,"A",IF(AS285&lt;='组合输入'!$N10,"BBB",IF(AS285&lt;='组合输入'!$O10,"BB",IF(AS285&lt;='组合输入'!$P10,"B",IF(AS285&lt;='组合输入'!$Q10,"CCC","D")))))))</f>
        <v/>
      </c>
      <c r="AU285" s="12">
        <f>IF(AT285="","",INDEX('状态价值'!$D10:$K10,MATCH(AT285,'状态价值'!$D$1:$K$1,0)))</f>
        <v/>
      </c>
      <c r="AV285" s="15">
        <f>NORM.S.INV(RAND())</f>
        <v/>
      </c>
      <c r="AW285" s="15">
        <f>IF('组合输入'!$C11="","",'组合输入'!$H11*$B285+SQRT(1-'组合输入'!$H11^2)*AV285)</f>
        <v/>
      </c>
      <c r="AX285" s="7">
        <f>IF(AW285="","",NORM.S.DIST(AW285,TRUE))</f>
        <v/>
      </c>
      <c r="AY285" s="13">
        <f>IF(AX285="","",IF(AX285&lt;='组合输入'!$K11,"AAA",IF(AX285&lt;='组合输入'!$L11,"AA",IF(AX285&lt;='组合输入'!$M11,"A",IF(AX285&lt;='组合输入'!$N11,"BBB",IF(AX285&lt;='组合输入'!$O11,"BB",IF(AX285&lt;='组合输入'!$P11,"B",IF(AX285&lt;='组合输入'!$Q11,"CCC","D")))))))</f>
        <v/>
      </c>
      <c r="AZ285" s="12">
        <f>IF(AY285="","",INDEX('状态价值'!$D11:$K11,MATCH(AY285,'状态价值'!$D$1:$K$1,0)))</f>
        <v/>
      </c>
      <c r="BA285" s="12">
        <f>G285+L285+Q285+V285+AA285+AF285+AK285+AP285+AU285+AZ285</f>
        <v/>
      </c>
      <c r="BB285" s="12">
        <f>SUM('组合输入'!$J$2:$J$11)-BA285</f>
        <v/>
      </c>
    </row>
    <row r="286">
      <c r="A286" s="11" t="n">
        <v>285</v>
      </c>
      <c r="B286" s="14">
        <f>NORM.S.INV(RAND())</f>
        <v/>
      </c>
      <c r="C286" s="14">
        <f>NORM.S.INV(RAND())</f>
        <v/>
      </c>
      <c r="D286" s="15">
        <f>IF('组合输入'!$C2="","",'组合输入'!$H2*$B286+SQRT(1-'组合输入'!$H2^2)*C286)</f>
        <v/>
      </c>
      <c r="E286" s="7">
        <f>IF(D286="","",NORM.S.DIST(D286,TRUE))</f>
        <v/>
      </c>
      <c r="F286" s="13">
        <f>IF(E286="","",IF(E286&lt;='组合输入'!$K2,"AAA",IF(E286&lt;='组合输入'!$L2,"AA",IF(E286&lt;='组合输入'!$M2,"A",IF(E286&lt;='组合输入'!$N2,"BBB",IF(E286&lt;='组合输入'!$O2,"BB",IF(E286&lt;='组合输入'!$P2,"B",IF(E286&lt;='组合输入'!$Q2,"CCC","D")))))))</f>
        <v/>
      </c>
      <c r="G286" s="12">
        <f>IF(F286="","",INDEX('状态价值'!$D2:$K2,MATCH(F286,'状态价值'!$D$1:$K$1,0)))</f>
        <v/>
      </c>
      <c r="H286" s="15">
        <f>NORM.S.INV(RAND())</f>
        <v/>
      </c>
      <c r="I286" s="15">
        <f>IF('组合输入'!$C3="","",'组合输入'!$H3*$B286+SQRT(1-'组合输入'!$H3^2)*H286)</f>
        <v/>
      </c>
      <c r="J286" s="7">
        <f>IF(I286="","",NORM.S.DIST(I286,TRUE))</f>
        <v/>
      </c>
      <c r="K286" s="13">
        <f>IF(J286="","",IF(J286&lt;='组合输入'!$K3,"AAA",IF(J286&lt;='组合输入'!$L3,"AA",IF(J286&lt;='组合输入'!$M3,"A",IF(J286&lt;='组合输入'!$N3,"BBB",IF(J286&lt;='组合输入'!$O3,"BB",IF(J286&lt;='组合输入'!$P3,"B",IF(J286&lt;='组合输入'!$Q3,"CCC","D")))))))</f>
        <v/>
      </c>
      <c r="L286" s="12">
        <f>IF(K286="","",INDEX('状态价值'!$D3:$K3,MATCH(K286,'状态价值'!$D$1:$K$1,0)))</f>
        <v/>
      </c>
      <c r="M286" s="15">
        <f>NORM.S.INV(RAND())</f>
        <v/>
      </c>
      <c r="N286" s="15">
        <f>IF('组合输入'!$C4="","",'组合输入'!$H4*$B286+SQRT(1-'组合输入'!$H4^2)*M286)</f>
        <v/>
      </c>
      <c r="O286" s="7">
        <f>IF(N286="","",NORM.S.DIST(N286,TRUE))</f>
        <v/>
      </c>
      <c r="P286" s="13">
        <f>IF(O286="","",IF(O286&lt;='组合输入'!$K4,"AAA",IF(O286&lt;='组合输入'!$L4,"AA",IF(O286&lt;='组合输入'!$M4,"A",IF(O286&lt;='组合输入'!$N4,"BBB",IF(O286&lt;='组合输入'!$O4,"BB",IF(O286&lt;='组合输入'!$P4,"B",IF(O286&lt;='组合输入'!$Q4,"CCC","D")))))))</f>
        <v/>
      </c>
      <c r="Q286" s="12">
        <f>IF(P286="","",INDEX('状态价值'!$D4:$K4,MATCH(P286,'状态价值'!$D$1:$K$1,0)))</f>
        <v/>
      </c>
      <c r="R286" s="15">
        <f>NORM.S.INV(RAND())</f>
        <v/>
      </c>
      <c r="S286" s="15">
        <f>IF('组合输入'!$C5="","",'组合输入'!$H5*$B286+SQRT(1-'组合输入'!$H5^2)*R286)</f>
        <v/>
      </c>
      <c r="T286" s="7">
        <f>IF(S286="","",NORM.S.DIST(S286,TRUE))</f>
        <v/>
      </c>
      <c r="U286" s="13">
        <f>IF(T286="","",IF(T286&lt;='组合输入'!$K5,"AAA",IF(T286&lt;='组合输入'!$L5,"AA",IF(T286&lt;='组合输入'!$M5,"A",IF(T286&lt;='组合输入'!$N5,"BBB",IF(T286&lt;='组合输入'!$O5,"BB",IF(T286&lt;='组合输入'!$P5,"B",IF(T286&lt;='组合输入'!$Q5,"CCC","D")))))))</f>
        <v/>
      </c>
      <c r="V286" s="12">
        <f>IF(U286="","",INDEX('状态价值'!$D5:$K5,MATCH(U286,'状态价值'!$D$1:$K$1,0)))</f>
        <v/>
      </c>
      <c r="W286" s="15">
        <f>NORM.S.INV(RAND())</f>
        <v/>
      </c>
      <c r="X286" s="15">
        <f>IF('组合输入'!$C6="","",'组合输入'!$H6*$B286+SQRT(1-'组合输入'!$H6^2)*W286)</f>
        <v/>
      </c>
      <c r="Y286" s="7">
        <f>IF(X286="","",NORM.S.DIST(X286,TRUE))</f>
        <v/>
      </c>
      <c r="Z286" s="13">
        <f>IF(Y286="","",IF(Y286&lt;='组合输入'!$K6,"AAA",IF(Y286&lt;='组合输入'!$L6,"AA",IF(Y286&lt;='组合输入'!$M6,"A",IF(Y286&lt;='组合输入'!$N6,"BBB",IF(Y286&lt;='组合输入'!$O6,"BB",IF(Y286&lt;='组合输入'!$P6,"B",IF(Y286&lt;='组合输入'!$Q6,"CCC","D")))))))</f>
        <v/>
      </c>
      <c r="AA286" s="12">
        <f>IF(Z286="","",INDEX('状态价值'!$D6:$K6,MATCH(Z286,'状态价值'!$D$1:$K$1,0)))</f>
        <v/>
      </c>
      <c r="AB286" s="15">
        <f>NORM.S.INV(RAND())</f>
        <v/>
      </c>
      <c r="AC286" s="15">
        <f>IF('组合输入'!$C7="","",'组合输入'!$H7*$B286+SQRT(1-'组合输入'!$H7^2)*AB286)</f>
        <v/>
      </c>
      <c r="AD286" s="7">
        <f>IF(AC286="","",NORM.S.DIST(AC286,TRUE))</f>
        <v/>
      </c>
      <c r="AE286" s="13">
        <f>IF(AD286="","",IF(AD286&lt;='组合输入'!$K7,"AAA",IF(AD286&lt;='组合输入'!$L7,"AA",IF(AD286&lt;='组合输入'!$M7,"A",IF(AD286&lt;='组合输入'!$N7,"BBB",IF(AD286&lt;='组合输入'!$O7,"BB",IF(AD286&lt;='组合输入'!$P7,"B",IF(AD286&lt;='组合输入'!$Q7,"CCC","D")))))))</f>
        <v/>
      </c>
      <c r="AF286" s="12">
        <f>IF(AE286="","",INDEX('状态价值'!$D7:$K7,MATCH(AE286,'状态价值'!$D$1:$K$1,0)))</f>
        <v/>
      </c>
      <c r="AG286" s="15">
        <f>NORM.S.INV(RAND())</f>
        <v/>
      </c>
      <c r="AH286" s="15">
        <f>IF('组合输入'!$C8="","",'组合输入'!$H8*$B286+SQRT(1-'组合输入'!$H8^2)*AG286)</f>
        <v/>
      </c>
      <c r="AI286" s="7">
        <f>IF(AH286="","",NORM.S.DIST(AH286,TRUE))</f>
        <v/>
      </c>
      <c r="AJ286" s="13">
        <f>IF(AI286="","",IF(AI286&lt;='组合输入'!$K8,"AAA",IF(AI286&lt;='组合输入'!$L8,"AA",IF(AI286&lt;='组合输入'!$M8,"A",IF(AI286&lt;='组合输入'!$N8,"BBB",IF(AI286&lt;='组合输入'!$O8,"BB",IF(AI286&lt;='组合输入'!$P8,"B",IF(AI286&lt;='组合输入'!$Q8,"CCC","D")))))))</f>
        <v/>
      </c>
      <c r="AK286" s="12">
        <f>IF(AJ286="","",INDEX('状态价值'!$D8:$K8,MATCH(AJ286,'状态价值'!$D$1:$K$1,0)))</f>
        <v/>
      </c>
      <c r="AL286" s="15">
        <f>NORM.S.INV(RAND())</f>
        <v/>
      </c>
      <c r="AM286" s="15">
        <f>IF('组合输入'!$C9="","",'组合输入'!$H9*$B286+SQRT(1-'组合输入'!$H9^2)*AL286)</f>
        <v/>
      </c>
      <c r="AN286" s="7">
        <f>IF(AM286="","",NORM.S.DIST(AM286,TRUE))</f>
        <v/>
      </c>
      <c r="AO286" s="13">
        <f>IF(AN286="","",IF(AN286&lt;='组合输入'!$K9,"AAA",IF(AN286&lt;='组合输入'!$L9,"AA",IF(AN286&lt;='组合输入'!$M9,"A",IF(AN286&lt;='组合输入'!$N9,"BBB",IF(AN286&lt;='组合输入'!$O9,"BB",IF(AN286&lt;='组合输入'!$P9,"B",IF(AN286&lt;='组合输入'!$Q9,"CCC","D")))))))</f>
        <v/>
      </c>
      <c r="AP286" s="12">
        <f>IF(AO286="","",INDEX('状态价值'!$D9:$K9,MATCH(AO286,'状态价值'!$D$1:$K$1,0)))</f>
        <v/>
      </c>
      <c r="AQ286" s="15">
        <f>NORM.S.INV(RAND())</f>
        <v/>
      </c>
      <c r="AR286" s="15">
        <f>IF('组合输入'!$C10="","",'组合输入'!$H10*$B286+SQRT(1-'组合输入'!$H10^2)*AQ286)</f>
        <v/>
      </c>
      <c r="AS286" s="7">
        <f>IF(AR286="","",NORM.S.DIST(AR286,TRUE))</f>
        <v/>
      </c>
      <c r="AT286" s="13">
        <f>IF(AS286="","",IF(AS286&lt;='组合输入'!$K10,"AAA",IF(AS286&lt;='组合输入'!$L10,"AA",IF(AS286&lt;='组合输入'!$M10,"A",IF(AS286&lt;='组合输入'!$N10,"BBB",IF(AS286&lt;='组合输入'!$O10,"BB",IF(AS286&lt;='组合输入'!$P10,"B",IF(AS286&lt;='组合输入'!$Q10,"CCC","D")))))))</f>
        <v/>
      </c>
      <c r="AU286" s="12">
        <f>IF(AT286="","",INDEX('状态价值'!$D10:$K10,MATCH(AT286,'状态价值'!$D$1:$K$1,0)))</f>
        <v/>
      </c>
      <c r="AV286" s="15">
        <f>NORM.S.INV(RAND())</f>
        <v/>
      </c>
      <c r="AW286" s="15">
        <f>IF('组合输入'!$C11="","",'组合输入'!$H11*$B286+SQRT(1-'组合输入'!$H11^2)*AV286)</f>
        <v/>
      </c>
      <c r="AX286" s="7">
        <f>IF(AW286="","",NORM.S.DIST(AW286,TRUE))</f>
        <v/>
      </c>
      <c r="AY286" s="13">
        <f>IF(AX286="","",IF(AX286&lt;='组合输入'!$K11,"AAA",IF(AX286&lt;='组合输入'!$L11,"AA",IF(AX286&lt;='组合输入'!$M11,"A",IF(AX286&lt;='组合输入'!$N11,"BBB",IF(AX286&lt;='组合输入'!$O11,"BB",IF(AX286&lt;='组合输入'!$P11,"B",IF(AX286&lt;='组合输入'!$Q11,"CCC","D")))))))</f>
        <v/>
      </c>
      <c r="AZ286" s="12">
        <f>IF(AY286="","",INDEX('状态价值'!$D11:$K11,MATCH(AY286,'状态价值'!$D$1:$K$1,0)))</f>
        <v/>
      </c>
      <c r="BA286" s="12">
        <f>G286+L286+Q286+V286+AA286+AF286+AK286+AP286+AU286+AZ286</f>
        <v/>
      </c>
      <c r="BB286" s="12">
        <f>SUM('组合输入'!$J$2:$J$11)-BA286</f>
        <v/>
      </c>
    </row>
    <row r="287">
      <c r="A287" s="11" t="n">
        <v>286</v>
      </c>
      <c r="B287" s="14">
        <f>NORM.S.INV(RAND())</f>
        <v/>
      </c>
      <c r="C287" s="14">
        <f>NORM.S.INV(RAND())</f>
        <v/>
      </c>
      <c r="D287" s="15">
        <f>IF('组合输入'!$C2="","",'组合输入'!$H2*$B287+SQRT(1-'组合输入'!$H2^2)*C287)</f>
        <v/>
      </c>
      <c r="E287" s="7">
        <f>IF(D287="","",NORM.S.DIST(D287,TRUE))</f>
        <v/>
      </c>
      <c r="F287" s="13">
        <f>IF(E287="","",IF(E287&lt;='组合输入'!$K2,"AAA",IF(E287&lt;='组合输入'!$L2,"AA",IF(E287&lt;='组合输入'!$M2,"A",IF(E287&lt;='组合输入'!$N2,"BBB",IF(E287&lt;='组合输入'!$O2,"BB",IF(E287&lt;='组合输入'!$P2,"B",IF(E287&lt;='组合输入'!$Q2,"CCC","D")))))))</f>
        <v/>
      </c>
      <c r="G287" s="12">
        <f>IF(F287="","",INDEX('状态价值'!$D2:$K2,MATCH(F287,'状态价值'!$D$1:$K$1,0)))</f>
        <v/>
      </c>
      <c r="H287" s="15">
        <f>NORM.S.INV(RAND())</f>
        <v/>
      </c>
      <c r="I287" s="15">
        <f>IF('组合输入'!$C3="","",'组合输入'!$H3*$B287+SQRT(1-'组合输入'!$H3^2)*H287)</f>
        <v/>
      </c>
      <c r="J287" s="7">
        <f>IF(I287="","",NORM.S.DIST(I287,TRUE))</f>
        <v/>
      </c>
      <c r="K287" s="13">
        <f>IF(J287="","",IF(J287&lt;='组合输入'!$K3,"AAA",IF(J287&lt;='组合输入'!$L3,"AA",IF(J287&lt;='组合输入'!$M3,"A",IF(J287&lt;='组合输入'!$N3,"BBB",IF(J287&lt;='组合输入'!$O3,"BB",IF(J287&lt;='组合输入'!$P3,"B",IF(J287&lt;='组合输入'!$Q3,"CCC","D")))))))</f>
        <v/>
      </c>
      <c r="L287" s="12">
        <f>IF(K287="","",INDEX('状态价值'!$D3:$K3,MATCH(K287,'状态价值'!$D$1:$K$1,0)))</f>
        <v/>
      </c>
      <c r="M287" s="15">
        <f>NORM.S.INV(RAND())</f>
        <v/>
      </c>
      <c r="N287" s="15">
        <f>IF('组合输入'!$C4="","",'组合输入'!$H4*$B287+SQRT(1-'组合输入'!$H4^2)*M287)</f>
        <v/>
      </c>
      <c r="O287" s="7">
        <f>IF(N287="","",NORM.S.DIST(N287,TRUE))</f>
        <v/>
      </c>
      <c r="P287" s="13">
        <f>IF(O287="","",IF(O287&lt;='组合输入'!$K4,"AAA",IF(O287&lt;='组合输入'!$L4,"AA",IF(O287&lt;='组合输入'!$M4,"A",IF(O287&lt;='组合输入'!$N4,"BBB",IF(O287&lt;='组合输入'!$O4,"BB",IF(O287&lt;='组合输入'!$P4,"B",IF(O287&lt;='组合输入'!$Q4,"CCC","D")))))))</f>
        <v/>
      </c>
      <c r="Q287" s="12">
        <f>IF(P287="","",INDEX('状态价值'!$D4:$K4,MATCH(P287,'状态价值'!$D$1:$K$1,0)))</f>
        <v/>
      </c>
      <c r="R287" s="15">
        <f>NORM.S.INV(RAND())</f>
        <v/>
      </c>
      <c r="S287" s="15">
        <f>IF('组合输入'!$C5="","",'组合输入'!$H5*$B287+SQRT(1-'组合输入'!$H5^2)*R287)</f>
        <v/>
      </c>
      <c r="T287" s="7">
        <f>IF(S287="","",NORM.S.DIST(S287,TRUE))</f>
        <v/>
      </c>
      <c r="U287" s="13">
        <f>IF(T287="","",IF(T287&lt;='组合输入'!$K5,"AAA",IF(T287&lt;='组合输入'!$L5,"AA",IF(T287&lt;='组合输入'!$M5,"A",IF(T287&lt;='组合输入'!$N5,"BBB",IF(T287&lt;='组合输入'!$O5,"BB",IF(T287&lt;='组合输入'!$P5,"B",IF(T287&lt;='组合输入'!$Q5,"CCC","D")))))))</f>
        <v/>
      </c>
      <c r="V287" s="12">
        <f>IF(U287="","",INDEX('状态价值'!$D5:$K5,MATCH(U287,'状态价值'!$D$1:$K$1,0)))</f>
        <v/>
      </c>
      <c r="W287" s="15">
        <f>NORM.S.INV(RAND())</f>
        <v/>
      </c>
      <c r="X287" s="15">
        <f>IF('组合输入'!$C6="","",'组合输入'!$H6*$B287+SQRT(1-'组合输入'!$H6^2)*W287)</f>
        <v/>
      </c>
      <c r="Y287" s="7">
        <f>IF(X287="","",NORM.S.DIST(X287,TRUE))</f>
        <v/>
      </c>
      <c r="Z287" s="13">
        <f>IF(Y287="","",IF(Y287&lt;='组合输入'!$K6,"AAA",IF(Y287&lt;='组合输入'!$L6,"AA",IF(Y287&lt;='组合输入'!$M6,"A",IF(Y287&lt;='组合输入'!$N6,"BBB",IF(Y287&lt;='组合输入'!$O6,"BB",IF(Y287&lt;='组合输入'!$P6,"B",IF(Y287&lt;='组合输入'!$Q6,"CCC","D")))))))</f>
        <v/>
      </c>
      <c r="AA287" s="12">
        <f>IF(Z287="","",INDEX('状态价值'!$D6:$K6,MATCH(Z287,'状态价值'!$D$1:$K$1,0)))</f>
        <v/>
      </c>
      <c r="AB287" s="15">
        <f>NORM.S.INV(RAND())</f>
        <v/>
      </c>
      <c r="AC287" s="15">
        <f>IF('组合输入'!$C7="","",'组合输入'!$H7*$B287+SQRT(1-'组合输入'!$H7^2)*AB287)</f>
        <v/>
      </c>
      <c r="AD287" s="7">
        <f>IF(AC287="","",NORM.S.DIST(AC287,TRUE))</f>
        <v/>
      </c>
      <c r="AE287" s="13">
        <f>IF(AD287="","",IF(AD287&lt;='组合输入'!$K7,"AAA",IF(AD287&lt;='组合输入'!$L7,"AA",IF(AD287&lt;='组合输入'!$M7,"A",IF(AD287&lt;='组合输入'!$N7,"BBB",IF(AD287&lt;='组合输入'!$O7,"BB",IF(AD287&lt;='组合输入'!$P7,"B",IF(AD287&lt;='组合输入'!$Q7,"CCC","D")))))))</f>
        <v/>
      </c>
      <c r="AF287" s="12">
        <f>IF(AE287="","",INDEX('状态价值'!$D7:$K7,MATCH(AE287,'状态价值'!$D$1:$K$1,0)))</f>
        <v/>
      </c>
      <c r="AG287" s="15">
        <f>NORM.S.INV(RAND())</f>
        <v/>
      </c>
      <c r="AH287" s="15">
        <f>IF('组合输入'!$C8="","",'组合输入'!$H8*$B287+SQRT(1-'组合输入'!$H8^2)*AG287)</f>
        <v/>
      </c>
      <c r="AI287" s="7">
        <f>IF(AH287="","",NORM.S.DIST(AH287,TRUE))</f>
        <v/>
      </c>
      <c r="AJ287" s="13">
        <f>IF(AI287="","",IF(AI287&lt;='组合输入'!$K8,"AAA",IF(AI287&lt;='组合输入'!$L8,"AA",IF(AI287&lt;='组合输入'!$M8,"A",IF(AI287&lt;='组合输入'!$N8,"BBB",IF(AI287&lt;='组合输入'!$O8,"BB",IF(AI287&lt;='组合输入'!$P8,"B",IF(AI287&lt;='组合输入'!$Q8,"CCC","D")))))))</f>
        <v/>
      </c>
      <c r="AK287" s="12">
        <f>IF(AJ287="","",INDEX('状态价值'!$D8:$K8,MATCH(AJ287,'状态价值'!$D$1:$K$1,0)))</f>
        <v/>
      </c>
      <c r="AL287" s="15">
        <f>NORM.S.INV(RAND())</f>
        <v/>
      </c>
      <c r="AM287" s="15">
        <f>IF('组合输入'!$C9="","",'组合输入'!$H9*$B287+SQRT(1-'组合输入'!$H9^2)*AL287)</f>
        <v/>
      </c>
      <c r="AN287" s="7">
        <f>IF(AM287="","",NORM.S.DIST(AM287,TRUE))</f>
        <v/>
      </c>
      <c r="AO287" s="13">
        <f>IF(AN287="","",IF(AN287&lt;='组合输入'!$K9,"AAA",IF(AN287&lt;='组合输入'!$L9,"AA",IF(AN287&lt;='组合输入'!$M9,"A",IF(AN287&lt;='组合输入'!$N9,"BBB",IF(AN287&lt;='组合输入'!$O9,"BB",IF(AN287&lt;='组合输入'!$P9,"B",IF(AN287&lt;='组合输入'!$Q9,"CCC","D")))))))</f>
        <v/>
      </c>
      <c r="AP287" s="12">
        <f>IF(AO287="","",INDEX('状态价值'!$D9:$K9,MATCH(AO287,'状态价值'!$D$1:$K$1,0)))</f>
        <v/>
      </c>
      <c r="AQ287" s="15">
        <f>NORM.S.INV(RAND())</f>
        <v/>
      </c>
      <c r="AR287" s="15">
        <f>IF('组合输入'!$C10="","",'组合输入'!$H10*$B287+SQRT(1-'组合输入'!$H10^2)*AQ287)</f>
        <v/>
      </c>
      <c r="AS287" s="7">
        <f>IF(AR287="","",NORM.S.DIST(AR287,TRUE))</f>
        <v/>
      </c>
      <c r="AT287" s="13">
        <f>IF(AS287="","",IF(AS287&lt;='组合输入'!$K10,"AAA",IF(AS287&lt;='组合输入'!$L10,"AA",IF(AS287&lt;='组合输入'!$M10,"A",IF(AS287&lt;='组合输入'!$N10,"BBB",IF(AS287&lt;='组合输入'!$O10,"BB",IF(AS287&lt;='组合输入'!$P10,"B",IF(AS287&lt;='组合输入'!$Q10,"CCC","D")))))))</f>
        <v/>
      </c>
      <c r="AU287" s="12">
        <f>IF(AT287="","",INDEX('状态价值'!$D10:$K10,MATCH(AT287,'状态价值'!$D$1:$K$1,0)))</f>
        <v/>
      </c>
      <c r="AV287" s="15">
        <f>NORM.S.INV(RAND())</f>
        <v/>
      </c>
      <c r="AW287" s="15">
        <f>IF('组合输入'!$C11="","",'组合输入'!$H11*$B287+SQRT(1-'组合输入'!$H11^2)*AV287)</f>
        <v/>
      </c>
      <c r="AX287" s="7">
        <f>IF(AW287="","",NORM.S.DIST(AW287,TRUE))</f>
        <v/>
      </c>
      <c r="AY287" s="13">
        <f>IF(AX287="","",IF(AX287&lt;='组合输入'!$K11,"AAA",IF(AX287&lt;='组合输入'!$L11,"AA",IF(AX287&lt;='组合输入'!$M11,"A",IF(AX287&lt;='组合输入'!$N11,"BBB",IF(AX287&lt;='组合输入'!$O11,"BB",IF(AX287&lt;='组合输入'!$P11,"B",IF(AX287&lt;='组合输入'!$Q11,"CCC","D")))))))</f>
        <v/>
      </c>
      <c r="AZ287" s="12">
        <f>IF(AY287="","",INDEX('状态价值'!$D11:$K11,MATCH(AY287,'状态价值'!$D$1:$K$1,0)))</f>
        <v/>
      </c>
      <c r="BA287" s="12">
        <f>G287+L287+Q287+V287+AA287+AF287+AK287+AP287+AU287+AZ287</f>
        <v/>
      </c>
      <c r="BB287" s="12">
        <f>SUM('组合输入'!$J$2:$J$11)-BA287</f>
        <v/>
      </c>
    </row>
    <row r="288">
      <c r="A288" s="11" t="n">
        <v>287</v>
      </c>
      <c r="B288" s="14">
        <f>NORM.S.INV(RAND())</f>
        <v/>
      </c>
      <c r="C288" s="14">
        <f>NORM.S.INV(RAND())</f>
        <v/>
      </c>
      <c r="D288" s="15">
        <f>IF('组合输入'!$C2="","",'组合输入'!$H2*$B288+SQRT(1-'组合输入'!$H2^2)*C288)</f>
        <v/>
      </c>
      <c r="E288" s="7">
        <f>IF(D288="","",NORM.S.DIST(D288,TRUE))</f>
        <v/>
      </c>
      <c r="F288" s="13">
        <f>IF(E288="","",IF(E288&lt;='组合输入'!$K2,"AAA",IF(E288&lt;='组合输入'!$L2,"AA",IF(E288&lt;='组合输入'!$M2,"A",IF(E288&lt;='组合输入'!$N2,"BBB",IF(E288&lt;='组合输入'!$O2,"BB",IF(E288&lt;='组合输入'!$P2,"B",IF(E288&lt;='组合输入'!$Q2,"CCC","D")))))))</f>
        <v/>
      </c>
      <c r="G288" s="12">
        <f>IF(F288="","",INDEX('状态价值'!$D2:$K2,MATCH(F288,'状态价值'!$D$1:$K$1,0)))</f>
        <v/>
      </c>
      <c r="H288" s="15">
        <f>NORM.S.INV(RAND())</f>
        <v/>
      </c>
      <c r="I288" s="15">
        <f>IF('组合输入'!$C3="","",'组合输入'!$H3*$B288+SQRT(1-'组合输入'!$H3^2)*H288)</f>
        <v/>
      </c>
      <c r="J288" s="7">
        <f>IF(I288="","",NORM.S.DIST(I288,TRUE))</f>
        <v/>
      </c>
      <c r="K288" s="13">
        <f>IF(J288="","",IF(J288&lt;='组合输入'!$K3,"AAA",IF(J288&lt;='组合输入'!$L3,"AA",IF(J288&lt;='组合输入'!$M3,"A",IF(J288&lt;='组合输入'!$N3,"BBB",IF(J288&lt;='组合输入'!$O3,"BB",IF(J288&lt;='组合输入'!$P3,"B",IF(J288&lt;='组合输入'!$Q3,"CCC","D")))))))</f>
        <v/>
      </c>
      <c r="L288" s="12">
        <f>IF(K288="","",INDEX('状态价值'!$D3:$K3,MATCH(K288,'状态价值'!$D$1:$K$1,0)))</f>
        <v/>
      </c>
      <c r="M288" s="15">
        <f>NORM.S.INV(RAND())</f>
        <v/>
      </c>
      <c r="N288" s="15">
        <f>IF('组合输入'!$C4="","",'组合输入'!$H4*$B288+SQRT(1-'组合输入'!$H4^2)*M288)</f>
        <v/>
      </c>
      <c r="O288" s="7">
        <f>IF(N288="","",NORM.S.DIST(N288,TRUE))</f>
        <v/>
      </c>
      <c r="P288" s="13">
        <f>IF(O288="","",IF(O288&lt;='组合输入'!$K4,"AAA",IF(O288&lt;='组合输入'!$L4,"AA",IF(O288&lt;='组合输入'!$M4,"A",IF(O288&lt;='组合输入'!$N4,"BBB",IF(O288&lt;='组合输入'!$O4,"BB",IF(O288&lt;='组合输入'!$P4,"B",IF(O288&lt;='组合输入'!$Q4,"CCC","D")))))))</f>
        <v/>
      </c>
      <c r="Q288" s="12">
        <f>IF(P288="","",INDEX('状态价值'!$D4:$K4,MATCH(P288,'状态价值'!$D$1:$K$1,0)))</f>
        <v/>
      </c>
      <c r="R288" s="15">
        <f>NORM.S.INV(RAND())</f>
        <v/>
      </c>
      <c r="S288" s="15">
        <f>IF('组合输入'!$C5="","",'组合输入'!$H5*$B288+SQRT(1-'组合输入'!$H5^2)*R288)</f>
        <v/>
      </c>
      <c r="T288" s="7">
        <f>IF(S288="","",NORM.S.DIST(S288,TRUE))</f>
        <v/>
      </c>
      <c r="U288" s="13">
        <f>IF(T288="","",IF(T288&lt;='组合输入'!$K5,"AAA",IF(T288&lt;='组合输入'!$L5,"AA",IF(T288&lt;='组合输入'!$M5,"A",IF(T288&lt;='组合输入'!$N5,"BBB",IF(T288&lt;='组合输入'!$O5,"BB",IF(T288&lt;='组合输入'!$P5,"B",IF(T288&lt;='组合输入'!$Q5,"CCC","D")))))))</f>
        <v/>
      </c>
      <c r="V288" s="12">
        <f>IF(U288="","",INDEX('状态价值'!$D5:$K5,MATCH(U288,'状态价值'!$D$1:$K$1,0)))</f>
        <v/>
      </c>
      <c r="W288" s="15">
        <f>NORM.S.INV(RAND())</f>
        <v/>
      </c>
      <c r="X288" s="15">
        <f>IF('组合输入'!$C6="","",'组合输入'!$H6*$B288+SQRT(1-'组合输入'!$H6^2)*W288)</f>
        <v/>
      </c>
      <c r="Y288" s="7">
        <f>IF(X288="","",NORM.S.DIST(X288,TRUE))</f>
        <v/>
      </c>
      <c r="Z288" s="13">
        <f>IF(Y288="","",IF(Y288&lt;='组合输入'!$K6,"AAA",IF(Y288&lt;='组合输入'!$L6,"AA",IF(Y288&lt;='组合输入'!$M6,"A",IF(Y288&lt;='组合输入'!$N6,"BBB",IF(Y288&lt;='组合输入'!$O6,"BB",IF(Y288&lt;='组合输入'!$P6,"B",IF(Y288&lt;='组合输入'!$Q6,"CCC","D")))))))</f>
        <v/>
      </c>
      <c r="AA288" s="12">
        <f>IF(Z288="","",INDEX('状态价值'!$D6:$K6,MATCH(Z288,'状态价值'!$D$1:$K$1,0)))</f>
        <v/>
      </c>
      <c r="AB288" s="15">
        <f>NORM.S.INV(RAND())</f>
        <v/>
      </c>
      <c r="AC288" s="15">
        <f>IF('组合输入'!$C7="","",'组合输入'!$H7*$B288+SQRT(1-'组合输入'!$H7^2)*AB288)</f>
        <v/>
      </c>
      <c r="AD288" s="7">
        <f>IF(AC288="","",NORM.S.DIST(AC288,TRUE))</f>
        <v/>
      </c>
      <c r="AE288" s="13">
        <f>IF(AD288="","",IF(AD288&lt;='组合输入'!$K7,"AAA",IF(AD288&lt;='组合输入'!$L7,"AA",IF(AD288&lt;='组合输入'!$M7,"A",IF(AD288&lt;='组合输入'!$N7,"BBB",IF(AD288&lt;='组合输入'!$O7,"BB",IF(AD288&lt;='组合输入'!$P7,"B",IF(AD288&lt;='组合输入'!$Q7,"CCC","D")))))))</f>
        <v/>
      </c>
      <c r="AF288" s="12">
        <f>IF(AE288="","",INDEX('状态价值'!$D7:$K7,MATCH(AE288,'状态价值'!$D$1:$K$1,0)))</f>
        <v/>
      </c>
      <c r="AG288" s="15">
        <f>NORM.S.INV(RAND())</f>
        <v/>
      </c>
      <c r="AH288" s="15">
        <f>IF('组合输入'!$C8="","",'组合输入'!$H8*$B288+SQRT(1-'组合输入'!$H8^2)*AG288)</f>
        <v/>
      </c>
      <c r="AI288" s="7">
        <f>IF(AH288="","",NORM.S.DIST(AH288,TRUE))</f>
        <v/>
      </c>
      <c r="AJ288" s="13">
        <f>IF(AI288="","",IF(AI288&lt;='组合输入'!$K8,"AAA",IF(AI288&lt;='组合输入'!$L8,"AA",IF(AI288&lt;='组合输入'!$M8,"A",IF(AI288&lt;='组合输入'!$N8,"BBB",IF(AI288&lt;='组合输入'!$O8,"BB",IF(AI288&lt;='组合输入'!$P8,"B",IF(AI288&lt;='组合输入'!$Q8,"CCC","D")))))))</f>
        <v/>
      </c>
      <c r="AK288" s="12">
        <f>IF(AJ288="","",INDEX('状态价值'!$D8:$K8,MATCH(AJ288,'状态价值'!$D$1:$K$1,0)))</f>
        <v/>
      </c>
      <c r="AL288" s="15">
        <f>NORM.S.INV(RAND())</f>
        <v/>
      </c>
      <c r="AM288" s="15">
        <f>IF('组合输入'!$C9="","",'组合输入'!$H9*$B288+SQRT(1-'组合输入'!$H9^2)*AL288)</f>
        <v/>
      </c>
      <c r="AN288" s="7">
        <f>IF(AM288="","",NORM.S.DIST(AM288,TRUE))</f>
        <v/>
      </c>
      <c r="AO288" s="13">
        <f>IF(AN288="","",IF(AN288&lt;='组合输入'!$K9,"AAA",IF(AN288&lt;='组合输入'!$L9,"AA",IF(AN288&lt;='组合输入'!$M9,"A",IF(AN288&lt;='组合输入'!$N9,"BBB",IF(AN288&lt;='组合输入'!$O9,"BB",IF(AN288&lt;='组合输入'!$P9,"B",IF(AN288&lt;='组合输入'!$Q9,"CCC","D")))))))</f>
        <v/>
      </c>
      <c r="AP288" s="12">
        <f>IF(AO288="","",INDEX('状态价值'!$D9:$K9,MATCH(AO288,'状态价值'!$D$1:$K$1,0)))</f>
        <v/>
      </c>
      <c r="AQ288" s="15">
        <f>NORM.S.INV(RAND())</f>
        <v/>
      </c>
      <c r="AR288" s="15">
        <f>IF('组合输入'!$C10="","",'组合输入'!$H10*$B288+SQRT(1-'组合输入'!$H10^2)*AQ288)</f>
        <v/>
      </c>
      <c r="AS288" s="7">
        <f>IF(AR288="","",NORM.S.DIST(AR288,TRUE))</f>
        <v/>
      </c>
      <c r="AT288" s="13">
        <f>IF(AS288="","",IF(AS288&lt;='组合输入'!$K10,"AAA",IF(AS288&lt;='组合输入'!$L10,"AA",IF(AS288&lt;='组合输入'!$M10,"A",IF(AS288&lt;='组合输入'!$N10,"BBB",IF(AS288&lt;='组合输入'!$O10,"BB",IF(AS288&lt;='组合输入'!$P10,"B",IF(AS288&lt;='组合输入'!$Q10,"CCC","D")))))))</f>
        <v/>
      </c>
      <c r="AU288" s="12">
        <f>IF(AT288="","",INDEX('状态价值'!$D10:$K10,MATCH(AT288,'状态价值'!$D$1:$K$1,0)))</f>
        <v/>
      </c>
      <c r="AV288" s="15">
        <f>NORM.S.INV(RAND())</f>
        <v/>
      </c>
      <c r="AW288" s="15">
        <f>IF('组合输入'!$C11="","",'组合输入'!$H11*$B288+SQRT(1-'组合输入'!$H11^2)*AV288)</f>
        <v/>
      </c>
      <c r="AX288" s="7">
        <f>IF(AW288="","",NORM.S.DIST(AW288,TRUE))</f>
        <v/>
      </c>
      <c r="AY288" s="13">
        <f>IF(AX288="","",IF(AX288&lt;='组合输入'!$K11,"AAA",IF(AX288&lt;='组合输入'!$L11,"AA",IF(AX288&lt;='组合输入'!$M11,"A",IF(AX288&lt;='组合输入'!$N11,"BBB",IF(AX288&lt;='组合输入'!$O11,"BB",IF(AX288&lt;='组合输入'!$P11,"B",IF(AX288&lt;='组合输入'!$Q11,"CCC","D")))))))</f>
        <v/>
      </c>
      <c r="AZ288" s="12">
        <f>IF(AY288="","",INDEX('状态价值'!$D11:$K11,MATCH(AY288,'状态价值'!$D$1:$K$1,0)))</f>
        <v/>
      </c>
      <c r="BA288" s="12">
        <f>G288+L288+Q288+V288+AA288+AF288+AK288+AP288+AU288+AZ288</f>
        <v/>
      </c>
      <c r="BB288" s="12">
        <f>SUM('组合输入'!$J$2:$J$11)-BA288</f>
        <v/>
      </c>
    </row>
    <row r="289">
      <c r="A289" s="11" t="n">
        <v>288</v>
      </c>
      <c r="B289" s="14">
        <f>NORM.S.INV(RAND())</f>
        <v/>
      </c>
      <c r="C289" s="14">
        <f>NORM.S.INV(RAND())</f>
        <v/>
      </c>
      <c r="D289" s="15">
        <f>IF('组合输入'!$C2="","",'组合输入'!$H2*$B289+SQRT(1-'组合输入'!$H2^2)*C289)</f>
        <v/>
      </c>
      <c r="E289" s="7">
        <f>IF(D289="","",NORM.S.DIST(D289,TRUE))</f>
        <v/>
      </c>
      <c r="F289" s="13">
        <f>IF(E289="","",IF(E289&lt;='组合输入'!$K2,"AAA",IF(E289&lt;='组合输入'!$L2,"AA",IF(E289&lt;='组合输入'!$M2,"A",IF(E289&lt;='组合输入'!$N2,"BBB",IF(E289&lt;='组合输入'!$O2,"BB",IF(E289&lt;='组合输入'!$P2,"B",IF(E289&lt;='组合输入'!$Q2,"CCC","D")))))))</f>
        <v/>
      </c>
      <c r="G289" s="12">
        <f>IF(F289="","",INDEX('状态价值'!$D2:$K2,MATCH(F289,'状态价值'!$D$1:$K$1,0)))</f>
        <v/>
      </c>
      <c r="H289" s="15">
        <f>NORM.S.INV(RAND())</f>
        <v/>
      </c>
      <c r="I289" s="15">
        <f>IF('组合输入'!$C3="","",'组合输入'!$H3*$B289+SQRT(1-'组合输入'!$H3^2)*H289)</f>
        <v/>
      </c>
      <c r="J289" s="7">
        <f>IF(I289="","",NORM.S.DIST(I289,TRUE))</f>
        <v/>
      </c>
      <c r="K289" s="13">
        <f>IF(J289="","",IF(J289&lt;='组合输入'!$K3,"AAA",IF(J289&lt;='组合输入'!$L3,"AA",IF(J289&lt;='组合输入'!$M3,"A",IF(J289&lt;='组合输入'!$N3,"BBB",IF(J289&lt;='组合输入'!$O3,"BB",IF(J289&lt;='组合输入'!$P3,"B",IF(J289&lt;='组合输入'!$Q3,"CCC","D")))))))</f>
        <v/>
      </c>
      <c r="L289" s="12">
        <f>IF(K289="","",INDEX('状态价值'!$D3:$K3,MATCH(K289,'状态价值'!$D$1:$K$1,0)))</f>
        <v/>
      </c>
      <c r="M289" s="15">
        <f>NORM.S.INV(RAND())</f>
        <v/>
      </c>
      <c r="N289" s="15">
        <f>IF('组合输入'!$C4="","",'组合输入'!$H4*$B289+SQRT(1-'组合输入'!$H4^2)*M289)</f>
        <v/>
      </c>
      <c r="O289" s="7">
        <f>IF(N289="","",NORM.S.DIST(N289,TRUE))</f>
        <v/>
      </c>
      <c r="P289" s="13">
        <f>IF(O289="","",IF(O289&lt;='组合输入'!$K4,"AAA",IF(O289&lt;='组合输入'!$L4,"AA",IF(O289&lt;='组合输入'!$M4,"A",IF(O289&lt;='组合输入'!$N4,"BBB",IF(O289&lt;='组合输入'!$O4,"BB",IF(O289&lt;='组合输入'!$P4,"B",IF(O289&lt;='组合输入'!$Q4,"CCC","D")))))))</f>
        <v/>
      </c>
      <c r="Q289" s="12">
        <f>IF(P289="","",INDEX('状态价值'!$D4:$K4,MATCH(P289,'状态价值'!$D$1:$K$1,0)))</f>
        <v/>
      </c>
      <c r="R289" s="15">
        <f>NORM.S.INV(RAND())</f>
        <v/>
      </c>
      <c r="S289" s="15">
        <f>IF('组合输入'!$C5="","",'组合输入'!$H5*$B289+SQRT(1-'组合输入'!$H5^2)*R289)</f>
        <v/>
      </c>
      <c r="T289" s="7">
        <f>IF(S289="","",NORM.S.DIST(S289,TRUE))</f>
        <v/>
      </c>
      <c r="U289" s="13">
        <f>IF(T289="","",IF(T289&lt;='组合输入'!$K5,"AAA",IF(T289&lt;='组合输入'!$L5,"AA",IF(T289&lt;='组合输入'!$M5,"A",IF(T289&lt;='组合输入'!$N5,"BBB",IF(T289&lt;='组合输入'!$O5,"BB",IF(T289&lt;='组合输入'!$P5,"B",IF(T289&lt;='组合输入'!$Q5,"CCC","D")))))))</f>
        <v/>
      </c>
      <c r="V289" s="12">
        <f>IF(U289="","",INDEX('状态价值'!$D5:$K5,MATCH(U289,'状态价值'!$D$1:$K$1,0)))</f>
        <v/>
      </c>
      <c r="W289" s="15">
        <f>NORM.S.INV(RAND())</f>
        <v/>
      </c>
      <c r="X289" s="15">
        <f>IF('组合输入'!$C6="","",'组合输入'!$H6*$B289+SQRT(1-'组合输入'!$H6^2)*W289)</f>
        <v/>
      </c>
      <c r="Y289" s="7">
        <f>IF(X289="","",NORM.S.DIST(X289,TRUE))</f>
        <v/>
      </c>
      <c r="Z289" s="13">
        <f>IF(Y289="","",IF(Y289&lt;='组合输入'!$K6,"AAA",IF(Y289&lt;='组合输入'!$L6,"AA",IF(Y289&lt;='组合输入'!$M6,"A",IF(Y289&lt;='组合输入'!$N6,"BBB",IF(Y289&lt;='组合输入'!$O6,"BB",IF(Y289&lt;='组合输入'!$P6,"B",IF(Y289&lt;='组合输入'!$Q6,"CCC","D")))))))</f>
        <v/>
      </c>
      <c r="AA289" s="12">
        <f>IF(Z289="","",INDEX('状态价值'!$D6:$K6,MATCH(Z289,'状态价值'!$D$1:$K$1,0)))</f>
        <v/>
      </c>
      <c r="AB289" s="15">
        <f>NORM.S.INV(RAND())</f>
        <v/>
      </c>
      <c r="AC289" s="15">
        <f>IF('组合输入'!$C7="","",'组合输入'!$H7*$B289+SQRT(1-'组合输入'!$H7^2)*AB289)</f>
        <v/>
      </c>
      <c r="AD289" s="7">
        <f>IF(AC289="","",NORM.S.DIST(AC289,TRUE))</f>
        <v/>
      </c>
      <c r="AE289" s="13">
        <f>IF(AD289="","",IF(AD289&lt;='组合输入'!$K7,"AAA",IF(AD289&lt;='组合输入'!$L7,"AA",IF(AD289&lt;='组合输入'!$M7,"A",IF(AD289&lt;='组合输入'!$N7,"BBB",IF(AD289&lt;='组合输入'!$O7,"BB",IF(AD289&lt;='组合输入'!$P7,"B",IF(AD289&lt;='组合输入'!$Q7,"CCC","D")))))))</f>
        <v/>
      </c>
      <c r="AF289" s="12">
        <f>IF(AE289="","",INDEX('状态价值'!$D7:$K7,MATCH(AE289,'状态价值'!$D$1:$K$1,0)))</f>
        <v/>
      </c>
      <c r="AG289" s="15">
        <f>NORM.S.INV(RAND())</f>
        <v/>
      </c>
      <c r="AH289" s="15">
        <f>IF('组合输入'!$C8="","",'组合输入'!$H8*$B289+SQRT(1-'组合输入'!$H8^2)*AG289)</f>
        <v/>
      </c>
      <c r="AI289" s="7">
        <f>IF(AH289="","",NORM.S.DIST(AH289,TRUE))</f>
        <v/>
      </c>
      <c r="AJ289" s="13">
        <f>IF(AI289="","",IF(AI289&lt;='组合输入'!$K8,"AAA",IF(AI289&lt;='组合输入'!$L8,"AA",IF(AI289&lt;='组合输入'!$M8,"A",IF(AI289&lt;='组合输入'!$N8,"BBB",IF(AI289&lt;='组合输入'!$O8,"BB",IF(AI289&lt;='组合输入'!$P8,"B",IF(AI289&lt;='组合输入'!$Q8,"CCC","D")))))))</f>
        <v/>
      </c>
      <c r="AK289" s="12">
        <f>IF(AJ289="","",INDEX('状态价值'!$D8:$K8,MATCH(AJ289,'状态价值'!$D$1:$K$1,0)))</f>
        <v/>
      </c>
      <c r="AL289" s="15">
        <f>NORM.S.INV(RAND())</f>
        <v/>
      </c>
      <c r="AM289" s="15">
        <f>IF('组合输入'!$C9="","",'组合输入'!$H9*$B289+SQRT(1-'组合输入'!$H9^2)*AL289)</f>
        <v/>
      </c>
      <c r="AN289" s="7">
        <f>IF(AM289="","",NORM.S.DIST(AM289,TRUE))</f>
        <v/>
      </c>
      <c r="AO289" s="13">
        <f>IF(AN289="","",IF(AN289&lt;='组合输入'!$K9,"AAA",IF(AN289&lt;='组合输入'!$L9,"AA",IF(AN289&lt;='组合输入'!$M9,"A",IF(AN289&lt;='组合输入'!$N9,"BBB",IF(AN289&lt;='组合输入'!$O9,"BB",IF(AN289&lt;='组合输入'!$P9,"B",IF(AN289&lt;='组合输入'!$Q9,"CCC","D")))))))</f>
        <v/>
      </c>
      <c r="AP289" s="12">
        <f>IF(AO289="","",INDEX('状态价值'!$D9:$K9,MATCH(AO289,'状态价值'!$D$1:$K$1,0)))</f>
        <v/>
      </c>
      <c r="AQ289" s="15">
        <f>NORM.S.INV(RAND())</f>
        <v/>
      </c>
      <c r="AR289" s="15">
        <f>IF('组合输入'!$C10="","",'组合输入'!$H10*$B289+SQRT(1-'组合输入'!$H10^2)*AQ289)</f>
        <v/>
      </c>
      <c r="AS289" s="7">
        <f>IF(AR289="","",NORM.S.DIST(AR289,TRUE))</f>
        <v/>
      </c>
      <c r="AT289" s="13">
        <f>IF(AS289="","",IF(AS289&lt;='组合输入'!$K10,"AAA",IF(AS289&lt;='组合输入'!$L10,"AA",IF(AS289&lt;='组合输入'!$M10,"A",IF(AS289&lt;='组合输入'!$N10,"BBB",IF(AS289&lt;='组合输入'!$O10,"BB",IF(AS289&lt;='组合输入'!$P10,"B",IF(AS289&lt;='组合输入'!$Q10,"CCC","D")))))))</f>
        <v/>
      </c>
      <c r="AU289" s="12">
        <f>IF(AT289="","",INDEX('状态价值'!$D10:$K10,MATCH(AT289,'状态价值'!$D$1:$K$1,0)))</f>
        <v/>
      </c>
      <c r="AV289" s="15">
        <f>NORM.S.INV(RAND())</f>
        <v/>
      </c>
      <c r="AW289" s="15">
        <f>IF('组合输入'!$C11="","",'组合输入'!$H11*$B289+SQRT(1-'组合输入'!$H11^2)*AV289)</f>
        <v/>
      </c>
      <c r="AX289" s="7">
        <f>IF(AW289="","",NORM.S.DIST(AW289,TRUE))</f>
        <v/>
      </c>
      <c r="AY289" s="13">
        <f>IF(AX289="","",IF(AX289&lt;='组合输入'!$K11,"AAA",IF(AX289&lt;='组合输入'!$L11,"AA",IF(AX289&lt;='组合输入'!$M11,"A",IF(AX289&lt;='组合输入'!$N11,"BBB",IF(AX289&lt;='组合输入'!$O11,"BB",IF(AX289&lt;='组合输入'!$P11,"B",IF(AX289&lt;='组合输入'!$Q11,"CCC","D")))))))</f>
        <v/>
      </c>
      <c r="AZ289" s="12">
        <f>IF(AY289="","",INDEX('状态价值'!$D11:$K11,MATCH(AY289,'状态价值'!$D$1:$K$1,0)))</f>
        <v/>
      </c>
      <c r="BA289" s="12">
        <f>G289+L289+Q289+V289+AA289+AF289+AK289+AP289+AU289+AZ289</f>
        <v/>
      </c>
      <c r="BB289" s="12">
        <f>SUM('组合输入'!$J$2:$J$11)-BA289</f>
        <v/>
      </c>
    </row>
    <row r="290">
      <c r="A290" s="11" t="n">
        <v>289</v>
      </c>
      <c r="B290" s="14">
        <f>NORM.S.INV(RAND())</f>
        <v/>
      </c>
      <c r="C290" s="14">
        <f>NORM.S.INV(RAND())</f>
        <v/>
      </c>
      <c r="D290" s="15">
        <f>IF('组合输入'!$C2="","",'组合输入'!$H2*$B290+SQRT(1-'组合输入'!$H2^2)*C290)</f>
        <v/>
      </c>
      <c r="E290" s="7">
        <f>IF(D290="","",NORM.S.DIST(D290,TRUE))</f>
        <v/>
      </c>
      <c r="F290" s="13">
        <f>IF(E290="","",IF(E290&lt;='组合输入'!$K2,"AAA",IF(E290&lt;='组合输入'!$L2,"AA",IF(E290&lt;='组合输入'!$M2,"A",IF(E290&lt;='组合输入'!$N2,"BBB",IF(E290&lt;='组合输入'!$O2,"BB",IF(E290&lt;='组合输入'!$P2,"B",IF(E290&lt;='组合输入'!$Q2,"CCC","D")))))))</f>
        <v/>
      </c>
      <c r="G290" s="12">
        <f>IF(F290="","",INDEX('状态价值'!$D2:$K2,MATCH(F290,'状态价值'!$D$1:$K$1,0)))</f>
        <v/>
      </c>
      <c r="H290" s="15">
        <f>NORM.S.INV(RAND())</f>
        <v/>
      </c>
      <c r="I290" s="15">
        <f>IF('组合输入'!$C3="","",'组合输入'!$H3*$B290+SQRT(1-'组合输入'!$H3^2)*H290)</f>
        <v/>
      </c>
      <c r="J290" s="7">
        <f>IF(I290="","",NORM.S.DIST(I290,TRUE))</f>
        <v/>
      </c>
      <c r="K290" s="13">
        <f>IF(J290="","",IF(J290&lt;='组合输入'!$K3,"AAA",IF(J290&lt;='组合输入'!$L3,"AA",IF(J290&lt;='组合输入'!$M3,"A",IF(J290&lt;='组合输入'!$N3,"BBB",IF(J290&lt;='组合输入'!$O3,"BB",IF(J290&lt;='组合输入'!$P3,"B",IF(J290&lt;='组合输入'!$Q3,"CCC","D")))))))</f>
        <v/>
      </c>
      <c r="L290" s="12">
        <f>IF(K290="","",INDEX('状态价值'!$D3:$K3,MATCH(K290,'状态价值'!$D$1:$K$1,0)))</f>
        <v/>
      </c>
      <c r="M290" s="15">
        <f>NORM.S.INV(RAND())</f>
        <v/>
      </c>
      <c r="N290" s="15">
        <f>IF('组合输入'!$C4="","",'组合输入'!$H4*$B290+SQRT(1-'组合输入'!$H4^2)*M290)</f>
        <v/>
      </c>
      <c r="O290" s="7">
        <f>IF(N290="","",NORM.S.DIST(N290,TRUE))</f>
        <v/>
      </c>
      <c r="P290" s="13">
        <f>IF(O290="","",IF(O290&lt;='组合输入'!$K4,"AAA",IF(O290&lt;='组合输入'!$L4,"AA",IF(O290&lt;='组合输入'!$M4,"A",IF(O290&lt;='组合输入'!$N4,"BBB",IF(O290&lt;='组合输入'!$O4,"BB",IF(O290&lt;='组合输入'!$P4,"B",IF(O290&lt;='组合输入'!$Q4,"CCC","D")))))))</f>
        <v/>
      </c>
      <c r="Q290" s="12">
        <f>IF(P290="","",INDEX('状态价值'!$D4:$K4,MATCH(P290,'状态价值'!$D$1:$K$1,0)))</f>
        <v/>
      </c>
      <c r="R290" s="15">
        <f>NORM.S.INV(RAND())</f>
        <v/>
      </c>
      <c r="S290" s="15">
        <f>IF('组合输入'!$C5="","",'组合输入'!$H5*$B290+SQRT(1-'组合输入'!$H5^2)*R290)</f>
        <v/>
      </c>
      <c r="T290" s="7">
        <f>IF(S290="","",NORM.S.DIST(S290,TRUE))</f>
        <v/>
      </c>
      <c r="U290" s="13">
        <f>IF(T290="","",IF(T290&lt;='组合输入'!$K5,"AAA",IF(T290&lt;='组合输入'!$L5,"AA",IF(T290&lt;='组合输入'!$M5,"A",IF(T290&lt;='组合输入'!$N5,"BBB",IF(T290&lt;='组合输入'!$O5,"BB",IF(T290&lt;='组合输入'!$P5,"B",IF(T290&lt;='组合输入'!$Q5,"CCC","D")))))))</f>
        <v/>
      </c>
      <c r="V290" s="12">
        <f>IF(U290="","",INDEX('状态价值'!$D5:$K5,MATCH(U290,'状态价值'!$D$1:$K$1,0)))</f>
        <v/>
      </c>
      <c r="W290" s="15">
        <f>NORM.S.INV(RAND())</f>
        <v/>
      </c>
      <c r="X290" s="15">
        <f>IF('组合输入'!$C6="","",'组合输入'!$H6*$B290+SQRT(1-'组合输入'!$H6^2)*W290)</f>
        <v/>
      </c>
      <c r="Y290" s="7">
        <f>IF(X290="","",NORM.S.DIST(X290,TRUE))</f>
        <v/>
      </c>
      <c r="Z290" s="13">
        <f>IF(Y290="","",IF(Y290&lt;='组合输入'!$K6,"AAA",IF(Y290&lt;='组合输入'!$L6,"AA",IF(Y290&lt;='组合输入'!$M6,"A",IF(Y290&lt;='组合输入'!$N6,"BBB",IF(Y290&lt;='组合输入'!$O6,"BB",IF(Y290&lt;='组合输入'!$P6,"B",IF(Y290&lt;='组合输入'!$Q6,"CCC","D")))))))</f>
        <v/>
      </c>
      <c r="AA290" s="12">
        <f>IF(Z290="","",INDEX('状态价值'!$D6:$K6,MATCH(Z290,'状态价值'!$D$1:$K$1,0)))</f>
        <v/>
      </c>
      <c r="AB290" s="15">
        <f>NORM.S.INV(RAND())</f>
        <v/>
      </c>
      <c r="AC290" s="15">
        <f>IF('组合输入'!$C7="","",'组合输入'!$H7*$B290+SQRT(1-'组合输入'!$H7^2)*AB290)</f>
        <v/>
      </c>
      <c r="AD290" s="7">
        <f>IF(AC290="","",NORM.S.DIST(AC290,TRUE))</f>
        <v/>
      </c>
      <c r="AE290" s="13">
        <f>IF(AD290="","",IF(AD290&lt;='组合输入'!$K7,"AAA",IF(AD290&lt;='组合输入'!$L7,"AA",IF(AD290&lt;='组合输入'!$M7,"A",IF(AD290&lt;='组合输入'!$N7,"BBB",IF(AD290&lt;='组合输入'!$O7,"BB",IF(AD290&lt;='组合输入'!$P7,"B",IF(AD290&lt;='组合输入'!$Q7,"CCC","D")))))))</f>
        <v/>
      </c>
      <c r="AF290" s="12">
        <f>IF(AE290="","",INDEX('状态价值'!$D7:$K7,MATCH(AE290,'状态价值'!$D$1:$K$1,0)))</f>
        <v/>
      </c>
      <c r="AG290" s="15">
        <f>NORM.S.INV(RAND())</f>
        <v/>
      </c>
      <c r="AH290" s="15">
        <f>IF('组合输入'!$C8="","",'组合输入'!$H8*$B290+SQRT(1-'组合输入'!$H8^2)*AG290)</f>
        <v/>
      </c>
      <c r="AI290" s="7">
        <f>IF(AH290="","",NORM.S.DIST(AH290,TRUE))</f>
        <v/>
      </c>
      <c r="AJ290" s="13">
        <f>IF(AI290="","",IF(AI290&lt;='组合输入'!$K8,"AAA",IF(AI290&lt;='组合输入'!$L8,"AA",IF(AI290&lt;='组合输入'!$M8,"A",IF(AI290&lt;='组合输入'!$N8,"BBB",IF(AI290&lt;='组合输入'!$O8,"BB",IF(AI290&lt;='组合输入'!$P8,"B",IF(AI290&lt;='组合输入'!$Q8,"CCC","D")))))))</f>
        <v/>
      </c>
      <c r="AK290" s="12">
        <f>IF(AJ290="","",INDEX('状态价值'!$D8:$K8,MATCH(AJ290,'状态价值'!$D$1:$K$1,0)))</f>
        <v/>
      </c>
      <c r="AL290" s="15">
        <f>NORM.S.INV(RAND())</f>
        <v/>
      </c>
      <c r="AM290" s="15">
        <f>IF('组合输入'!$C9="","",'组合输入'!$H9*$B290+SQRT(1-'组合输入'!$H9^2)*AL290)</f>
        <v/>
      </c>
      <c r="AN290" s="7">
        <f>IF(AM290="","",NORM.S.DIST(AM290,TRUE))</f>
        <v/>
      </c>
      <c r="AO290" s="13">
        <f>IF(AN290="","",IF(AN290&lt;='组合输入'!$K9,"AAA",IF(AN290&lt;='组合输入'!$L9,"AA",IF(AN290&lt;='组合输入'!$M9,"A",IF(AN290&lt;='组合输入'!$N9,"BBB",IF(AN290&lt;='组合输入'!$O9,"BB",IF(AN290&lt;='组合输入'!$P9,"B",IF(AN290&lt;='组合输入'!$Q9,"CCC","D")))))))</f>
        <v/>
      </c>
      <c r="AP290" s="12">
        <f>IF(AO290="","",INDEX('状态价值'!$D9:$K9,MATCH(AO290,'状态价值'!$D$1:$K$1,0)))</f>
        <v/>
      </c>
      <c r="AQ290" s="15">
        <f>NORM.S.INV(RAND())</f>
        <v/>
      </c>
      <c r="AR290" s="15">
        <f>IF('组合输入'!$C10="","",'组合输入'!$H10*$B290+SQRT(1-'组合输入'!$H10^2)*AQ290)</f>
        <v/>
      </c>
      <c r="AS290" s="7">
        <f>IF(AR290="","",NORM.S.DIST(AR290,TRUE))</f>
        <v/>
      </c>
      <c r="AT290" s="13">
        <f>IF(AS290="","",IF(AS290&lt;='组合输入'!$K10,"AAA",IF(AS290&lt;='组合输入'!$L10,"AA",IF(AS290&lt;='组合输入'!$M10,"A",IF(AS290&lt;='组合输入'!$N10,"BBB",IF(AS290&lt;='组合输入'!$O10,"BB",IF(AS290&lt;='组合输入'!$P10,"B",IF(AS290&lt;='组合输入'!$Q10,"CCC","D")))))))</f>
        <v/>
      </c>
      <c r="AU290" s="12">
        <f>IF(AT290="","",INDEX('状态价值'!$D10:$K10,MATCH(AT290,'状态价值'!$D$1:$K$1,0)))</f>
        <v/>
      </c>
      <c r="AV290" s="15">
        <f>NORM.S.INV(RAND())</f>
        <v/>
      </c>
      <c r="AW290" s="15">
        <f>IF('组合输入'!$C11="","",'组合输入'!$H11*$B290+SQRT(1-'组合输入'!$H11^2)*AV290)</f>
        <v/>
      </c>
      <c r="AX290" s="7">
        <f>IF(AW290="","",NORM.S.DIST(AW290,TRUE))</f>
        <v/>
      </c>
      <c r="AY290" s="13">
        <f>IF(AX290="","",IF(AX290&lt;='组合输入'!$K11,"AAA",IF(AX290&lt;='组合输入'!$L11,"AA",IF(AX290&lt;='组合输入'!$M11,"A",IF(AX290&lt;='组合输入'!$N11,"BBB",IF(AX290&lt;='组合输入'!$O11,"BB",IF(AX290&lt;='组合输入'!$P11,"B",IF(AX290&lt;='组合输入'!$Q11,"CCC","D")))))))</f>
        <v/>
      </c>
      <c r="AZ290" s="12">
        <f>IF(AY290="","",INDEX('状态价值'!$D11:$K11,MATCH(AY290,'状态价值'!$D$1:$K$1,0)))</f>
        <v/>
      </c>
      <c r="BA290" s="12">
        <f>G290+L290+Q290+V290+AA290+AF290+AK290+AP290+AU290+AZ290</f>
        <v/>
      </c>
      <c r="BB290" s="12">
        <f>SUM('组合输入'!$J$2:$J$11)-BA290</f>
        <v/>
      </c>
    </row>
    <row r="291">
      <c r="A291" s="11" t="n">
        <v>290</v>
      </c>
      <c r="B291" s="14">
        <f>NORM.S.INV(RAND())</f>
        <v/>
      </c>
      <c r="C291" s="14">
        <f>NORM.S.INV(RAND())</f>
        <v/>
      </c>
      <c r="D291" s="15">
        <f>IF('组合输入'!$C2="","",'组合输入'!$H2*$B291+SQRT(1-'组合输入'!$H2^2)*C291)</f>
        <v/>
      </c>
      <c r="E291" s="7">
        <f>IF(D291="","",NORM.S.DIST(D291,TRUE))</f>
        <v/>
      </c>
      <c r="F291" s="13">
        <f>IF(E291="","",IF(E291&lt;='组合输入'!$K2,"AAA",IF(E291&lt;='组合输入'!$L2,"AA",IF(E291&lt;='组合输入'!$M2,"A",IF(E291&lt;='组合输入'!$N2,"BBB",IF(E291&lt;='组合输入'!$O2,"BB",IF(E291&lt;='组合输入'!$P2,"B",IF(E291&lt;='组合输入'!$Q2,"CCC","D")))))))</f>
        <v/>
      </c>
      <c r="G291" s="12">
        <f>IF(F291="","",INDEX('状态价值'!$D2:$K2,MATCH(F291,'状态价值'!$D$1:$K$1,0)))</f>
        <v/>
      </c>
      <c r="H291" s="15">
        <f>NORM.S.INV(RAND())</f>
        <v/>
      </c>
      <c r="I291" s="15">
        <f>IF('组合输入'!$C3="","",'组合输入'!$H3*$B291+SQRT(1-'组合输入'!$H3^2)*H291)</f>
        <v/>
      </c>
      <c r="J291" s="7">
        <f>IF(I291="","",NORM.S.DIST(I291,TRUE))</f>
        <v/>
      </c>
      <c r="K291" s="13">
        <f>IF(J291="","",IF(J291&lt;='组合输入'!$K3,"AAA",IF(J291&lt;='组合输入'!$L3,"AA",IF(J291&lt;='组合输入'!$M3,"A",IF(J291&lt;='组合输入'!$N3,"BBB",IF(J291&lt;='组合输入'!$O3,"BB",IF(J291&lt;='组合输入'!$P3,"B",IF(J291&lt;='组合输入'!$Q3,"CCC","D")))))))</f>
        <v/>
      </c>
      <c r="L291" s="12">
        <f>IF(K291="","",INDEX('状态价值'!$D3:$K3,MATCH(K291,'状态价值'!$D$1:$K$1,0)))</f>
        <v/>
      </c>
      <c r="M291" s="15">
        <f>NORM.S.INV(RAND())</f>
        <v/>
      </c>
      <c r="N291" s="15">
        <f>IF('组合输入'!$C4="","",'组合输入'!$H4*$B291+SQRT(1-'组合输入'!$H4^2)*M291)</f>
        <v/>
      </c>
      <c r="O291" s="7">
        <f>IF(N291="","",NORM.S.DIST(N291,TRUE))</f>
        <v/>
      </c>
      <c r="P291" s="13">
        <f>IF(O291="","",IF(O291&lt;='组合输入'!$K4,"AAA",IF(O291&lt;='组合输入'!$L4,"AA",IF(O291&lt;='组合输入'!$M4,"A",IF(O291&lt;='组合输入'!$N4,"BBB",IF(O291&lt;='组合输入'!$O4,"BB",IF(O291&lt;='组合输入'!$P4,"B",IF(O291&lt;='组合输入'!$Q4,"CCC","D")))))))</f>
        <v/>
      </c>
      <c r="Q291" s="12">
        <f>IF(P291="","",INDEX('状态价值'!$D4:$K4,MATCH(P291,'状态价值'!$D$1:$K$1,0)))</f>
        <v/>
      </c>
      <c r="R291" s="15">
        <f>NORM.S.INV(RAND())</f>
        <v/>
      </c>
      <c r="S291" s="15">
        <f>IF('组合输入'!$C5="","",'组合输入'!$H5*$B291+SQRT(1-'组合输入'!$H5^2)*R291)</f>
        <v/>
      </c>
      <c r="T291" s="7">
        <f>IF(S291="","",NORM.S.DIST(S291,TRUE))</f>
        <v/>
      </c>
      <c r="U291" s="13">
        <f>IF(T291="","",IF(T291&lt;='组合输入'!$K5,"AAA",IF(T291&lt;='组合输入'!$L5,"AA",IF(T291&lt;='组合输入'!$M5,"A",IF(T291&lt;='组合输入'!$N5,"BBB",IF(T291&lt;='组合输入'!$O5,"BB",IF(T291&lt;='组合输入'!$P5,"B",IF(T291&lt;='组合输入'!$Q5,"CCC","D")))))))</f>
        <v/>
      </c>
      <c r="V291" s="12">
        <f>IF(U291="","",INDEX('状态价值'!$D5:$K5,MATCH(U291,'状态价值'!$D$1:$K$1,0)))</f>
        <v/>
      </c>
      <c r="W291" s="15">
        <f>NORM.S.INV(RAND())</f>
        <v/>
      </c>
      <c r="X291" s="15">
        <f>IF('组合输入'!$C6="","",'组合输入'!$H6*$B291+SQRT(1-'组合输入'!$H6^2)*W291)</f>
        <v/>
      </c>
      <c r="Y291" s="7">
        <f>IF(X291="","",NORM.S.DIST(X291,TRUE))</f>
        <v/>
      </c>
      <c r="Z291" s="13">
        <f>IF(Y291="","",IF(Y291&lt;='组合输入'!$K6,"AAA",IF(Y291&lt;='组合输入'!$L6,"AA",IF(Y291&lt;='组合输入'!$M6,"A",IF(Y291&lt;='组合输入'!$N6,"BBB",IF(Y291&lt;='组合输入'!$O6,"BB",IF(Y291&lt;='组合输入'!$P6,"B",IF(Y291&lt;='组合输入'!$Q6,"CCC","D")))))))</f>
        <v/>
      </c>
      <c r="AA291" s="12">
        <f>IF(Z291="","",INDEX('状态价值'!$D6:$K6,MATCH(Z291,'状态价值'!$D$1:$K$1,0)))</f>
        <v/>
      </c>
      <c r="AB291" s="15">
        <f>NORM.S.INV(RAND())</f>
        <v/>
      </c>
      <c r="AC291" s="15">
        <f>IF('组合输入'!$C7="","",'组合输入'!$H7*$B291+SQRT(1-'组合输入'!$H7^2)*AB291)</f>
        <v/>
      </c>
      <c r="AD291" s="7">
        <f>IF(AC291="","",NORM.S.DIST(AC291,TRUE))</f>
        <v/>
      </c>
      <c r="AE291" s="13">
        <f>IF(AD291="","",IF(AD291&lt;='组合输入'!$K7,"AAA",IF(AD291&lt;='组合输入'!$L7,"AA",IF(AD291&lt;='组合输入'!$M7,"A",IF(AD291&lt;='组合输入'!$N7,"BBB",IF(AD291&lt;='组合输入'!$O7,"BB",IF(AD291&lt;='组合输入'!$P7,"B",IF(AD291&lt;='组合输入'!$Q7,"CCC","D")))))))</f>
        <v/>
      </c>
      <c r="AF291" s="12">
        <f>IF(AE291="","",INDEX('状态价值'!$D7:$K7,MATCH(AE291,'状态价值'!$D$1:$K$1,0)))</f>
        <v/>
      </c>
      <c r="AG291" s="15">
        <f>NORM.S.INV(RAND())</f>
        <v/>
      </c>
      <c r="AH291" s="15">
        <f>IF('组合输入'!$C8="","",'组合输入'!$H8*$B291+SQRT(1-'组合输入'!$H8^2)*AG291)</f>
        <v/>
      </c>
      <c r="AI291" s="7">
        <f>IF(AH291="","",NORM.S.DIST(AH291,TRUE))</f>
        <v/>
      </c>
      <c r="AJ291" s="13">
        <f>IF(AI291="","",IF(AI291&lt;='组合输入'!$K8,"AAA",IF(AI291&lt;='组合输入'!$L8,"AA",IF(AI291&lt;='组合输入'!$M8,"A",IF(AI291&lt;='组合输入'!$N8,"BBB",IF(AI291&lt;='组合输入'!$O8,"BB",IF(AI291&lt;='组合输入'!$P8,"B",IF(AI291&lt;='组合输入'!$Q8,"CCC","D")))))))</f>
        <v/>
      </c>
      <c r="AK291" s="12">
        <f>IF(AJ291="","",INDEX('状态价值'!$D8:$K8,MATCH(AJ291,'状态价值'!$D$1:$K$1,0)))</f>
        <v/>
      </c>
      <c r="AL291" s="15">
        <f>NORM.S.INV(RAND())</f>
        <v/>
      </c>
      <c r="AM291" s="15">
        <f>IF('组合输入'!$C9="","",'组合输入'!$H9*$B291+SQRT(1-'组合输入'!$H9^2)*AL291)</f>
        <v/>
      </c>
      <c r="AN291" s="7">
        <f>IF(AM291="","",NORM.S.DIST(AM291,TRUE))</f>
        <v/>
      </c>
      <c r="AO291" s="13">
        <f>IF(AN291="","",IF(AN291&lt;='组合输入'!$K9,"AAA",IF(AN291&lt;='组合输入'!$L9,"AA",IF(AN291&lt;='组合输入'!$M9,"A",IF(AN291&lt;='组合输入'!$N9,"BBB",IF(AN291&lt;='组合输入'!$O9,"BB",IF(AN291&lt;='组合输入'!$P9,"B",IF(AN291&lt;='组合输入'!$Q9,"CCC","D")))))))</f>
        <v/>
      </c>
      <c r="AP291" s="12">
        <f>IF(AO291="","",INDEX('状态价值'!$D9:$K9,MATCH(AO291,'状态价值'!$D$1:$K$1,0)))</f>
        <v/>
      </c>
      <c r="AQ291" s="15">
        <f>NORM.S.INV(RAND())</f>
        <v/>
      </c>
      <c r="AR291" s="15">
        <f>IF('组合输入'!$C10="","",'组合输入'!$H10*$B291+SQRT(1-'组合输入'!$H10^2)*AQ291)</f>
        <v/>
      </c>
      <c r="AS291" s="7">
        <f>IF(AR291="","",NORM.S.DIST(AR291,TRUE))</f>
        <v/>
      </c>
      <c r="AT291" s="13">
        <f>IF(AS291="","",IF(AS291&lt;='组合输入'!$K10,"AAA",IF(AS291&lt;='组合输入'!$L10,"AA",IF(AS291&lt;='组合输入'!$M10,"A",IF(AS291&lt;='组合输入'!$N10,"BBB",IF(AS291&lt;='组合输入'!$O10,"BB",IF(AS291&lt;='组合输入'!$P10,"B",IF(AS291&lt;='组合输入'!$Q10,"CCC","D")))))))</f>
        <v/>
      </c>
      <c r="AU291" s="12">
        <f>IF(AT291="","",INDEX('状态价值'!$D10:$K10,MATCH(AT291,'状态价值'!$D$1:$K$1,0)))</f>
        <v/>
      </c>
      <c r="AV291" s="15">
        <f>NORM.S.INV(RAND())</f>
        <v/>
      </c>
      <c r="AW291" s="15">
        <f>IF('组合输入'!$C11="","",'组合输入'!$H11*$B291+SQRT(1-'组合输入'!$H11^2)*AV291)</f>
        <v/>
      </c>
      <c r="AX291" s="7">
        <f>IF(AW291="","",NORM.S.DIST(AW291,TRUE))</f>
        <v/>
      </c>
      <c r="AY291" s="13">
        <f>IF(AX291="","",IF(AX291&lt;='组合输入'!$K11,"AAA",IF(AX291&lt;='组合输入'!$L11,"AA",IF(AX291&lt;='组合输入'!$M11,"A",IF(AX291&lt;='组合输入'!$N11,"BBB",IF(AX291&lt;='组合输入'!$O11,"BB",IF(AX291&lt;='组合输入'!$P11,"B",IF(AX291&lt;='组合输入'!$Q11,"CCC","D")))))))</f>
        <v/>
      </c>
      <c r="AZ291" s="12">
        <f>IF(AY291="","",INDEX('状态价值'!$D11:$K11,MATCH(AY291,'状态价值'!$D$1:$K$1,0)))</f>
        <v/>
      </c>
      <c r="BA291" s="12">
        <f>G291+L291+Q291+V291+AA291+AF291+AK291+AP291+AU291+AZ291</f>
        <v/>
      </c>
      <c r="BB291" s="12">
        <f>SUM('组合输入'!$J$2:$J$11)-BA291</f>
        <v/>
      </c>
    </row>
    <row r="292">
      <c r="A292" s="11" t="n">
        <v>291</v>
      </c>
      <c r="B292" s="14">
        <f>NORM.S.INV(RAND())</f>
        <v/>
      </c>
      <c r="C292" s="14">
        <f>NORM.S.INV(RAND())</f>
        <v/>
      </c>
      <c r="D292" s="15">
        <f>IF('组合输入'!$C2="","",'组合输入'!$H2*$B292+SQRT(1-'组合输入'!$H2^2)*C292)</f>
        <v/>
      </c>
      <c r="E292" s="7">
        <f>IF(D292="","",NORM.S.DIST(D292,TRUE))</f>
        <v/>
      </c>
      <c r="F292" s="13">
        <f>IF(E292="","",IF(E292&lt;='组合输入'!$K2,"AAA",IF(E292&lt;='组合输入'!$L2,"AA",IF(E292&lt;='组合输入'!$M2,"A",IF(E292&lt;='组合输入'!$N2,"BBB",IF(E292&lt;='组合输入'!$O2,"BB",IF(E292&lt;='组合输入'!$P2,"B",IF(E292&lt;='组合输入'!$Q2,"CCC","D")))))))</f>
        <v/>
      </c>
      <c r="G292" s="12">
        <f>IF(F292="","",INDEX('状态价值'!$D2:$K2,MATCH(F292,'状态价值'!$D$1:$K$1,0)))</f>
        <v/>
      </c>
      <c r="H292" s="15">
        <f>NORM.S.INV(RAND())</f>
        <v/>
      </c>
      <c r="I292" s="15">
        <f>IF('组合输入'!$C3="","",'组合输入'!$H3*$B292+SQRT(1-'组合输入'!$H3^2)*H292)</f>
        <v/>
      </c>
      <c r="J292" s="7">
        <f>IF(I292="","",NORM.S.DIST(I292,TRUE))</f>
        <v/>
      </c>
      <c r="K292" s="13">
        <f>IF(J292="","",IF(J292&lt;='组合输入'!$K3,"AAA",IF(J292&lt;='组合输入'!$L3,"AA",IF(J292&lt;='组合输入'!$M3,"A",IF(J292&lt;='组合输入'!$N3,"BBB",IF(J292&lt;='组合输入'!$O3,"BB",IF(J292&lt;='组合输入'!$P3,"B",IF(J292&lt;='组合输入'!$Q3,"CCC","D")))))))</f>
        <v/>
      </c>
      <c r="L292" s="12">
        <f>IF(K292="","",INDEX('状态价值'!$D3:$K3,MATCH(K292,'状态价值'!$D$1:$K$1,0)))</f>
        <v/>
      </c>
      <c r="M292" s="15">
        <f>NORM.S.INV(RAND())</f>
        <v/>
      </c>
      <c r="N292" s="15">
        <f>IF('组合输入'!$C4="","",'组合输入'!$H4*$B292+SQRT(1-'组合输入'!$H4^2)*M292)</f>
        <v/>
      </c>
      <c r="O292" s="7">
        <f>IF(N292="","",NORM.S.DIST(N292,TRUE))</f>
        <v/>
      </c>
      <c r="P292" s="13">
        <f>IF(O292="","",IF(O292&lt;='组合输入'!$K4,"AAA",IF(O292&lt;='组合输入'!$L4,"AA",IF(O292&lt;='组合输入'!$M4,"A",IF(O292&lt;='组合输入'!$N4,"BBB",IF(O292&lt;='组合输入'!$O4,"BB",IF(O292&lt;='组合输入'!$P4,"B",IF(O292&lt;='组合输入'!$Q4,"CCC","D")))))))</f>
        <v/>
      </c>
      <c r="Q292" s="12">
        <f>IF(P292="","",INDEX('状态价值'!$D4:$K4,MATCH(P292,'状态价值'!$D$1:$K$1,0)))</f>
        <v/>
      </c>
      <c r="R292" s="15">
        <f>NORM.S.INV(RAND())</f>
        <v/>
      </c>
      <c r="S292" s="15">
        <f>IF('组合输入'!$C5="","",'组合输入'!$H5*$B292+SQRT(1-'组合输入'!$H5^2)*R292)</f>
        <v/>
      </c>
      <c r="T292" s="7">
        <f>IF(S292="","",NORM.S.DIST(S292,TRUE))</f>
        <v/>
      </c>
      <c r="U292" s="13">
        <f>IF(T292="","",IF(T292&lt;='组合输入'!$K5,"AAA",IF(T292&lt;='组合输入'!$L5,"AA",IF(T292&lt;='组合输入'!$M5,"A",IF(T292&lt;='组合输入'!$N5,"BBB",IF(T292&lt;='组合输入'!$O5,"BB",IF(T292&lt;='组合输入'!$P5,"B",IF(T292&lt;='组合输入'!$Q5,"CCC","D")))))))</f>
        <v/>
      </c>
      <c r="V292" s="12">
        <f>IF(U292="","",INDEX('状态价值'!$D5:$K5,MATCH(U292,'状态价值'!$D$1:$K$1,0)))</f>
        <v/>
      </c>
      <c r="W292" s="15">
        <f>NORM.S.INV(RAND())</f>
        <v/>
      </c>
      <c r="X292" s="15">
        <f>IF('组合输入'!$C6="","",'组合输入'!$H6*$B292+SQRT(1-'组合输入'!$H6^2)*W292)</f>
        <v/>
      </c>
      <c r="Y292" s="7">
        <f>IF(X292="","",NORM.S.DIST(X292,TRUE))</f>
        <v/>
      </c>
      <c r="Z292" s="13">
        <f>IF(Y292="","",IF(Y292&lt;='组合输入'!$K6,"AAA",IF(Y292&lt;='组合输入'!$L6,"AA",IF(Y292&lt;='组合输入'!$M6,"A",IF(Y292&lt;='组合输入'!$N6,"BBB",IF(Y292&lt;='组合输入'!$O6,"BB",IF(Y292&lt;='组合输入'!$P6,"B",IF(Y292&lt;='组合输入'!$Q6,"CCC","D")))))))</f>
        <v/>
      </c>
      <c r="AA292" s="12">
        <f>IF(Z292="","",INDEX('状态价值'!$D6:$K6,MATCH(Z292,'状态价值'!$D$1:$K$1,0)))</f>
        <v/>
      </c>
      <c r="AB292" s="15">
        <f>NORM.S.INV(RAND())</f>
        <v/>
      </c>
      <c r="AC292" s="15">
        <f>IF('组合输入'!$C7="","",'组合输入'!$H7*$B292+SQRT(1-'组合输入'!$H7^2)*AB292)</f>
        <v/>
      </c>
      <c r="AD292" s="7">
        <f>IF(AC292="","",NORM.S.DIST(AC292,TRUE))</f>
        <v/>
      </c>
      <c r="AE292" s="13">
        <f>IF(AD292="","",IF(AD292&lt;='组合输入'!$K7,"AAA",IF(AD292&lt;='组合输入'!$L7,"AA",IF(AD292&lt;='组合输入'!$M7,"A",IF(AD292&lt;='组合输入'!$N7,"BBB",IF(AD292&lt;='组合输入'!$O7,"BB",IF(AD292&lt;='组合输入'!$P7,"B",IF(AD292&lt;='组合输入'!$Q7,"CCC","D")))))))</f>
        <v/>
      </c>
      <c r="AF292" s="12">
        <f>IF(AE292="","",INDEX('状态价值'!$D7:$K7,MATCH(AE292,'状态价值'!$D$1:$K$1,0)))</f>
        <v/>
      </c>
      <c r="AG292" s="15">
        <f>NORM.S.INV(RAND())</f>
        <v/>
      </c>
      <c r="AH292" s="15">
        <f>IF('组合输入'!$C8="","",'组合输入'!$H8*$B292+SQRT(1-'组合输入'!$H8^2)*AG292)</f>
        <v/>
      </c>
      <c r="AI292" s="7">
        <f>IF(AH292="","",NORM.S.DIST(AH292,TRUE))</f>
        <v/>
      </c>
      <c r="AJ292" s="13">
        <f>IF(AI292="","",IF(AI292&lt;='组合输入'!$K8,"AAA",IF(AI292&lt;='组合输入'!$L8,"AA",IF(AI292&lt;='组合输入'!$M8,"A",IF(AI292&lt;='组合输入'!$N8,"BBB",IF(AI292&lt;='组合输入'!$O8,"BB",IF(AI292&lt;='组合输入'!$P8,"B",IF(AI292&lt;='组合输入'!$Q8,"CCC","D")))))))</f>
        <v/>
      </c>
      <c r="AK292" s="12">
        <f>IF(AJ292="","",INDEX('状态价值'!$D8:$K8,MATCH(AJ292,'状态价值'!$D$1:$K$1,0)))</f>
        <v/>
      </c>
      <c r="AL292" s="15">
        <f>NORM.S.INV(RAND())</f>
        <v/>
      </c>
      <c r="AM292" s="15">
        <f>IF('组合输入'!$C9="","",'组合输入'!$H9*$B292+SQRT(1-'组合输入'!$H9^2)*AL292)</f>
        <v/>
      </c>
      <c r="AN292" s="7">
        <f>IF(AM292="","",NORM.S.DIST(AM292,TRUE))</f>
        <v/>
      </c>
      <c r="AO292" s="13">
        <f>IF(AN292="","",IF(AN292&lt;='组合输入'!$K9,"AAA",IF(AN292&lt;='组合输入'!$L9,"AA",IF(AN292&lt;='组合输入'!$M9,"A",IF(AN292&lt;='组合输入'!$N9,"BBB",IF(AN292&lt;='组合输入'!$O9,"BB",IF(AN292&lt;='组合输入'!$P9,"B",IF(AN292&lt;='组合输入'!$Q9,"CCC","D")))))))</f>
        <v/>
      </c>
      <c r="AP292" s="12">
        <f>IF(AO292="","",INDEX('状态价值'!$D9:$K9,MATCH(AO292,'状态价值'!$D$1:$K$1,0)))</f>
        <v/>
      </c>
      <c r="AQ292" s="15">
        <f>NORM.S.INV(RAND())</f>
        <v/>
      </c>
      <c r="AR292" s="15">
        <f>IF('组合输入'!$C10="","",'组合输入'!$H10*$B292+SQRT(1-'组合输入'!$H10^2)*AQ292)</f>
        <v/>
      </c>
      <c r="AS292" s="7">
        <f>IF(AR292="","",NORM.S.DIST(AR292,TRUE))</f>
        <v/>
      </c>
      <c r="AT292" s="13">
        <f>IF(AS292="","",IF(AS292&lt;='组合输入'!$K10,"AAA",IF(AS292&lt;='组合输入'!$L10,"AA",IF(AS292&lt;='组合输入'!$M10,"A",IF(AS292&lt;='组合输入'!$N10,"BBB",IF(AS292&lt;='组合输入'!$O10,"BB",IF(AS292&lt;='组合输入'!$P10,"B",IF(AS292&lt;='组合输入'!$Q10,"CCC","D")))))))</f>
        <v/>
      </c>
      <c r="AU292" s="12">
        <f>IF(AT292="","",INDEX('状态价值'!$D10:$K10,MATCH(AT292,'状态价值'!$D$1:$K$1,0)))</f>
        <v/>
      </c>
      <c r="AV292" s="15">
        <f>NORM.S.INV(RAND())</f>
        <v/>
      </c>
      <c r="AW292" s="15">
        <f>IF('组合输入'!$C11="","",'组合输入'!$H11*$B292+SQRT(1-'组合输入'!$H11^2)*AV292)</f>
        <v/>
      </c>
      <c r="AX292" s="7">
        <f>IF(AW292="","",NORM.S.DIST(AW292,TRUE))</f>
        <v/>
      </c>
      <c r="AY292" s="13">
        <f>IF(AX292="","",IF(AX292&lt;='组合输入'!$K11,"AAA",IF(AX292&lt;='组合输入'!$L11,"AA",IF(AX292&lt;='组合输入'!$M11,"A",IF(AX292&lt;='组合输入'!$N11,"BBB",IF(AX292&lt;='组合输入'!$O11,"BB",IF(AX292&lt;='组合输入'!$P11,"B",IF(AX292&lt;='组合输入'!$Q11,"CCC","D")))))))</f>
        <v/>
      </c>
      <c r="AZ292" s="12">
        <f>IF(AY292="","",INDEX('状态价值'!$D11:$K11,MATCH(AY292,'状态价值'!$D$1:$K$1,0)))</f>
        <v/>
      </c>
      <c r="BA292" s="12">
        <f>G292+L292+Q292+V292+AA292+AF292+AK292+AP292+AU292+AZ292</f>
        <v/>
      </c>
      <c r="BB292" s="12">
        <f>SUM('组合输入'!$J$2:$J$11)-BA292</f>
        <v/>
      </c>
    </row>
    <row r="293">
      <c r="A293" s="11" t="n">
        <v>292</v>
      </c>
      <c r="B293" s="14">
        <f>NORM.S.INV(RAND())</f>
        <v/>
      </c>
      <c r="C293" s="14">
        <f>NORM.S.INV(RAND())</f>
        <v/>
      </c>
      <c r="D293" s="15">
        <f>IF('组合输入'!$C2="","",'组合输入'!$H2*$B293+SQRT(1-'组合输入'!$H2^2)*C293)</f>
        <v/>
      </c>
      <c r="E293" s="7">
        <f>IF(D293="","",NORM.S.DIST(D293,TRUE))</f>
        <v/>
      </c>
      <c r="F293" s="13">
        <f>IF(E293="","",IF(E293&lt;='组合输入'!$K2,"AAA",IF(E293&lt;='组合输入'!$L2,"AA",IF(E293&lt;='组合输入'!$M2,"A",IF(E293&lt;='组合输入'!$N2,"BBB",IF(E293&lt;='组合输入'!$O2,"BB",IF(E293&lt;='组合输入'!$P2,"B",IF(E293&lt;='组合输入'!$Q2,"CCC","D")))))))</f>
        <v/>
      </c>
      <c r="G293" s="12">
        <f>IF(F293="","",INDEX('状态价值'!$D2:$K2,MATCH(F293,'状态价值'!$D$1:$K$1,0)))</f>
        <v/>
      </c>
      <c r="H293" s="15">
        <f>NORM.S.INV(RAND())</f>
        <v/>
      </c>
      <c r="I293" s="15">
        <f>IF('组合输入'!$C3="","",'组合输入'!$H3*$B293+SQRT(1-'组合输入'!$H3^2)*H293)</f>
        <v/>
      </c>
      <c r="J293" s="7">
        <f>IF(I293="","",NORM.S.DIST(I293,TRUE))</f>
        <v/>
      </c>
      <c r="K293" s="13">
        <f>IF(J293="","",IF(J293&lt;='组合输入'!$K3,"AAA",IF(J293&lt;='组合输入'!$L3,"AA",IF(J293&lt;='组合输入'!$M3,"A",IF(J293&lt;='组合输入'!$N3,"BBB",IF(J293&lt;='组合输入'!$O3,"BB",IF(J293&lt;='组合输入'!$P3,"B",IF(J293&lt;='组合输入'!$Q3,"CCC","D")))))))</f>
        <v/>
      </c>
      <c r="L293" s="12">
        <f>IF(K293="","",INDEX('状态价值'!$D3:$K3,MATCH(K293,'状态价值'!$D$1:$K$1,0)))</f>
        <v/>
      </c>
      <c r="M293" s="15">
        <f>NORM.S.INV(RAND())</f>
        <v/>
      </c>
      <c r="N293" s="15">
        <f>IF('组合输入'!$C4="","",'组合输入'!$H4*$B293+SQRT(1-'组合输入'!$H4^2)*M293)</f>
        <v/>
      </c>
      <c r="O293" s="7">
        <f>IF(N293="","",NORM.S.DIST(N293,TRUE))</f>
        <v/>
      </c>
      <c r="P293" s="13">
        <f>IF(O293="","",IF(O293&lt;='组合输入'!$K4,"AAA",IF(O293&lt;='组合输入'!$L4,"AA",IF(O293&lt;='组合输入'!$M4,"A",IF(O293&lt;='组合输入'!$N4,"BBB",IF(O293&lt;='组合输入'!$O4,"BB",IF(O293&lt;='组合输入'!$P4,"B",IF(O293&lt;='组合输入'!$Q4,"CCC","D")))))))</f>
        <v/>
      </c>
      <c r="Q293" s="12">
        <f>IF(P293="","",INDEX('状态价值'!$D4:$K4,MATCH(P293,'状态价值'!$D$1:$K$1,0)))</f>
        <v/>
      </c>
      <c r="R293" s="15">
        <f>NORM.S.INV(RAND())</f>
        <v/>
      </c>
      <c r="S293" s="15">
        <f>IF('组合输入'!$C5="","",'组合输入'!$H5*$B293+SQRT(1-'组合输入'!$H5^2)*R293)</f>
        <v/>
      </c>
      <c r="T293" s="7">
        <f>IF(S293="","",NORM.S.DIST(S293,TRUE))</f>
        <v/>
      </c>
      <c r="U293" s="13">
        <f>IF(T293="","",IF(T293&lt;='组合输入'!$K5,"AAA",IF(T293&lt;='组合输入'!$L5,"AA",IF(T293&lt;='组合输入'!$M5,"A",IF(T293&lt;='组合输入'!$N5,"BBB",IF(T293&lt;='组合输入'!$O5,"BB",IF(T293&lt;='组合输入'!$P5,"B",IF(T293&lt;='组合输入'!$Q5,"CCC","D")))))))</f>
        <v/>
      </c>
      <c r="V293" s="12">
        <f>IF(U293="","",INDEX('状态价值'!$D5:$K5,MATCH(U293,'状态价值'!$D$1:$K$1,0)))</f>
        <v/>
      </c>
      <c r="W293" s="15">
        <f>NORM.S.INV(RAND())</f>
        <v/>
      </c>
      <c r="X293" s="15">
        <f>IF('组合输入'!$C6="","",'组合输入'!$H6*$B293+SQRT(1-'组合输入'!$H6^2)*W293)</f>
        <v/>
      </c>
      <c r="Y293" s="7">
        <f>IF(X293="","",NORM.S.DIST(X293,TRUE))</f>
        <v/>
      </c>
      <c r="Z293" s="13">
        <f>IF(Y293="","",IF(Y293&lt;='组合输入'!$K6,"AAA",IF(Y293&lt;='组合输入'!$L6,"AA",IF(Y293&lt;='组合输入'!$M6,"A",IF(Y293&lt;='组合输入'!$N6,"BBB",IF(Y293&lt;='组合输入'!$O6,"BB",IF(Y293&lt;='组合输入'!$P6,"B",IF(Y293&lt;='组合输入'!$Q6,"CCC","D")))))))</f>
        <v/>
      </c>
      <c r="AA293" s="12">
        <f>IF(Z293="","",INDEX('状态价值'!$D6:$K6,MATCH(Z293,'状态价值'!$D$1:$K$1,0)))</f>
        <v/>
      </c>
      <c r="AB293" s="15">
        <f>NORM.S.INV(RAND())</f>
        <v/>
      </c>
      <c r="AC293" s="15">
        <f>IF('组合输入'!$C7="","",'组合输入'!$H7*$B293+SQRT(1-'组合输入'!$H7^2)*AB293)</f>
        <v/>
      </c>
      <c r="AD293" s="7">
        <f>IF(AC293="","",NORM.S.DIST(AC293,TRUE))</f>
        <v/>
      </c>
      <c r="AE293" s="13">
        <f>IF(AD293="","",IF(AD293&lt;='组合输入'!$K7,"AAA",IF(AD293&lt;='组合输入'!$L7,"AA",IF(AD293&lt;='组合输入'!$M7,"A",IF(AD293&lt;='组合输入'!$N7,"BBB",IF(AD293&lt;='组合输入'!$O7,"BB",IF(AD293&lt;='组合输入'!$P7,"B",IF(AD293&lt;='组合输入'!$Q7,"CCC","D")))))))</f>
        <v/>
      </c>
      <c r="AF293" s="12">
        <f>IF(AE293="","",INDEX('状态价值'!$D7:$K7,MATCH(AE293,'状态价值'!$D$1:$K$1,0)))</f>
        <v/>
      </c>
      <c r="AG293" s="15">
        <f>NORM.S.INV(RAND())</f>
        <v/>
      </c>
      <c r="AH293" s="15">
        <f>IF('组合输入'!$C8="","",'组合输入'!$H8*$B293+SQRT(1-'组合输入'!$H8^2)*AG293)</f>
        <v/>
      </c>
      <c r="AI293" s="7">
        <f>IF(AH293="","",NORM.S.DIST(AH293,TRUE))</f>
        <v/>
      </c>
      <c r="AJ293" s="13">
        <f>IF(AI293="","",IF(AI293&lt;='组合输入'!$K8,"AAA",IF(AI293&lt;='组合输入'!$L8,"AA",IF(AI293&lt;='组合输入'!$M8,"A",IF(AI293&lt;='组合输入'!$N8,"BBB",IF(AI293&lt;='组合输入'!$O8,"BB",IF(AI293&lt;='组合输入'!$P8,"B",IF(AI293&lt;='组合输入'!$Q8,"CCC","D")))))))</f>
        <v/>
      </c>
      <c r="AK293" s="12">
        <f>IF(AJ293="","",INDEX('状态价值'!$D8:$K8,MATCH(AJ293,'状态价值'!$D$1:$K$1,0)))</f>
        <v/>
      </c>
      <c r="AL293" s="15">
        <f>NORM.S.INV(RAND())</f>
        <v/>
      </c>
      <c r="AM293" s="15">
        <f>IF('组合输入'!$C9="","",'组合输入'!$H9*$B293+SQRT(1-'组合输入'!$H9^2)*AL293)</f>
        <v/>
      </c>
      <c r="AN293" s="7">
        <f>IF(AM293="","",NORM.S.DIST(AM293,TRUE))</f>
        <v/>
      </c>
      <c r="AO293" s="13">
        <f>IF(AN293="","",IF(AN293&lt;='组合输入'!$K9,"AAA",IF(AN293&lt;='组合输入'!$L9,"AA",IF(AN293&lt;='组合输入'!$M9,"A",IF(AN293&lt;='组合输入'!$N9,"BBB",IF(AN293&lt;='组合输入'!$O9,"BB",IF(AN293&lt;='组合输入'!$P9,"B",IF(AN293&lt;='组合输入'!$Q9,"CCC","D")))))))</f>
        <v/>
      </c>
      <c r="AP293" s="12">
        <f>IF(AO293="","",INDEX('状态价值'!$D9:$K9,MATCH(AO293,'状态价值'!$D$1:$K$1,0)))</f>
        <v/>
      </c>
      <c r="AQ293" s="15">
        <f>NORM.S.INV(RAND())</f>
        <v/>
      </c>
      <c r="AR293" s="15">
        <f>IF('组合输入'!$C10="","",'组合输入'!$H10*$B293+SQRT(1-'组合输入'!$H10^2)*AQ293)</f>
        <v/>
      </c>
      <c r="AS293" s="7">
        <f>IF(AR293="","",NORM.S.DIST(AR293,TRUE))</f>
        <v/>
      </c>
      <c r="AT293" s="13">
        <f>IF(AS293="","",IF(AS293&lt;='组合输入'!$K10,"AAA",IF(AS293&lt;='组合输入'!$L10,"AA",IF(AS293&lt;='组合输入'!$M10,"A",IF(AS293&lt;='组合输入'!$N10,"BBB",IF(AS293&lt;='组合输入'!$O10,"BB",IF(AS293&lt;='组合输入'!$P10,"B",IF(AS293&lt;='组合输入'!$Q10,"CCC","D")))))))</f>
        <v/>
      </c>
      <c r="AU293" s="12">
        <f>IF(AT293="","",INDEX('状态价值'!$D10:$K10,MATCH(AT293,'状态价值'!$D$1:$K$1,0)))</f>
        <v/>
      </c>
      <c r="AV293" s="15">
        <f>NORM.S.INV(RAND())</f>
        <v/>
      </c>
      <c r="AW293" s="15">
        <f>IF('组合输入'!$C11="","",'组合输入'!$H11*$B293+SQRT(1-'组合输入'!$H11^2)*AV293)</f>
        <v/>
      </c>
      <c r="AX293" s="7">
        <f>IF(AW293="","",NORM.S.DIST(AW293,TRUE))</f>
        <v/>
      </c>
      <c r="AY293" s="13">
        <f>IF(AX293="","",IF(AX293&lt;='组合输入'!$K11,"AAA",IF(AX293&lt;='组合输入'!$L11,"AA",IF(AX293&lt;='组合输入'!$M11,"A",IF(AX293&lt;='组合输入'!$N11,"BBB",IF(AX293&lt;='组合输入'!$O11,"BB",IF(AX293&lt;='组合输入'!$P11,"B",IF(AX293&lt;='组合输入'!$Q11,"CCC","D")))))))</f>
        <v/>
      </c>
      <c r="AZ293" s="12">
        <f>IF(AY293="","",INDEX('状态价值'!$D11:$K11,MATCH(AY293,'状态价值'!$D$1:$K$1,0)))</f>
        <v/>
      </c>
      <c r="BA293" s="12">
        <f>G293+L293+Q293+V293+AA293+AF293+AK293+AP293+AU293+AZ293</f>
        <v/>
      </c>
      <c r="BB293" s="12">
        <f>SUM('组合输入'!$J$2:$J$11)-BA293</f>
        <v/>
      </c>
    </row>
    <row r="294">
      <c r="A294" s="11" t="n">
        <v>293</v>
      </c>
      <c r="B294" s="14">
        <f>NORM.S.INV(RAND())</f>
        <v/>
      </c>
      <c r="C294" s="14">
        <f>NORM.S.INV(RAND())</f>
        <v/>
      </c>
      <c r="D294" s="15">
        <f>IF('组合输入'!$C2="","",'组合输入'!$H2*$B294+SQRT(1-'组合输入'!$H2^2)*C294)</f>
        <v/>
      </c>
      <c r="E294" s="7">
        <f>IF(D294="","",NORM.S.DIST(D294,TRUE))</f>
        <v/>
      </c>
      <c r="F294" s="13">
        <f>IF(E294="","",IF(E294&lt;='组合输入'!$K2,"AAA",IF(E294&lt;='组合输入'!$L2,"AA",IF(E294&lt;='组合输入'!$M2,"A",IF(E294&lt;='组合输入'!$N2,"BBB",IF(E294&lt;='组合输入'!$O2,"BB",IF(E294&lt;='组合输入'!$P2,"B",IF(E294&lt;='组合输入'!$Q2,"CCC","D")))))))</f>
        <v/>
      </c>
      <c r="G294" s="12">
        <f>IF(F294="","",INDEX('状态价值'!$D2:$K2,MATCH(F294,'状态价值'!$D$1:$K$1,0)))</f>
        <v/>
      </c>
      <c r="H294" s="15">
        <f>NORM.S.INV(RAND())</f>
        <v/>
      </c>
      <c r="I294" s="15">
        <f>IF('组合输入'!$C3="","",'组合输入'!$H3*$B294+SQRT(1-'组合输入'!$H3^2)*H294)</f>
        <v/>
      </c>
      <c r="J294" s="7">
        <f>IF(I294="","",NORM.S.DIST(I294,TRUE))</f>
        <v/>
      </c>
      <c r="K294" s="13">
        <f>IF(J294="","",IF(J294&lt;='组合输入'!$K3,"AAA",IF(J294&lt;='组合输入'!$L3,"AA",IF(J294&lt;='组合输入'!$M3,"A",IF(J294&lt;='组合输入'!$N3,"BBB",IF(J294&lt;='组合输入'!$O3,"BB",IF(J294&lt;='组合输入'!$P3,"B",IF(J294&lt;='组合输入'!$Q3,"CCC","D")))))))</f>
        <v/>
      </c>
      <c r="L294" s="12">
        <f>IF(K294="","",INDEX('状态价值'!$D3:$K3,MATCH(K294,'状态价值'!$D$1:$K$1,0)))</f>
        <v/>
      </c>
      <c r="M294" s="15">
        <f>NORM.S.INV(RAND())</f>
        <v/>
      </c>
      <c r="N294" s="15">
        <f>IF('组合输入'!$C4="","",'组合输入'!$H4*$B294+SQRT(1-'组合输入'!$H4^2)*M294)</f>
        <v/>
      </c>
      <c r="O294" s="7">
        <f>IF(N294="","",NORM.S.DIST(N294,TRUE))</f>
        <v/>
      </c>
      <c r="P294" s="13">
        <f>IF(O294="","",IF(O294&lt;='组合输入'!$K4,"AAA",IF(O294&lt;='组合输入'!$L4,"AA",IF(O294&lt;='组合输入'!$M4,"A",IF(O294&lt;='组合输入'!$N4,"BBB",IF(O294&lt;='组合输入'!$O4,"BB",IF(O294&lt;='组合输入'!$P4,"B",IF(O294&lt;='组合输入'!$Q4,"CCC","D")))))))</f>
        <v/>
      </c>
      <c r="Q294" s="12">
        <f>IF(P294="","",INDEX('状态价值'!$D4:$K4,MATCH(P294,'状态价值'!$D$1:$K$1,0)))</f>
        <v/>
      </c>
      <c r="R294" s="15">
        <f>NORM.S.INV(RAND())</f>
        <v/>
      </c>
      <c r="S294" s="15">
        <f>IF('组合输入'!$C5="","",'组合输入'!$H5*$B294+SQRT(1-'组合输入'!$H5^2)*R294)</f>
        <v/>
      </c>
      <c r="T294" s="7">
        <f>IF(S294="","",NORM.S.DIST(S294,TRUE))</f>
        <v/>
      </c>
      <c r="U294" s="13">
        <f>IF(T294="","",IF(T294&lt;='组合输入'!$K5,"AAA",IF(T294&lt;='组合输入'!$L5,"AA",IF(T294&lt;='组合输入'!$M5,"A",IF(T294&lt;='组合输入'!$N5,"BBB",IF(T294&lt;='组合输入'!$O5,"BB",IF(T294&lt;='组合输入'!$P5,"B",IF(T294&lt;='组合输入'!$Q5,"CCC","D")))))))</f>
        <v/>
      </c>
      <c r="V294" s="12">
        <f>IF(U294="","",INDEX('状态价值'!$D5:$K5,MATCH(U294,'状态价值'!$D$1:$K$1,0)))</f>
        <v/>
      </c>
      <c r="W294" s="15">
        <f>NORM.S.INV(RAND())</f>
        <v/>
      </c>
      <c r="X294" s="15">
        <f>IF('组合输入'!$C6="","",'组合输入'!$H6*$B294+SQRT(1-'组合输入'!$H6^2)*W294)</f>
        <v/>
      </c>
      <c r="Y294" s="7">
        <f>IF(X294="","",NORM.S.DIST(X294,TRUE))</f>
        <v/>
      </c>
      <c r="Z294" s="13">
        <f>IF(Y294="","",IF(Y294&lt;='组合输入'!$K6,"AAA",IF(Y294&lt;='组合输入'!$L6,"AA",IF(Y294&lt;='组合输入'!$M6,"A",IF(Y294&lt;='组合输入'!$N6,"BBB",IF(Y294&lt;='组合输入'!$O6,"BB",IF(Y294&lt;='组合输入'!$P6,"B",IF(Y294&lt;='组合输入'!$Q6,"CCC","D")))))))</f>
        <v/>
      </c>
      <c r="AA294" s="12">
        <f>IF(Z294="","",INDEX('状态价值'!$D6:$K6,MATCH(Z294,'状态价值'!$D$1:$K$1,0)))</f>
        <v/>
      </c>
      <c r="AB294" s="15">
        <f>NORM.S.INV(RAND())</f>
        <v/>
      </c>
      <c r="AC294" s="15">
        <f>IF('组合输入'!$C7="","",'组合输入'!$H7*$B294+SQRT(1-'组合输入'!$H7^2)*AB294)</f>
        <v/>
      </c>
      <c r="AD294" s="7">
        <f>IF(AC294="","",NORM.S.DIST(AC294,TRUE))</f>
        <v/>
      </c>
      <c r="AE294" s="13">
        <f>IF(AD294="","",IF(AD294&lt;='组合输入'!$K7,"AAA",IF(AD294&lt;='组合输入'!$L7,"AA",IF(AD294&lt;='组合输入'!$M7,"A",IF(AD294&lt;='组合输入'!$N7,"BBB",IF(AD294&lt;='组合输入'!$O7,"BB",IF(AD294&lt;='组合输入'!$P7,"B",IF(AD294&lt;='组合输入'!$Q7,"CCC","D")))))))</f>
        <v/>
      </c>
      <c r="AF294" s="12">
        <f>IF(AE294="","",INDEX('状态价值'!$D7:$K7,MATCH(AE294,'状态价值'!$D$1:$K$1,0)))</f>
        <v/>
      </c>
      <c r="AG294" s="15">
        <f>NORM.S.INV(RAND())</f>
        <v/>
      </c>
      <c r="AH294" s="15">
        <f>IF('组合输入'!$C8="","",'组合输入'!$H8*$B294+SQRT(1-'组合输入'!$H8^2)*AG294)</f>
        <v/>
      </c>
      <c r="AI294" s="7">
        <f>IF(AH294="","",NORM.S.DIST(AH294,TRUE))</f>
        <v/>
      </c>
      <c r="AJ294" s="13">
        <f>IF(AI294="","",IF(AI294&lt;='组合输入'!$K8,"AAA",IF(AI294&lt;='组合输入'!$L8,"AA",IF(AI294&lt;='组合输入'!$M8,"A",IF(AI294&lt;='组合输入'!$N8,"BBB",IF(AI294&lt;='组合输入'!$O8,"BB",IF(AI294&lt;='组合输入'!$P8,"B",IF(AI294&lt;='组合输入'!$Q8,"CCC","D")))))))</f>
        <v/>
      </c>
      <c r="AK294" s="12">
        <f>IF(AJ294="","",INDEX('状态价值'!$D8:$K8,MATCH(AJ294,'状态价值'!$D$1:$K$1,0)))</f>
        <v/>
      </c>
      <c r="AL294" s="15">
        <f>NORM.S.INV(RAND())</f>
        <v/>
      </c>
      <c r="AM294" s="15">
        <f>IF('组合输入'!$C9="","",'组合输入'!$H9*$B294+SQRT(1-'组合输入'!$H9^2)*AL294)</f>
        <v/>
      </c>
      <c r="AN294" s="7">
        <f>IF(AM294="","",NORM.S.DIST(AM294,TRUE))</f>
        <v/>
      </c>
      <c r="AO294" s="13">
        <f>IF(AN294="","",IF(AN294&lt;='组合输入'!$K9,"AAA",IF(AN294&lt;='组合输入'!$L9,"AA",IF(AN294&lt;='组合输入'!$M9,"A",IF(AN294&lt;='组合输入'!$N9,"BBB",IF(AN294&lt;='组合输入'!$O9,"BB",IF(AN294&lt;='组合输入'!$P9,"B",IF(AN294&lt;='组合输入'!$Q9,"CCC","D")))))))</f>
        <v/>
      </c>
      <c r="AP294" s="12">
        <f>IF(AO294="","",INDEX('状态价值'!$D9:$K9,MATCH(AO294,'状态价值'!$D$1:$K$1,0)))</f>
        <v/>
      </c>
      <c r="AQ294" s="15">
        <f>NORM.S.INV(RAND())</f>
        <v/>
      </c>
      <c r="AR294" s="15">
        <f>IF('组合输入'!$C10="","",'组合输入'!$H10*$B294+SQRT(1-'组合输入'!$H10^2)*AQ294)</f>
        <v/>
      </c>
      <c r="AS294" s="7">
        <f>IF(AR294="","",NORM.S.DIST(AR294,TRUE))</f>
        <v/>
      </c>
      <c r="AT294" s="13">
        <f>IF(AS294="","",IF(AS294&lt;='组合输入'!$K10,"AAA",IF(AS294&lt;='组合输入'!$L10,"AA",IF(AS294&lt;='组合输入'!$M10,"A",IF(AS294&lt;='组合输入'!$N10,"BBB",IF(AS294&lt;='组合输入'!$O10,"BB",IF(AS294&lt;='组合输入'!$P10,"B",IF(AS294&lt;='组合输入'!$Q10,"CCC","D")))))))</f>
        <v/>
      </c>
      <c r="AU294" s="12">
        <f>IF(AT294="","",INDEX('状态价值'!$D10:$K10,MATCH(AT294,'状态价值'!$D$1:$K$1,0)))</f>
        <v/>
      </c>
      <c r="AV294" s="15">
        <f>NORM.S.INV(RAND())</f>
        <v/>
      </c>
      <c r="AW294" s="15">
        <f>IF('组合输入'!$C11="","",'组合输入'!$H11*$B294+SQRT(1-'组合输入'!$H11^2)*AV294)</f>
        <v/>
      </c>
      <c r="AX294" s="7">
        <f>IF(AW294="","",NORM.S.DIST(AW294,TRUE))</f>
        <v/>
      </c>
      <c r="AY294" s="13">
        <f>IF(AX294="","",IF(AX294&lt;='组合输入'!$K11,"AAA",IF(AX294&lt;='组合输入'!$L11,"AA",IF(AX294&lt;='组合输入'!$M11,"A",IF(AX294&lt;='组合输入'!$N11,"BBB",IF(AX294&lt;='组合输入'!$O11,"BB",IF(AX294&lt;='组合输入'!$P11,"B",IF(AX294&lt;='组合输入'!$Q11,"CCC","D")))))))</f>
        <v/>
      </c>
      <c r="AZ294" s="12">
        <f>IF(AY294="","",INDEX('状态价值'!$D11:$K11,MATCH(AY294,'状态价值'!$D$1:$K$1,0)))</f>
        <v/>
      </c>
      <c r="BA294" s="12">
        <f>G294+L294+Q294+V294+AA294+AF294+AK294+AP294+AU294+AZ294</f>
        <v/>
      </c>
      <c r="BB294" s="12">
        <f>SUM('组合输入'!$J$2:$J$11)-BA294</f>
        <v/>
      </c>
    </row>
    <row r="295">
      <c r="A295" s="11" t="n">
        <v>294</v>
      </c>
      <c r="B295" s="14">
        <f>NORM.S.INV(RAND())</f>
        <v/>
      </c>
      <c r="C295" s="14">
        <f>NORM.S.INV(RAND())</f>
        <v/>
      </c>
      <c r="D295" s="15">
        <f>IF('组合输入'!$C2="","",'组合输入'!$H2*$B295+SQRT(1-'组合输入'!$H2^2)*C295)</f>
        <v/>
      </c>
      <c r="E295" s="7">
        <f>IF(D295="","",NORM.S.DIST(D295,TRUE))</f>
        <v/>
      </c>
      <c r="F295" s="13">
        <f>IF(E295="","",IF(E295&lt;='组合输入'!$K2,"AAA",IF(E295&lt;='组合输入'!$L2,"AA",IF(E295&lt;='组合输入'!$M2,"A",IF(E295&lt;='组合输入'!$N2,"BBB",IF(E295&lt;='组合输入'!$O2,"BB",IF(E295&lt;='组合输入'!$P2,"B",IF(E295&lt;='组合输入'!$Q2,"CCC","D")))))))</f>
        <v/>
      </c>
      <c r="G295" s="12">
        <f>IF(F295="","",INDEX('状态价值'!$D2:$K2,MATCH(F295,'状态价值'!$D$1:$K$1,0)))</f>
        <v/>
      </c>
      <c r="H295" s="15">
        <f>NORM.S.INV(RAND())</f>
        <v/>
      </c>
      <c r="I295" s="15">
        <f>IF('组合输入'!$C3="","",'组合输入'!$H3*$B295+SQRT(1-'组合输入'!$H3^2)*H295)</f>
        <v/>
      </c>
      <c r="J295" s="7">
        <f>IF(I295="","",NORM.S.DIST(I295,TRUE))</f>
        <v/>
      </c>
      <c r="K295" s="13">
        <f>IF(J295="","",IF(J295&lt;='组合输入'!$K3,"AAA",IF(J295&lt;='组合输入'!$L3,"AA",IF(J295&lt;='组合输入'!$M3,"A",IF(J295&lt;='组合输入'!$N3,"BBB",IF(J295&lt;='组合输入'!$O3,"BB",IF(J295&lt;='组合输入'!$P3,"B",IF(J295&lt;='组合输入'!$Q3,"CCC","D")))))))</f>
        <v/>
      </c>
      <c r="L295" s="12">
        <f>IF(K295="","",INDEX('状态价值'!$D3:$K3,MATCH(K295,'状态价值'!$D$1:$K$1,0)))</f>
        <v/>
      </c>
      <c r="M295" s="15">
        <f>NORM.S.INV(RAND())</f>
        <v/>
      </c>
      <c r="N295" s="15">
        <f>IF('组合输入'!$C4="","",'组合输入'!$H4*$B295+SQRT(1-'组合输入'!$H4^2)*M295)</f>
        <v/>
      </c>
      <c r="O295" s="7">
        <f>IF(N295="","",NORM.S.DIST(N295,TRUE))</f>
        <v/>
      </c>
      <c r="P295" s="13">
        <f>IF(O295="","",IF(O295&lt;='组合输入'!$K4,"AAA",IF(O295&lt;='组合输入'!$L4,"AA",IF(O295&lt;='组合输入'!$M4,"A",IF(O295&lt;='组合输入'!$N4,"BBB",IF(O295&lt;='组合输入'!$O4,"BB",IF(O295&lt;='组合输入'!$P4,"B",IF(O295&lt;='组合输入'!$Q4,"CCC","D")))))))</f>
        <v/>
      </c>
      <c r="Q295" s="12">
        <f>IF(P295="","",INDEX('状态价值'!$D4:$K4,MATCH(P295,'状态价值'!$D$1:$K$1,0)))</f>
        <v/>
      </c>
      <c r="R295" s="15">
        <f>NORM.S.INV(RAND())</f>
        <v/>
      </c>
      <c r="S295" s="15">
        <f>IF('组合输入'!$C5="","",'组合输入'!$H5*$B295+SQRT(1-'组合输入'!$H5^2)*R295)</f>
        <v/>
      </c>
      <c r="T295" s="7">
        <f>IF(S295="","",NORM.S.DIST(S295,TRUE))</f>
        <v/>
      </c>
      <c r="U295" s="13">
        <f>IF(T295="","",IF(T295&lt;='组合输入'!$K5,"AAA",IF(T295&lt;='组合输入'!$L5,"AA",IF(T295&lt;='组合输入'!$M5,"A",IF(T295&lt;='组合输入'!$N5,"BBB",IF(T295&lt;='组合输入'!$O5,"BB",IF(T295&lt;='组合输入'!$P5,"B",IF(T295&lt;='组合输入'!$Q5,"CCC","D")))))))</f>
        <v/>
      </c>
      <c r="V295" s="12">
        <f>IF(U295="","",INDEX('状态价值'!$D5:$K5,MATCH(U295,'状态价值'!$D$1:$K$1,0)))</f>
        <v/>
      </c>
      <c r="W295" s="15">
        <f>NORM.S.INV(RAND())</f>
        <v/>
      </c>
      <c r="X295" s="15">
        <f>IF('组合输入'!$C6="","",'组合输入'!$H6*$B295+SQRT(1-'组合输入'!$H6^2)*W295)</f>
        <v/>
      </c>
      <c r="Y295" s="7">
        <f>IF(X295="","",NORM.S.DIST(X295,TRUE))</f>
        <v/>
      </c>
      <c r="Z295" s="13">
        <f>IF(Y295="","",IF(Y295&lt;='组合输入'!$K6,"AAA",IF(Y295&lt;='组合输入'!$L6,"AA",IF(Y295&lt;='组合输入'!$M6,"A",IF(Y295&lt;='组合输入'!$N6,"BBB",IF(Y295&lt;='组合输入'!$O6,"BB",IF(Y295&lt;='组合输入'!$P6,"B",IF(Y295&lt;='组合输入'!$Q6,"CCC","D")))))))</f>
        <v/>
      </c>
      <c r="AA295" s="12">
        <f>IF(Z295="","",INDEX('状态价值'!$D6:$K6,MATCH(Z295,'状态价值'!$D$1:$K$1,0)))</f>
        <v/>
      </c>
      <c r="AB295" s="15">
        <f>NORM.S.INV(RAND())</f>
        <v/>
      </c>
      <c r="AC295" s="15">
        <f>IF('组合输入'!$C7="","",'组合输入'!$H7*$B295+SQRT(1-'组合输入'!$H7^2)*AB295)</f>
        <v/>
      </c>
      <c r="AD295" s="7">
        <f>IF(AC295="","",NORM.S.DIST(AC295,TRUE))</f>
        <v/>
      </c>
      <c r="AE295" s="13">
        <f>IF(AD295="","",IF(AD295&lt;='组合输入'!$K7,"AAA",IF(AD295&lt;='组合输入'!$L7,"AA",IF(AD295&lt;='组合输入'!$M7,"A",IF(AD295&lt;='组合输入'!$N7,"BBB",IF(AD295&lt;='组合输入'!$O7,"BB",IF(AD295&lt;='组合输入'!$P7,"B",IF(AD295&lt;='组合输入'!$Q7,"CCC","D")))))))</f>
        <v/>
      </c>
      <c r="AF295" s="12">
        <f>IF(AE295="","",INDEX('状态价值'!$D7:$K7,MATCH(AE295,'状态价值'!$D$1:$K$1,0)))</f>
        <v/>
      </c>
      <c r="AG295" s="15">
        <f>NORM.S.INV(RAND())</f>
        <v/>
      </c>
      <c r="AH295" s="15">
        <f>IF('组合输入'!$C8="","",'组合输入'!$H8*$B295+SQRT(1-'组合输入'!$H8^2)*AG295)</f>
        <v/>
      </c>
      <c r="AI295" s="7">
        <f>IF(AH295="","",NORM.S.DIST(AH295,TRUE))</f>
        <v/>
      </c>
      <c r="AJ295" s="13">
        <f>IF(AI295="","",IF(AI295&lt;='组合输入'!$K8,"AAA",IF(AI295&lt;='组合输入'!$L8,"AA",IF(AI295&lt;='组合输入'!$M8,"A",IF(AI295&lt;='组合输入'!$N8,"BBB",IF(AI295&lt;='组合输入'!$O8,"BB",IF(AI295&lt;='组合输入'!$P8,"B",IF(AI295&lt;='组合输入'!$Q8,"CCC","D")))))))</f>
        <v/>
      </c>
      <c r="AK295" s="12">
        <f>IF(AJ295="","",INDEX('状态价值'!$D8:$K8,MATCH(AJ295,'状态价值'!$D$1:$K$1,0)))</f>
        <v/>
      </c>
      <c r="AL295" s="15">
        <f>NORM.S.INV(RAND())</f>
        <v/>
      </c>
      <c r="AM295" s="15">
        <f>IF('组合输入'!$C9="","",'组合输入'!$H9*$B295+SQRT(1-'组合输入'!$H9^2)*AL295)</f>
        <v/>
      </c>
      <c r="AN295" s="7">
        <f>IF(AM295="","",NORM.S.DIST(AM295,TRUE))</f>
        <v/>
      </c>
      <c r="AO295" s="13">
        <f>IF(AN295="","",IF(AN295&lt;='组合输入'!$K9,"AAA",IF(AN295&lt;='组合输入'!$L9,"AA",IF(AN295&lt;='组合输入'!$M9,"A",IF(AN295&lt;='组合输入'!$N9,"BBB",IF(AN295&lt;='组合输入'!$O9,"BB",IF(AN295&lt;='组合输入'!$P9,"B",IF(AN295&lt;='组合输入'!$Q9,"CCC","D")))))))</f>
        <v/>
      </c>
      <c r="AP295" s="12">
        <f>IF(AO295="","",INDEX('状态价值'!$D9:$K9,MATCH(AO295,'状态价值'!$D$1:$K$1,0)))</f>
        <v/>
      </c>
      <c r="AQ295" s="15">
        <f>NORM.S.INV(RAND())</f>
        <v/>
      </c>
      <c r="AR295" s="15">
        <f>IF('组合输入'!$C10="","",'组合输入'!$H10*$B295+SQRT(1-'组合输入'!$H10^2)*AQ295)</f>
        <v/>
      </c>
      <c r="AS295" s="7">
        <f>IF(AR295="","",NORM.S.DIST(AR295,TRUE))</f>
        <v/>
      </c>
      <c r="AT295" s="13">
        <f>IF(AS295="","",IF(AS295&lt;='组合输入'!$K10,"AAA",IF(AS295&lt;='组合输入'!$L10,"AA",IF(AS295&lt;='组合输入'!$M10,"A",IF(AS295&lt;='组合输入'!$N10,"BBB",IF(AS295&lt;='组合输入'!$O10,"BB",IF(AS295&lt;='组合输入'!$P10,"B",IF(AS295&lt;='组合输入'!$Q10,"CCC","D")))))))</f>
        <v/>
      </c>
      <c r="AU295" s="12">
        <f>IF(AT295="","",INDEX('状态价值'!$D10:$K10,MATCH(AT295,'状态价值'!$D$1:$K$1,0)))</f>
        <v/>
      </c>
      <c r="AV295" s="15">
        <f>NORM.S.INV(RAND())</f>
        <v/>
      </c>
      <c r="AW295" s="15">
        <f>IF('组合输入'!$C11="","",'组合输入'!$H11*$B295+SQRT(1-'组合输入'!$H11^2)*AV295)</f>
        <v/>
      </c>
      <c r="AX295" s="7">
        <f>IF(AW295="","",NORM.S.DIST(AW295,TRUE))</f>
        <v/>
      </c>
      <c r="AY295" s="13">
        <f>IF(AX295="","",IF(AX295&lt;='组合输入'!$K11,"AAA",IF(AX295&lt;='组合输入'!$L11,"AA",IF(AX295&lt;='组合输入'!$M11,"A",IF(AX295&lt;='组合输入'!$N11,"BBB",IF(AX295&lt;='组合输入'!$O11,"BB",IF(AX295&lt;='组合输入'!$P11,"B",IF(AX295&lt;='组合输入'!$Q11,"CCC","D")))))))</f>
        <v/>
      </c>
      <c r="AZ295" s="12">
        <f>IF(AY295="","",INDEX('状态价值'!$D11:$K11,MATCH(AY295,'状态价值'!$D$1:$K$1,0)))</f>
        <v/>
      </c>
      <c r="BA295" s="12">
        <f>G295+L295+Q295+V295+AA295+AF295+AK295+AP295+AU295+AZ295</f>
        <v/>
      </c>
      <c r="BB295" s="12">
        <f>SUM('组合输入'!$J$2:$J$11)-BA295</f>
        <v/>
      </c>
    </row>
    <row r="296">
      <c r="A296" s="11" t="n">
        <v>295</v>
      </c>
      <c r="B296" s="14">
        <f>NORM.S.INV(RAND())</f>
        <v/>
      </c>
      <c r="C296" s="14">
        <f>NORM.S.INV(RAND())</f>
        <v/>
      </c>
      <c r="D296" s="15">
        <f>IF('组合输入'!$C2="","",'组合输入'!$H2*$B296+SQRT(1-'组合输入'!$H2^2)*C296)</f>
        <v/>
      </c>
      <c r="E296" s="7">
        <f>IF(D296="","",NORM.S.DIST(D296,TRUE))</f>
        <v/>
      </c>
      <c r="F296" s="13">
        <f>IF(E296="","",IF(E296&lt;='组合输入'!$K2,"AAA",IF(E296&lt;='组合输入'!$L2,"AA",IF(E296&lt;='组合输入'!$M2,"A",IF(E296&lt;='组合输入'!$N2,"BBB",IF(E296&lt;='组合输入'!$O2,"BB",IF(E296&lt;='组合输入'!$P2,"B",IF(E296&lt;='组合输入'!$Q2,"CCC","D")))))))</f>
        <v/>
      </c>
      <c r="G296" s="12">
        <f>IF(F296="","",INDEX('状态价值'!$D2:$K2,MATCH(F296,'状态价值'!$D$1:$K$1,0)))</f>
        <v/>
      </c>
      <c r="H296" s="15">
        <f>NORM.S.INV(RAND())</f>
        <v/>
      </c>
      <c r="I296" s="15">
        <f>IF('组合输入'!$C3="","",'组合输入'!$H3*$B296+SQRT(1-'组合输入'!$H3^2)*H296)</f>
        <v/>
      </c>
      <c r="J296" s="7">
        <f>IF(I296="","",NORM.S.DIST(I296,TRUE))</f>
        <v/>
      </c>
      <c r="K296" s="13">
        <f>IF(J296="","",IF(J296&lt;='组合输入'!$K3,"AAA",IF(J296&lt;='组合输入'!$L3,"AA",IF(J296&lt;='组合输入'!$M3,"A",IF(J296&lt;='组合输入'!$N3,"BBB",IF(J296&lt;='组合输入'!$O3,"BB",IF(J296&lt;='组合输入'!$P3,"B",IF(J296&lt;='组合输入'!$Q3,"CCC","D")))))))</f>
        <v/>
      </c>
      <c r="L296" s="12">
        <f>IF(K296="","",INDEX('状态价值'!$D3:$K3,MATCH(K296,'状态价值'!$D$1:$K$1,0)))</f>
        <v/>
      </c>
      <c r="M296" s="15">
        <f>NORM.S.INV(RAND())</f>
        <v/>
      </c>
      <c r="N296" s="15">
        <f>IF('组合输入'!$C4="","",'组合输入'!$H4*$B296+SQRT(1-'组合输入'!$H4^2)*M296)</f>
        <v/>
      </c>
      <c r="O296" s="7">
        <f>IF(N296="","",NORM.S.DIST(N296,TRUE))</f>
        <v/>
      </c>
      <c r="P296" s="13">
        <f>IF(O296="","",IF(O296&lt;='组合输入'!$K4,"AAA",IF(O296&lt;='组合输入'!$L4,"AA",IF(O296&lt;='组合输入'!$M4,"A",IF(O296&lt;='组合输入'!$N4,"BBB",IF(O296&lt;='组合输入'!$O4,"BB",IF(O296&lt;='组合输入'!$P4,"B",IF(O296&lt;='组合输入'!$Q4,"CCC","D")))))))</f>
        <v/>
      </c>
      <c r="Q296" s="12">
        <f>IF(P296="","",INDEX('状态价值'!$D4:$K4,MATCH(P296,'状态价值'!$D$1:$K$1,0)))</f>
        <v/>
      </c>
      <c r="R296" s="15">
        <f>NORM.S.INV(RAND())</f>
        <v/>
      </c>
      <c r="S296" s="15">
        <f>IF('组合输入'!$C5="","",'组合输入'!$H5*$B296+SQRT(1-'组合输入'!$H5^2)*R296)</f>
        <v/>
      </c>
      <c r="T296" s="7">
        <f>IF(S296="","",NORM.S.DIST(S296,TRUE))</f>
        <v/>
      </c>
      <c r="U296" s="13">
        <f>IF(T296="","",IF(T296&lt;='组合输入'!$K5,"AAA",IF(T296&lt;='组合输入'!$L5,"AA",IF(T296&lt;='组合输入'!$M5,"A",IF(T296&lt;='组合输入'!$N5,"BBB",IF(T296&lt;='组合输入'!$O5,"BB",IF(T296&lt;='组合输入'!$P5,"B",IF(T296&lt;='组合输入'!$Q5,"CCC","D")))))))</f>
        <v/>
      </c>
      <c r="V296" s="12">
        <f>IF(U296="","",INDEX('状态价值'!$D5:$K5,MATCH(U296,'状态价值'!$D$1:$K$1,0)))</f>
        <v/>
      </c>
      <c r="W296" s="15">
        <f>NORM.S.INV(RAND())</f>
        <v/>
      </c>
      <c r="X296" s="15">
        <f>IF('组合输入'!$C6="","",'组合输入'!$H6*$B296+SQRT(1-'组合输入'!$H6^2)*W296)</f>
        <v/>
      </c>
      <c r="Y296" s="7">
        <f>IF(X296="","",NORM.S.DIST(X296,TRUE))</f>
        <v/>
      </c>
      <c r="Z296" s="13">
        <f>IF(Y296="","",IF(Y296&lt;='组合输入'!$K6,"AAA",IF(Y296&lt;='组合输入'!$L6,"AA",IF(Y296&lt;='组合输入'!$M6,"A",IF(Y296&lt;='组合输入'!$N6,"BBB",IF(Y296&lt;='组合输入'!$O6,"BB",IF(Y296&lt;='组合输入'!$P6,"B",IF(Y296&lt;='组合输入'!$Q6,"CCC","D")))))))</f>
        <v/>
      </c>
      <c r="AA296" s="12">
        <f>IF(Z296="","",INDEX('状态价值'!$D6:$K6,MATCH(Z296,'状态价值'!$D$1:$K$1,0)))</f>
        <v/>
      </c>
      <c r="AB296" s="15">
        <f>NORM.S.INV(RAND())</f>
        <v/>
      </c>
      <c r="AC296" s="15">
        <f>IF('组合输入'!$C7="","",'组合输入'!$H7*$B296+SQRT(1-'组合输入'!$H7^2)*AB296)</f>
        <v/>
      </c>
      <c r="AD296" s="7">
        <f>IF(AC296="","",NORM.S.DIST(AC296,TRUE))</f>
        <v/>
      </c>
      <c r="AE296" s="13">
        <f>IF(AD296="","",IF(AD296&lt;='组合输入'!$K7,"AAA",IF(AD296&lt;='组合输入'!$L7,"AA",IF(AD296&lt;='组合输入'!$M7,"A",IF(AD296&lt;='组合输入'!$N7,"BBB",IF(AD296&lt;='组合输入'!$O7,"BB",IF(AD296&lt;='组合输入'!$P7,"B",IF(AD296&lt;='组合输入'!$Q7,"CCC","D")))))))</f>
        <v/>
      </c>
      <c r="AF296" s="12">
        <f>IF(AE296="","",INDEX('状态价值'!$D7:$K7,MATCH(AE296,'状态价值'!$D$1:$K$1,0)))</f>
        <v/>
      </c>
      <c r="AG296" s="15">
        <f>NORM.S.INV(RAND())</f>
        <v/>
      </c>
      <c r="AH296" s="15">
        <f>IF('组合输入'!$C8="","",'组合输入'!$H8*$B296+SQRT(1-'组合输入'!$H8^2)*AG296)</f>
        <v/>
      </c>
      <c r="AI296" s="7">
        <f>IF(AH296="","",NORM.S.DIST(AH296,TRUE))</f>
        <v/>
      </c>
      <c r="AJ296" s="13">
        <f>IF(AI296="","",IF(AI296&lt;='组合输入'!$K8,"AAA",IF(AI296&lt;='组合输入'!$L8,"AA",IF(AI296&lt;='组合输入'!$M8,"A",IF(AI296&lt;='组合输入'!$N8,"BBB",IF(AI296&lt;='组合输入'!$O8,"BB",IF(AI296&lt;='组合输入'!$P8,"B",IF(AI296&lt;='组合输入'!$Q8,"CCC","D")))))))</f>
        <v/>
      </c>
      <c r="AK296" s="12">
        <f>IF(AJ296="","",INDEX('状态价值'!$D8:$K8,MATCH(AJ296,'状态价值'!$D$1:$K$1,0)))</f>
        <v/>
      </c>
      <c r="AL296" s="15">
        <f>NORM.S.INV(RAND())</f>
        <v/>
      </c>
      <c r="AM296" s="15">
        <f>IF('组合输入'!$C9="","",'组合输入'!$H9*$B296+SQRT(1-'组合输入'!$H9^2)*AL296)</f>
        <v/>
      </c>
      <c r="AN296" s="7">
        <f>IF(AM296="","",NORM.S.DIST(AM296,TRUE))</f>
        <v/>
      </c>
      <c r="AO296" s="13">
        <f>IF(AN296="","",IF(AN296&lt;='组合输入'!$K9,"AAA",IF(AN296&lt;='组合输入'!$L9,"AA",IF(AN296&lt;='组合输入'!$M9,"A",IF(AN296&lt;='组合输入'!$N9,"BBB",IF(AN296&lt;='组合输入'!$O9,"BB",IF(AN296&lt;='组合输入'!$P9,"B",IF(AN296&lt;='组合输入'!$Q9,"CCC","D")))))))</f>
        <v/>
      </c>
      <c r="AP296" s="12">
        <f>IF(AO296="","",INDEX('状态价值'!$D9:$K9,MATCH(AO296,'状态价值'!$D$1:$K$1,0)))</f>
        <v/>
      </c>
      <c r="AQ296" s="15">
        <f>NORM.S.INV(RAND())</f>
        <v/>
      </c>
      <c r="AR296" s="15">
        <f>IF('组合输入'!$C10="","",'组合输入'!$H10*$B296+SQRT(1-'组合输入'!$H10^2)*AQ296)</f>
        <v/>
      </c>
      <c r="AS296" s="7">
        <f>IF(AR296="","",NORM.S.DIST(AR296,TRUE))</f>
        <v/>
      </c>
      <c r="AT296" s="13">
        <f>IF(AS296="","",IF(AS296&lt;='组合输入'!$K10,"AAA",IF(AS296&lt;='组合输入'!$L10,"AA",IF(AS296&lt;='组合输入'!$M10,"A",IF(AS296&lt;='组合输入'!$N10,"BBB",IF(AS296&lt;='组合输入'!$O10,"BB",IF(AS296&lt;='组合输入'!$P10,"B",IF(AS296&lt;='组合输入'!$Q10,"CCC","D")))))))</f>
        <v/>
      </c>
      <c r="AU296" s="12">
        <f>IF(AT296="","",INDEX('状态价值'!$D10:$K10,MATCH(AT296,'状态价值'!$D$1:$K$1,0)))</f>
        <v/>
      </c>
      <c r="AV296" s="15">
        <f>NORM.S.INV(RAND())</f>
        <v/>
      </c>
      <c r="AW296" s="15">
        <f>IF('组合输入'!$C11="","",'组合输入'!$H11*$B296+SQRT(1-'组合输入'!$H11^2)*AV296)</f>
        <v/>
      </c>
      <c r="AX296" s="7">
        <f>IF(AW296="","",NORM.S.DIST(AW296,TRUE))</f>
        <v/>
      </c>
      <c r="AY296" s="13">
        <f>IF(AX296="","",IF(AX296&lt;='组合输入'!$K11,"AAA",IF(AX296&lt;='组合输入'!$L11,"AA",IF(AX296&lt;='组合输入'!$M11,"A",IF(AX296&lt;='组合输入'!$N11,"BBB",IF(AX296&lt;='组合输入'!$O11,"BB",IF(AX296&lt;='组合输入'!$P11,"B",IF(AX296&lt;='组合输入'!$Q11,"CCC","D")))))))</f>
        <v/>
      </c>
      <c r="AZ296" s="12">
        <f>IF(AY296="","",INDEX('状态价值'!$D11:$K11,MATCH(AY296,'状态价值'!$D$1:$K$1,0)))</f>
        <v/>
      </c>
      <c r="BA296" s="12">
        <f>G296+L296+Q296+V296+AA296+AF296+AK296+AP296+AU296+AZ296</f>
        <v/>
      </c>
      <c r="BB296" s="12">
        <f>SUM('组合输入'!$J$2:$J$11)-BA296</f>
        <v/>
      </c>
    </row>
    <row r="297">
      <c r="A297" s="11" t="n">
        <v>296</v>
      </c>
      <c r="B297" s="14">
        <f>NORM.S.INV(RAND())</f>
        <v/>
      </c>
      <c r="C297" s="14">
        <f>NORM.S.INV(RAND())</f>
        <v/>
      </c>
      <c r="D297" s="15">
        <f>IF('组合输入'!$C2="","",'组合输入'!$H2*$B297+SQRT(1-'组合输入'!$H2^2)*C297)</f>
        <v/>
      </c>
      <c r="E297" s="7">
        <f>IF(D297="","",NORM.S.DIST(D297,TRUE))</f>
        <v/>
      </c>
      <c r="F297" s="13">
        <f>IF(E297="","",IF(E297&lt;='组合输入'!$K2,"AAA",IF(E297&lt;='组合输入'!$L2,"AA",IF(E297&lt;='组合输入'!$M2,"A",IF(E297&lt;='组合输入'!$N2,"BBB",IF(E297&lt;='组合输入'!$O2,"BB",IF(E297&lt;='组合输入'!$P2,"B",IF(E297&lt;='组合输入'!$Q2,"CCC","D")))))))</f>
        <v/>
      </c>
      <c r="G297" s="12">
        <f>IF(F297="","",INDEX('状态价值'!$D2:$K2,MATCH(F297,'状态价值'!$D$1:$K$1,0)))</f>
        <v/>
      </c>
      <c r="H297" s="15">
        <f>NORM.S.INV(RAND())</f>
        <v/>
      </c>
      <c r="I297" s="15">
        <f>IF('组合输入'!$C3="","",'组合输入'!$H3*$B297+SQRT(1-'组合输入'!$H3^2)*H297)</f>
        <v/>
      </c>
      <c r="J297" s="7">
        <f>IF(I297="","",NORM.S.DIST(I297,TRUE))</f>
        <v/>
      </c>
      <c r="K297" s="13">
        <f>IF(J297="","",IF(J297&lt;='组合输入'!$K3,"AAA",IF(J297&lt;='组合输入'!$L3,"AA",IF(J297&lt;='组合输入'!$M3,"A",IF(J297&lt;='组合输入'!$N3,"BBB",IF(J297&lt;='组合输入'!$O3,"BB",IF(J297&lt;='组合输入'!$P3,"B",IF(J297&lt;='组合输入'!$Q3,"CCC","D")))))))</f>
        <v/>
      </c>
      <c r="L297" s="12">
        <f>IF(K297="","",INDEX('状态价值'!$D3:$K3,MATCH(K297,'状态价值'!$D$1:$K$1,0)))</f>
        <v/>
      </c>
      <c r="M297" s="15">
        <f>NORM.S.INV(RAND())</f>
        <v/>
      </c>
      <c r="N297" s="15">
        <f>IF('组合输入'!$C4="","",'组合输入'!$H4*$B297+SQRT(1-'组合输入'!$H4^2)*M297)</f>
        <v/>
      </c>
      <c r="O297" s="7">
        <f>IF(N297="","",NORM.S.DIST(N297,TRUE))</f>
        <v/>
      </c>
      <c r="P297" s="13">
        <f>IF(O297="","",IF(O297&lt;='组合输入'!$K4,"AAA",IF(O297&lt;='组合输入'!$L4,"AA",IF(O297&lt;='组合输入'!$M4,"A",IF(O297&lt;='组合输入'!$N4,"BBB",IF(O297&lt;='组合输入'!$O4,"BB",IF(O297&lt;='组合输入'!$P4,"B",IF(O297&lt;='组合输入'!$Q4,"CCC","D")))))))</f>
        <v/>
      </c>
      <c r="Q297" s="12">
        <f>IF(P297="","",INDEX('状态价值'!$D4:$K4,MATCH(P297,'状态价值'!$D$1:$K$1,0)))</f>
        <v/>
      </c>
      <c r="R297" s="15">
        <f>NORM.S.INV(RAND())</f>
        <v/>
      </c>
      <c r="S297" s="15">
        <f>IF('组合输入'!$C5="","",'组合输入'!$H5*$B297+SQRT(1-'组合输入'!$H5^2)*R297)</f>
        <v/>
      </c>
      <c r="T297" s="7">
        <f>IF(S297="","",NORM.S.DIST(S297,TRUE))</f>
        <v/>
      </c>
      <c r="U297" s="13">
        <f>IF(T297="","",IF(T297&lt;='组合输入'!$K5,"AAA",IF(T297&lt;='组合输入'!$L5,"AA",IF(T297&lt;='组合输入'!$M5,"A",IF(T297&lt;='组合输入'!$N5,"BBB",IF(T297&lt;='组合输入'!$O5,"BB",IF(T297&lt;='组合输入'!$P5,"B",IF(T297&lt;='组合输入'!$Q5,"CCC","D")))))))</f>
        <v/>
      </c>
      <c r="V297" s="12">
        <f>IF(U297="","",INDEX('状态价值'!$D5:$K5,MATCH(U297,'状态价值'!$D$1:$K$1,0)))</f>
        <v/>
      </c>
      <c r="W297" s="15">
        <f>NORM.S.INV(RAND())</f>
        <v/>
      </c>
      <c r="X297" s="15">
        <f>IF('组合输入'!$C6="","",'组合输入'!$H6*$B297+SQRT(1-'组合输入'!$H6^2)*W297)</f>
        <v/>
      </c>
      <c r="Y297" s="7">
        <f>IF(X297="","",NORM.S.DIST(X297,TRUE))</f>
        <v/>
      </c>
      <c r="Z297" s="13">
        <f>IF(Y297="","",IF(Y297&lt;='组合输入'!$K6,"AAA",IF(Y297&lt;='组合输入'!$L6,"AA",IF(Y297&lt;='组合输入'!$M6,"A",IF(Y297&lt;='组合输入'!$N6,"BBB",IF(Y297&lt;='组合输入'!$O6,"BB",IF(Y297&lt;='组合输入'!$P6,"B",IF(Y297&lt;='组合输入'!$Q6,"CCC","D")))))))</f>
        <v/>
      </c>
      <c r="AA297" s="12">
        <f>IF(Z297="","",INDEX('状态价值'!$D6:$K6,MATCH(Z297,'状态价值'!$D$1:$K$1,0)))</f>
        <v/>
      </c>
      <c r="AB297" s="15">
        <f>NORM.S.INV(RAND())</f>
        <v/>
      </c>
      <c r="AC297" s="15">
        <f>IF('组合输入'!$C7="","",'组合输入'!$H7*$B297+SQRT(1-'组合输入'!$H7^2)*AB297)</f>
        <v/>
      </c>
      <c r="AD297" s="7">
        <f>IF(AC297="","",NORM.S.DIST(AC297,TRUE))</f>
        <v/>
      </c>
      <c r="AE297" s="13">
        <f>IF(AD297="","",IF(AD297&lt;='组合输入'!$K7,"AAA",IF(AD297&lt;='组合输入'!$L7,"AA",IF(AD297&lt;='组合输入'!$M7,"A",IF(AD297&lt;='组合输入'!$N7,"BBB",IF(AD297&lt;='组合输入'!$O7,"BB",IF(AD297&lt;='组合输入'!$P7,"B",IF(AD297&lt;='组合输入'!$Q7,"CCC","D")))))))</f>
        <v/>
      </c>
      <c r="AF297" s="12">
        <f>IF(AE297="","",INDEX('状态价值'!$D7:$K7,MATCH(AE297,'状态价值'!$D$1:$K$1,0)))</f>
        <v/>
      </c>
      <c r="AG297" s="15">
        <f>NORM.S.INV(RAND())</f>
        <v/>
      </c>
      <c r="AH297" s="15">
        <f>IF('组合输入'!$C8="","",'组合输入'!$H8*$B297+SQRT(1-'组合输入'!$H8^2)*AG297)</f>
        <v/>
      </c>
      <c r="AI297" s="7">
        <f>IF(AH297="","",NORM.S.DIST(AH297,TRUE))</f>
        <v/>
      </c>
      <c r="AJ297" s="13">
        <f>IF(AI297="","",IF(AI297&lt;='组合输入'!$K8,"AAA",IF(AI297&lt;='组合输入'!$L8,"AA",IF(AI297&lt;='组合输入'!$M8,"A",IF(AI297&lt;='组合输入'!$N8,"BBB",IF(AI297&lt;='组合输入'!$O8,"BB",IF(AI297&lt;='组合输入'!$P8,"B",IF(AI297&lt;='组合输入'!$Q8,"CCC","D")))))))</f>
        <v/>
      </c>
      <c r="AK297" s="12">
        <f>IF(AJ297="","",INDEX('状态价值'!$D8:$K8,MATCH(AJ297,'状态价值'!$D$1:$K$1,0)))</f>
        <v/>
      </c>
      <c r="AL297" s="15">
        <f>NORM.S.INV(RAND())</f>
        <v/>
      </c>
      <c r="AM297" s="15">
        <f>IF('组合输入'!$C9="","",'组合输入'!$H9*$B297+SQRT(1-'组合输入'!$H9^2)*AL297)</f>
        <v/>
      </c>
      <c r="AN297" s="7">
        <f>IF(AM297="","",NORM.S.DIST(AM297,TRUE))</f>
        <v/>
      </c>
      <c r="AO297" s="13">
        <f>IF(AN297="","",IF(AN297&lt;='组合输入'!$K9,"AAA",IF(AN297&lt;='组合输入'!$L9,"AA",IF(AN297&lt;='组合输入'!$M9,"A",IF(AN297&lt;='组合输入'!$N9,"BBB",IF(AN297&lt;='组合输入'!$O9,"BB",IF(AN297&lt;='组合输入'!$P9,"B",IF(AN297&lt;='组合输入'!$Q9,"CCC","D")))))))</f>
        <v/>
      </c>
      <c r="AP297" s="12">
        <f>IF(AO297="","",INDEX('状态价值'!$D9:$K9,MATCH(AO297,'状态价值'!$D$1:$K$1,0)))</f>
        <v/>
      </c>
      <c r="AQ297" s="15">
        <f>NORM.S.INV(RAND())</f>
        <v/>
      </c>
      <c r="AR297" s="15">
        <f>IF('组合输入'!$C10="","",'组合输入'!$H10*$B297+SQRT(1-'组合输入'!$H10^2)*AQ297)</f>
        <v/>
      </c>
      <c r="AS297" s="7">
        <f>IF(AR297="","",NORM.S.DIST(AR297,TRUE))</f>
        <v/>
      </c>
      <c r="AT297" s="13">
        <f>IF(AS297="","",IF(AS297&lt;='组合输入'!$K10,"AAA",IF(AS297&lt;='组合输入'!$L10,"AA",IF(AS297&lt;='组合输入'!$M10,"A",IF(AS297&lt;='组合输入'!$N10,"BBB",IF(AS297&lt;='组合输入'!$O10,"BB",IF(AS297&lt;='组合输入'!$P10,"B",IF(AS297&lt;='组合输入'!$Q10,"CCC","D")))))))</f>
        <v/>
      </c>
      <c r="AU297" s="12">
        <f>IF(AT297="","",INDEX('状态价值'!$D10:$K10,MATCH(AT297,'状态价值'!$D$1:$K$1,0)))</f>
        <v/>
      </c>
      <c r="AV297" s="15">
        <f>NORM.S.INV(RAND())</f>
        <v/>
      </c>
      <c r="AW297" s="15">
        <f>IF('组合输入'!$C11="","",'组合输入'!$H11*$B297+SQRT(1-'组合输入'!$H11^2)*AV297)</f>
        <v/>
      </c>
      <c r="AX297" s="7">
        <f>IF(AW297="","",NORM.S.DIST(AW297,TRUE))</f>
        <v/>
      </c>
      <c r="AY297" s="13">
        <f>IF(AX297="","",IF(AX297&lt;='组合输入'!$K11,"AAA",IF(AX297&lt;='组合输入'!$L11,"AA",IF(AX297&lt;='组合输入'!$M11,"A",IF(AX297&lt;='组合输入'!$N11,"BBB",IF(AX297&lt;='组合输入'!$O11,"BB",IF(AX297&lt;='组合输入'!$P11,"B",IF(AX297&lt;='组合输入'!$Q11,"CCC","D")))))))</f>
        <v/>
      </c>
      <c r="AZ297" s="12">
        <f>IF(AY297="","",INDEX('状态价值'!$D11:$K11,MATCH(AY297,'状态价值'!$D$1:$K$1,0)))</f>
        <v/>
      </c>
      <c r="BA297" s="12">
        <f>G297+L297+Q297+V297+AA297+AF297+AK297+AP297+AU297+AZ297</f>
        <v/>
      </c>
      <c r="BB297" s="12">
        <f>SUM('组合输入'!$J$2:$J$11)-BA297</f>
        <v/>
      </c>
    </row>
    <row r="298">
      <c r="A298" s="11" t="n">
        <v>297</v>
      </c>
      <c r="B298" s="14">
        <f>NORM.S.INV(RAND())</f>
        <v/>
      </c>
      <c r="C298" s="14">
        <f>NORM.S.INV(RAND())</f>
        <v/>
      </c>
      <c r="D298" s="15">
        <f>IF('组合输入'!$C2="","",'组合输入'!$H2*$B298+SQRT(1-'组合输入'!$H2^2)*C298)</f>
        <v/>
      </c>
      <c r="E298" s="7">
        <f>IF(D298="","",NORM.S.DIST(D298,TRUE))</f>
        <v/>
      </c>
      <c r="F298" s="13">
        <f>IF(E298="","",IF(E298&lt;='组合输入'!$K2,"AAA",IF(E298&lt;='组合输入'!$L2,"AA",IF(E298&lt;='组合输入'!$M2,"A",IF(E298&lt;='组合输入'!$N2,"BBB",IF(E298&lt;='组合输入'!$O2,"BB",IF(E298&lt;='组合输入'!$P2,"B",IF(E298&lt;='组合输入'!$Q2,"CCC","D")))))))</f>
        <v/>
      </c>
      <c r="G298" s="12">
        <f>IF(F298="","",INDEX('状态价值'!$D2:$K2,MATCH(F298,'状态价值'!$D$1:$K$1,0)))</f>
        <v/>
      </c>
      <c r="H298" s="15">
        <f>NORM.S.INV(RAND())</f>
        <v/>
      </c>
      <c r="I298" s="15">
        <f>IF('组合输入'!$C3="","",'组合输入'!$H3*$B298+SQRT(1-'组合输入'!$H3^2)*H298)</f>
        <v/>
      </c>
      <c r="J298" s="7">
        <f>IF(I298="","",NORM.S.DIST(I298,TRUE))</f>
        <v/>
      </c>
      <c r="K298" s="13">
        <f>IF(J298="","",IF(J298&lt;='组合输入'!$K3,"AAA",IF(J298&lt;='组合输入'!$L3,"AA",IF(J298&lt;='组合输入'!$M3,"A",IF(J298&lt;='组合输入'!$N3,"BBB",IF(J298&lt;='组合输入'!$O3,"BB",IF(J298&lt;='组合输入'!$P3,"B",IF(J298&lt;='组合输入'!$Q3,"CCC","D")))))))</f>
        <v/>
      </c>
      <c r="L298" s="12">
        <f>IF(K298="","",INDEX('状态价值'!$D3:$K3,MATCH(K298,'状态价值'!$D$1:$K$1,0)))</f>
        <v/>
      </c>
      <c r="M298" s="15">
        <f>NORM.S.INV(RAND())</f>
        <v/>
      </c>
      <c r="N298" s="15">
        <f>IF('组合输入'!$C4="","",'组合输入'!$H4*$B298+SQRT(1-'组合输入'!$H4^2)*M298)</f>
        <v/>
      </c>
      <c r="O298" s="7">
        <f>IF(N298="","",NORM.S.DIST(N298,TRUE))</f>
        <v/>
      </c>
      <c r="P298" s="13">
        <f>IF(O298="","",IF(O298&lt;='组合输入'!$K4,"AAA",IF(O298&lt;='组合输入'!$L4,"AA",IF(O298&lt;='组合输入'!$M4,"A",IF(O298&lt;='组合输入'!$N4,"BBB",IF(O298&lt;='组合输入'!$O4,"BB",IF(O298&lt;='组合输入'!$P4,"B",IF(O298&lt;='组合输入'!$Q4,"CCC","D")))))))</f>
        <v/>
      </c>
      <c r="Q298" s="12">
        <f>IF(P298="","",INDEX('状态价值'!$D4:$K4,MATCH(P298,'状态价值'!$D$1:$K$1,0)))</f>
        <v/>
      </c>
      <c r="R298" s="15">
        <f>NORM.S.INV(RAND())</f>
        <v/>
      </c>
      <c r="S298" s="15">
        <f>IF('组合输入'!$C5="","",'组合输入'!$H5*$B298+SQRT(1-'组合输入'!$H5^2)*R298)</f>
        <v/>
      </c>
      <c r="T298" s="7">
        <f>IF(S298="","",NORM.S.DIST(S298,TRUE))</f>
        <v/>
      </c>
      <c r="U298" s="13">
        <f>IF(T298="","",IF(T298&lt;='组合输入'!$K5,"AAA",IF(T298&lt;='组合输入'!$L5,"AA",IF(T298&lt;='组合输入'!$M5,"A",IF(T298&lt;='组合输入'!$N5,"BBB",IF(T298&lt;='组合输入'!$O5,"BB",IF(T298&lt;='组合输入'!$P5,"B",IF(T298&lt;='组合输入'!$Q5,"CCC","D")))))))</f>
        <v/>
      </c>
      <c r="V298" s="12">
        <f>IF(U298="","",INDEX('状态价值'!$D5:$K5,MATCH(U298,'状态价值'!$D$1:$K$1,0)))</f>
        <v/>
      </c>
      <c r="W298" s="15">
        <f>NORM.S.INV(RAND())</f>
        <v/>
      </c>
      <c r="X298" s="15">
        <f>IF('组合输入'!$C6="","",'组合输入'!$H6*$B298+SQRT(1-'组合输入'!$H6^2)*W298)</f>
        <v/>
      </c>
      <c r="Y298" s="7">
        <f>IF(X298="","",NORM.S.DIST(X298,TRUE))</f>
        <v/>
      </c>
      <c r="Z298" s="13">
        <f>IF(Y298="","",IF(Y298&lt;='组合输入'!$K6,"AAA",IF(Y298&lt;='组合输入'!$L6,"AA",IF(Y298&lt;='组合输入'!$M6,"A",IF(Y298&lt;='组合输入'!$N6,"BBB",IF(Y298&lt;='组合输入'!$O6,"BB",IF(Y298&lt;='组合输入'!$P6,"B",IF(Y298&lt;='组合输入'!$Q6,"CCC","D")))))))</f>
        <v/>
      </c>
      <c r="AA298" s="12">
        <f>IF(Z298="","",INDEX('状态价值'!$D6:$K6,MATCH(Z298,'状态价值'!$D$1:$K$1,0)))</f>
        <v/>
      </c>
      <c r="AB298" s="15">
        <f>NORM.S.INV(RAND())</f>
        <v/>
      </c>
      <c r="AC298" s="15">
        <f>IF('组合输入'!$C7="","",'组合输入'!$H7*$B298+SQRT(1-'组合输入'!$H7^2)*AB298)</f>
        <v/>
      </c>
      <c r="AD298" s="7">
        <f>IF(AC298="","",NORM.S.DIST(AC298,TRUE))</f>
        <v/>
      </c>
      <c r="AE298" s="13">
        <f>IF(AD298="","",IF(AD298&lt;='组合输入'!$K7,"AAA",IF(AD298&lt;='组合输入'!$L7,"AA",IF(AD298&lt;='组合输入'!$M7,"A",IF(AD298&lt;='组合输入'!$N7,"BBB",IF(AD298&lt;='组合输入'!$O7,"BB",IF(AD298&lt;='组合输入'!$P7,"B",IF(AD298&lt;='组合输入'!$Q7,"CCC","D")))))))</f>
        <v/>
      </c>
      <c r="AF298" s="12">
        <f>IF(AE298="","",INDEX('状态价值'!$D7:$K7,MATCH(AE298,'状态价值'!$D$1:$K$1,0)))</f>
        <v/>
      </c>
      <c r="AG298" s="15">
        <f>NORM.S.INV(RAND())</f>
        <v/>
      </c>
      <c r="AH298" s="15">
        <f>IF('组合输入'!$C8="","",'组合输入'!$H8*$B298+SQRT(1-'组合输入'!$H8^2)*AG298)</f>
        <v/>
      </c>
      <c r="AI298" s="7">
        <f>IF(AH298="","",NORM.S.DIST(AH298,TRUE))</f>
        <v/>
      </c>
      <c r="AJ298" s="13">
        <f>IF(AI298="","",IF(AI298&lt;='组合输入'!$K8,"AAA",IF(AI298&lt;='组合输入'!$L8,"AA",IF(AI298&lt;='组合输入'!$M8,"A",IF(AI298&lt;='组合输入'!$N8,"BBB",IF(AI298&lt;='组合输入'!$O8,"BB",IF(AI298&lt;='组合输入'!$P8,"B",IF(AI298&lt;='组合输入'!$Q8,"CCC","D")))))))</f>
        <v/>
      </c>
      <c r="AK298" s="12">
        <f>IF(AJ298="","",INDEX('状态价值'!$D8:$K8,MATCH(AJ298,'状态价值'!$D$1:$K$1,0)))</f>
        <v/>
      </c>
      <c r="AL298" s="15">
        <f>NORM.S.INV(RAND())</f>
        <v/>
      </c>
      <c r="AM298" s="15">
        <f>IF('组合输入'!$C9="","",'组合输入'!$H9*$B298+SQRT(1-'组合输入'!$H9^2)*AL298)</f>
        <v/>
      </c>
      <c r="AN298" s="7">
        <f>IF(AM298="","",NORM.S.DIST(AM298,TRUE))</f>
        <v/>
      </c>
      <c r="AO298" s="13">
        <f>IF(AN298="","",IF(AN298&lt;='组合输入'!$K9,"AAA",IF(AN298&lt;='组合输入'!$L9,"AA",IF(AN298&lt;='组合输入'!$M9,"A",IF(AN298&lt;='组合输入'!$N9,"BBB",IF(AN298&lt;='组合输入'!$O9,"BB",IF(AN298&lt;='组合输入'!$P9,"B",IF(AN298&lt;='组合输入'!$Q9,"CCC","D")))))))</f>
        <v/>
      </c>
      <c r="AP298" s="12">
        <f>IF(AO298="","",INDEX('状态价值'!$D9:$K9,MATCH(AO298,'状态价值'!$D$1:$K$1,0)))</f>
        <v/>
      </c>
      <c r="AQ298" s="15">
        <f>NORM.S.INV(RAND())</f>
        <v/>
      </c>
      <c r="AR298" s="15">
        <f>IF('组合输入'!$C10="","",'组合输入'!$H10*$B298+SQRT(1-'组合输入'!$H10^2)*AQ298)</f>
        <v/>
      </c>
      <c r="AS298" s="7">
        <f>IF(AR298="","",NORM.S.DIST(AR298,TRUE))</f>
        <v/>
      </c>
      <c r="AT298" s="13">
        <f>IF(AS298="","",IF(AS298&lt;='组合输入'!$K10,"AAA",IF(AS298&lt;='组合输入'!$L10,"AA",IF(AS298&lt;='组合输入'!$M10,"A",IF(AS298&lt;='组合输入'!$N10,"BBB",IF(AS298&lt;='组合输入'!$O10,"BB",IF(AS298&lt;='组合输入'!$P10,"B",IF(AS298&lt;='组合输入'!$Q10,"CCC","D")))))))</f>
        <v/>
      </c>
      <c r="AU298" s="12">
        <f>IF(AT298="","",INDEX('状态价值'!$D10:$K10,MATCH(AT298,'状态价值'!$D$1:$K$1,0)))</f>
        <v/>
      </c>
      <c r="AV298" s="15">
        <f>NORM.S.INV(RAND())</f>
        <v/>
      </c>
      <c r="AW298" s="15">
        <f>IF('组合输入'!$C11="","",'组合输入'!$H11*$B298+SQRT(1-'组合输入'!$H11^2)*AV298)</f>
        <v/>
      </c>
      <c r="AX298" s="7">
        <f>IF(AW298="","",NORM.S.DIST(AW298,TRUE))</f>
        <v/>
      </c>
      <c r="AY298" s="13">
        <f>IF(AX298="","",IF(AX298&lt;='组合输入'!$K11,"AAA",IF(AX298&lt;='组合输入'!$L11,"AA",IF(AX298&lt;='组合输入'!$M11,"A",IF(AX298&lt;='组合输入'!$N11,"BBB",IF(AX298&lt;='组合输入'!$O11,"BB",IF(AX298&lt;='组合输入'!$P11,"B",IF(AX298&lt;='组合输入'!$Q11,"CCC","D")))))))</f>
        <v/>
      </c>
      <c r="AZ298" s="12">
        <f>IF(AY298="","",INDEX('状态价值'!$D11:$K11,MATCH(AY298,'状态价值'!$D$1:$K$1,0)))</f>
        <v/>
      </c>
      <c r="BA298" s="12">
        <f>G298+L298+Q298+V298+AA298+AF298+AK298+AP298+AU298+AZ298</f>
        <v/>
      </c>
      <c r="BB298" s="12">
        <f>SUM('组合输入'!$J$2:$J$11)-BA298</f>
        <v/>
      </c>
    </row>
    <row r="299">
      <c r="A299" s="11" t="n">
        <v>298</v>
      </c>
      <c r="B299" s="14">
        <f>NORM.S.INV(RAND())</f>
        <v/>
      </c>
      <c r="C299" s="14">
        <f>NORM.S.INV(RAND())</f>
        <v/>
      </c>
      <c r="D299" s="15">
        <f>IF('组合输入'!$C2="","",'组合输入'!$H2*$B299+SQRT(1-'组合输入'!$H2^2)*C299)</f>
        <v/>
      </c>
      <c r="E299" s="7">
        <f>IF(D299="","",NORM.S.DIST(D299,TRUE))</f>
        <v/>
      </c>
      <c r="F299" s="13">
        <f>IF(E299="","",IF(E299&lt;='组合输入'!$K2,"AAA",IF(E299&lt;='组合输入'!$L2,"AA",IF(E299&lt;='组合输入'!$M2,"A",IF(E299&lt;='组合输入'!$N2,"BBB",IF(E299&lt;='组合输入'!$O2,"BB",IF(E299&lt;='组合输入'!$P2,"B",IF(E299&lt;='组合输入'!$Q2,"CCC","D")))))))</f>
        <v/>
      </c>
      <c r="G299" s="12">
        <f>IF(F299="","",INDEX('状态价值'!$D2:$K2,MATCH(F299,'状态价值'!$D$1:$K$1,0)))</f>
        <v/>
      </c>
      <c r="H299" s="15">
        <f>NORM.S.INV(RAND())</f>
        <v/>
      </c>
      <c r="I299" s="15">
        <f>IF('组合输入'!$C3="","",'组合输入'!$H3*$B299+SQRT(1-'组合输入'!$H3^2)*H299)</f>
        <v/>
      </c>
      <c r="J299" s="7">
        <f>IF(I299="","",NORM.S.DIST(I299,TRUE))</f>
        <v/>
      </c>
      <c r="K299" s="13">
        <f>IF(J299="","",IF(J299&lt;='组合输入'!$K3,"AAA",IF(J299&lt;='组合输入'!$L3,"AA",IF(J299&lt;='组合输入'!$M3,"A",IF(J299&lt;='组合输入'!$N3,"BBB",IF(J299&lt;='组合输入'!$O3,"BB",IF(J299&lt;='组合输入'!$P3,"B",IF(J299&lt;='组合输入'!$Q3,"CCC","D")))))))</f>
        <v/>
      </c>
      <c r="L299" s="12">
        <f>IF(K299="","",INDEX('状态价值'!$D3:$K3,MATCH(K299,'状态价值'!$D$1:$K$1,0)))</f>
        <v/>
      </c>
      <c r="M299" s="15">
        <f>NORM.S.INV(RAND())</f>
        <v/>
      </c>
      <c r="N299" s="15">
        <f>IF('组合输入'!$C4="","",'组合输入'!$H4*$B299+SQRT(1-'组合输入'!$H4^2)*M299)</f>
        <v/>
      </c>
      <c r="O299" s="7">
        <f>IF(N299="","",NORM.S.DIST(N299,TRUE))</f>
        <v/>
      </c>
      <c r="P299" s="13">
        <f>IF(O299="","",IF(O299&lt;='组合输入'!$K4,"AAA",IF(O299&lt;='组合输入'!$L4,"AA",IF(O299&lt;='组合输入'!$M4,"A",IF(O299&lt;='组合输入'!$N4,"BBB",IF(O299&lt;='组合输入'!$O4,"BB",IF(O299&lt;='组合输入'!$P4,"B",IF(O299&lt;='组合输入'!$Q4,"CCC","D")))))))</f>
        <v/>
      </c>
      <c r="Q299" s="12">
        <f>IF(P299="","",INDEX('状态价值'!$D4:$K4,MATCH(P299,'状态价值'!$D$1:$K$1,0)))</f>
        <v/>
      </c>
      <c r="R299" s="15">
        <f>NORM.S.INV(RAND())</f>
        <v/>
      </c>
      <c r="S299" s="15">
        <f>IF('组合输入'!$C5="","",'组合输入'!$H5*$B299+SQRT(1-'组合输入'!$H5^2)*R299)</f>
        <v/>
      </c>
      <c r="T299" s="7">
        <f>IF(S299="","",NORM.S.DIST(S299,TRUE))</f>
        <v/>
      </c>
      <c r="U299" s="13">
        <f>IF(T299="","",IF(T299&lt;='组合输入'!$K5,"AAA",IF(T299&lt;='组合输入'!$L5,"AA",IF(T299&lt;='组合输入'!$M5,"A",IF(T299&lt;='组合输入'!$N5,"BBB",IF(T299&lt;='组合输入'!$O5,"BB",IF(T299&lt;='组合输入'!$P5,"B",IF(T299&lt;='组合输入'!$Q5,"CCC","D")))))))</f>
        <v/>
      </c>
      <c r="V299" s="12">
        <f>IF(U299="","",INDEX('状态价值'!$D5:$K5,MATCH(U299,'状态价值'!$D$1:$K$1,0)))</f>
        <v/>
      </c>
      <c r="W299" s="15">
        <f>NORM.S.INV(RAND())</f>
        <v/>
      </c>
      <c r="X299" s="15">
        <f>IF('组合输入'!$C6="","",'组合输入'!$H6*$B299+SQRT(1-'组合输入'!$H6^2)*W299)</f>
        <v/>
      </c>
      <c r="Y299" s="7">
        <f>IF(X299="","",NORM.S.DIST(X299,TRUE))</f>
        <v/>
      </c>
      <c r="Z299" s="13">
        <f>IF(Y299="","",IF(Y299&lt;='组合输入'!$K6,"AAA",IF(Y299&lt;='组合输入'!$L6,"AA",IF(Y299&lt;='组合输入'!$M6,"A",IF(Y299&lt;='组合输入'!$N6,"BBB",IF(Y299&lt;='组合输入'!$O6,"BB",IF(Y299&lt;='组合输入'!$P6,"B",IF(Y299&lt;='组合输入'!$Q6,"CCC","D")))))))</f>
        <v/>
      </c>
      <c r="AA299" s="12">
        <f>IF(Z299="","",INDEX('状态价值'!$D6:$K6,MATCH(Z299,'状态价值'!$D$1:$K$1,0)))</f>
        <v/>
      </c>
      <c r="AB299" s="15">
        <f>NORM.S.INV(RAND())</f>
        <v/>
      </c>
      <c r="AC299" s="15">
        <f>IF('组合输入'!$C7="","",'组合输入'!$H7*$B299+SQRT(1-'组合输入'!$H7^2)*AB299)</f>
        <v/>
      </c>
      <c r="AD299" s="7">
        <f>IF(AC299="","",NORM.S.DIST(AC299,TRUE))</f>
        <v/>
      </c>
      <c r="AE299" s="13">
        <f>IF(AD299="","",IF(AD299&lt;='组合输入'!$K7,"AAA",IF(AD299&lt;='组合输入'!$L7,"AA",IF(AD299&lt;='组合输入'!$M7,"A",IF(AD299&lt;='组合输入'!$N7,"BBB",IF(AD299&lt;='组合输入'!$O7,"BB",IF(AD299&lt;='组合输入'!$P7,"B",IF(AD299&lt;='组合输入'!$Q7,"CCC","D")))))))</f>
        <v/>
      </c>
      <c r="AF299" s="12">
        <f>IF(AE299="","",INDEX('状态价值'!$D7:$K7,MATCH(AE299,'状态价值'!$D$1:$K$1,0)))</f>
        <v/>
      </c>
      <c r="AG299" s="15">
        <f>NORM.S.INV(RAND())</f>
        <v/>
      </c>
      <c r="AH299" s="15">
        <f>IF('组合输入'!$C8="","",'组合输入'!$H8*$B299+SQRT(1-'组合输入'!$H8^2)*AG299)</f>
        <v/>
      </c>
      <c r="AI299" s="7">
        <f>IF(AH299="","",NORM.S.DIST(AH299,TRUE))</f>
        <v/>
      </c>
      <c r="AJ299" s="13">
        <f>IF(AI299="","",IF(AI299&lt;='组合输入'!$K8,"AAA",IF(AI299&lt;='组合输入'!$L8,"AA",IF(AI299&lt;='组合输入'!$M8,"A",IF(AI299&lt;='组合输入'!$N8,"BBB",IF(AI299&lt;='组合输入'!$O8,"BB",IF(AI299&lt;='组合输入'!$P8,"B",IF(AI299&lt;='组合输入'!$Q8,"CCC","D")))))))</f>
        <v/>
      </c>
      <c r="AK299" s="12">
        <f>IF(AJ299="","",INDEX('状态价值'!$D8:$K8,MATCH(AJ299,'状态价值'!$D$1:$K$1,0)))</f>
        <v/>
      </c>
      <c r="AL299" s="15">
        <f>NORM.S.INV(RAND())</f>
        <v/>
      </c>
      <c r="AM299" s="15">
        <f>IF('组合输入'!$C9="","",'组合输入'!$H9*$B299+SQRT(1-'组合输入'!$H9^2)*AL299)</f>
        <v/>
      </c>
      <c r="AN299" s="7">
        <f>IF(AM299="","",NORM.S.DIST(AM299,TRUE))</f>
        <v/>
      </c>
      <c r="AO299" s="13">
        <f>IF(AN299="","",IF(AN299&lt;='组合输入'!$K9,"AAA",IF(AN299&lt;='组合输入'!$L9,"AA",IF(AN299&lt;='组合输入'!$M9,"A",IF(AN299&lt;='组合输入'!$N9,"BBB",IF(AN299&lt;='组合输入'!$O9,"BB",IF(AN299&lt;='组合输入'!$P9,"B",IF(AN299&lt;='组合输入'!$Q9,"CCC","D")))))))</f>
        <v/>
      </c>
      <c r="AP299" s="12">
        <f>IF(AO299="","",INDEX('状态价值'!$D9:$K9,MATCH(AO299,'状态价值'!$D$1:$K$1,0)))</f>
        <v/>
      </c>
      <c r="AQ299" s="15">
        <f>NORM.S.INV(RAND())</f>
        <v/>
      </c>
      <c r="AR299" s="15">
        <f>IF('组合输入'!$C10="","",'组合输入'!$H10*$B299+SQRT(1-'组合输入'!$H10^2)*AQ299)</f>
        <v/>
      </c>
      <c r="AS299" s="7">
        <f>IF(AR299="","",NORM.S.DIST(AR299,TRUE))</f>
        <v/>
      </c>
      <c r="AT299" s="13">
        <f>IF(AS299="","",IF(AS299&lt;='组合输入'!$K10,"AAA",IF(AS299&lt;='组合输入'!$L10,"AA",IF(AS299&lt;='组合输入'!$M10,"A",IF(AS299&lt;='组合输入'!$N10,"BBB",IF(AS299&lt;='组合输入'!$O10,"BB",IF(AS299&lt;='组合输入'!$P10,"B",IF(AS299&lt;='组合输入'!$Q10,"CCC","D")))))))</f>
        <v/>
      </c>
      <c r="AU299" s="12">
        <f>IF(AT299="","",INDEX('状态价值'!$D10:$K10,MATCH(AT299,'状态价值'!$D$1:$K$1,0)))</f>
        <v/>
      </c>
      <c r="AV299" s="15">
        <f>NORM.S.INV(RAND())</f>
        <v/>
      </c>
      <c r="AW299" s="15">
        <f>IF('组合输入'!$C11="","",'组合输入'!$H11*$B299+SQRT(1-'组合输入'!$H11^2)*AV299)</f>
        <v/>
      </c>
      <c r="AX299" s="7">
        <f>IF(AW299="","",NORM.S.DIST(AW299,TRUE))</f>
        <v/>
      </c>
      <c r="AY299" s="13">
        <f>IF(AX299="","",IF(AX299&lt;='组合输入'!$K11,"AAA",IF(AX299&lt;='组合输入'!$L11,"AA",IF(AX299&lt;='组合输入'!$M11,"A",IF(AX299&lt;='组合输入'!$N11,"BBB",IF(AX299&lt;='组合输入'!$O11,"BB",IF(AX299&lt;='组合输入'!$P11,"B",IF(AX299&lt;='组合输入'!$Q11,"CCC","D")))))))</f>
        <v/>
      </c>
      <c r="AZ299" s="12">
        <f>IF(AY299="","",INDEX('状态价值'!$D11:$K11,MATCH(AY299,'状态价值'!$D$1:$K$1,0)))</f>
        <v/>
      </c>
      <c r="BA299" s="12">
        <f>G299+L299+Q299+V299+AA299+AF299+AK299+AP299+AU299+AZ299</f>
        <v/>
      </c>
      <c r="BB299" s="12">
        <f>SUM('组合输入'!$J$2:$J$11)-BA299</f>
        <v/>
      </c>
    </row>
    <row r="300">
      <c r="A300" s="11" t="n">
        <v>299</v>
      </c>
      <c r="B300" s="14">
        <f>NORM.S.INV(RAND())</f>
        <v/>
      </c>
      <c r="C300" s="14">
        <f>NORM.S.INV(RAND())</f>
        <v/>
      </c>
      <c r="D300" s="15">
        <f>IF('组合输入'!$C2="","",'组合输入'!$H2*$B300+SQRT(1-'组合输入'!$H2^2)*C300)</f>
        <v/>
      </c>
      <c r="E300" s="7">
        <f>IF(D300="","",NORM.S.DIST(D300,TRUE))</f>
        <v/>
      </c>
      <c r="F300" s="13">
        <f>IF(E300="","",IF(E300&lt;='组合输入'!$K2,"AAA",IF(E300&lt;='组合输入'!$L2,"AA",IF(E300&lt;='组合输入'!$M2,"A",IF(E300&lt;='组合输入'!$N2,"BBB",IF(E300&lt;='组合输入'!$O2,"BB",IF(E300&lt;='组合输入'!$P2,"B",IF(E300&lt;='组合输入'!$Q2,"CCC","D")))))))</f>
        <v/>
      </c>
      <c r="G300" s="12">
        <f>IF(F300="","",INDEX('状态价值'!$D2:$K2,MATCH(F300,'状态价值'!$D$1:$K$1,0)))</f>
        <v/>
      </c>
      <c r="H300" s="15">
        <f>NORM.S.INV(RAND())</f>
        <v/>
      </c>
      <c r="I300" s="15">
        <f>IF('组合输入'!$C3="","",'组合输入'!$H3*$B300+SQRT(1-'组合输入'!$H3^2)*H300)</f>
        <v/>
      </c>
      <c r="J300" s="7">
        <f>IF(I300="","",NORM.S.DIST(I300,TRUE))</f>
        <v/>
      </c>
      <c r="K300" s="13">
        <f>IF(J300="","",IF(J300&lt;='组合输入'!$K3,"AAA",IF(J300&lt;='组合输入'!$L3,"AA",IF(J300&lt;='组合输入'!$M3,"A",IF(J300&lt;='组合输入'!$N3,"BBB",IF(J300&lt;='组合输入'!$O3,"BB",IF(J300&lt;='组合输入'!$P3,"B",IF(J300&lt;='组合输入'!$Q3,"CCC","D")))))))</f>
        <v/>
      </c>
      <c r="L300" s="12">
        <f>IF(K300="","",INDEX('状态价值'!$D3:$K3,MATCH(K300,'状态价值'!$D$1:$K$1,0)))</f>
        <v/>
      </c>
      <c r="M300" s="15">
        <f>NORM.S.INV(RAND())</f>
        <v/>
      </c>
      <c r="N300" s="15">
        <f>IF('组合输入'!$C4="","",'组合输入'!$H4*$B300+SQRT(1-'组合输入'!$H4^2)*M300)</f>
        <v/>
      </c>
      <c r="O300" s="7">
        <f>IF(N300="","",NORM.S.DIST(N300,TRUE))</f>
        <v/>
      </c>
      <c r="P300" s="13">
        <f>IF(O300="","",IF(O300&lt;='组合输入'!$K4,"AAA",IF(O300&lt;='组合输入'!$L4,"AA",IF(O300&lt;='组合输入'!$M4,"A",IF(O300&lt;='组合输入'!$N4,"BBB",IF(O300&lt;='组合输入'!$O4,"BB",IF(O300&lt;='组合输入'!$P4,"B",IF(O300&lt;='组合输入'!$Q4,"CCC","D")))))))</f>
        <v/>
      </c>
      <c r="Q300" s="12">
        <f>IF(P300="","",INDEX('状态价值'!$D4:$K4,MATCH(P300,'状态价值'!$D$1:$K$1,0)))</f>
        <v/>
      </c>
      <c r="R300" s="15">
        <f>NORM.S.INV(RAND())</f>
        <v/>
      </c>
      <c r="S300" s="15">
        <f>IF('组合输入'!$C5="","",'组合输入'!$H5*$B300+SQRT(1-'组合输入'!$H5^2)*R300)</f>
        <v/>
      </c>
      <c r="T300" s="7">
        <f>IF(S300="","",NORM.S.DIST(S300,TRUE))</f>
        <v/>
      </c>
      <c r="U300" s="13">
        <f>IF(T300="","",IF(T300&lt;='组合输入'!$K5,"AAA",IF(T300&lt;='组合输入'!$L5,"AA",IF(T300&lt;='组合输入'!$M5,"A",IF(T300&lt;='组合输入'!$N5,"BBB",IF(T300&lt;='组合输入'!$O5,"BB",IF(T300&lt;='组合输入'!$P5,"B",IF(T300&lt;='组合输入'!$Q5,"CCC","D")))))))</f>
        <v/>
      </c>
      <c r="V300" s="12">
        <f>IF(U300="","",INDEX('状态价值'!$D5:$K5,MATCH(U300,'状态价值'!$D$1:$K$1,0)))</f>
        <v/>
      </c>
      <c r="W300" s="15">
        <f>NORM.S.INV(RAND())</f>
        <v/>
      </c>
      <c r="X300" s="15">
        <f>IF('组合输入'!$C6="","",'组合输入'!$H6*$B300+SQRT(1-'组合输入'!$H6^2)*W300)</f>
        <v/>
      </c>
      <c r="Y300" s="7">
        <f>IF(X300="","",NORM.S.DIST(X300,TRUE))</f>
        <v/>
      </c>
      <c r="Z300" s="13">
        <f>IF(Y300="","",IF(Y300&lt;='组合输入'!$K6,"AAA",IF(Y300&lt;='组合输入'!$L6,"AA",IF(Y300&lt;='组合输入'!$M6,"A",IF(Y300&lt;='组合输入'!$N6,"BBB",IF(Y300&lt;='组合输入'!$O6,"BB",IF(Y300&lt;='组合输入'!$P6,"B",IF(Y300&lt;='组合输入'!$Q6,"CCC","D")))))))</f>
        <v/>
      </c>
      <c r="AA300" s="12">
        <f>IF(Z300="","",INDEX('状态价值'!$D6:$K6,MATCH(Z300,'状态价值'!$D$1:$K$1,0)))</f>
        <v/>
      </c>
      <c r="AB300" s="15">
        <f>NORM.S.INV(RAND())</f>
        <v/>
      </c>
      <c r="AC300" s="15">
        <f>IF('组合输入'!$C7="","",'组合输入'!$H7*$B300+SQRT(1-'组合输入'!$H7^2)*AB300)</f>
        <v/>
      </c>
      <c r="AD300" s="7">
        <f>IF(AC300="","",NORM.S.DIST(AC300,TRUE))</f>
        <v/>
      </c>
      <c r="AE300" s="13">
        <f>IF(AD300="","",IF(AD300&lt;='组合输入'!$K7,"AAA",IF(AD300&lt;='组合输入'!$L7,"AA",IF(AD300&lt;='组合输入'!$M7,"A",IF(AD300&lt;='组合输入'!$N7,"BBB",IF(AD300&lt;='组合输入'!$O7,"BB",IF(AD300&lt;='组合输入'!$P7,"B",IF(AD300&lt;='组合输入'!$Q7,"CCC","D")))))))</f>
        <v/>
      </c>
      <c r="AF300" s="12">
        <f>IF(AE300="","",INDEX('状态价值'!$D7:$K7,MATCH(AE300,'状态价值'!$D$1:$K$1,0)))</f>
        <v/>
      </c>
      <c r="AG300" s="15">
        <f>NORM.S.INV(RAND())</f>
        <v/>
      </c>
      <c r="AH300" s="15">
        <f>IF('组合输入'!$C8="","",'组合输入'!$H8*$B300+SQRT(1-'组合输入'!$H8^2)*AG300)</f>
        <v/>
      </c>
      <c r="AI300" s="7">
        <f>IF(AH300="","",NORM.S.DIST(AH300,TRUE))</f>
        <v/>
      </c>
      <c r="AJ300" s="13">
        <f>IF(AI300="","",IF(AI300&lt;='组合输入'!$K8,"AAA",IF(AI300&lt;='组合输入'!$L8,"AA",IF(AI300&lt;='组合输入'!$M8,"A",IF(AI300&lt;='组合输入'!$N8,"BBB",IF(AI300&lt;='组合输入'!$O8,"BB",IF(AI300&lt;='组合输入'!$P8,"B",IF(AI300&lt;='组合输入'!$Q8,"CCC","D")))))))</f>
        <v/>
      </c>
      <c r="AK300" s="12">
        <f>IF(AJ300="","",INDEX('状态价值'!$D8:$K8,MATCH(AJ300,'状态价值'!$D$1:$K$1,0)))</f>
        <v/>
      </c>
      <c r="AL300" s="15">
        <f>NORM.S.INV(RAND())</f>
        <v/>
      </c>
      <c r="AM300" s="15">
        <f>IF('组合输入'!$C9="","",'组合输入'!$H9*$B300+SQRT(1-'组合输入'!$H9^2)*AL300)</f>
        <v/>
      </c>
      <c r="AN300" s="7">
        <f>IF(AM300="","",NORM.S.DIST(AM300,TRUE))</f>
        <v/>
      </c>
      <c r="AO300" s="13">
        <f>IF(AN300="","",IF(AN300&lt;='组合输入'!$K9,"AAA",IF(AN300&lt;='组合输入'!$L9,"AA",IF(AN300&lt;='组合输入'!$M9,"A",IF(AN300&lt;='组合输入'!$N9,"BBB",IF(AN300&lt;='组合输入'!$O9,"BB",IF(AN300&lt;='组合输入'!$P9,"B",IF(AN300&lt;='组合输入'!$Q9,"CCC","D")))))))</f>
        <v/>
      </c>
      <c r="AP300" s="12">
        <f>IF(AO300="","",INDEX('状态价值'!$D9:$K9,MATCH(AO300,'状态价值'!$D$1:$K$1,0)))</f>
        <v/>
      </c>
      <c r="AQ300" s="15">
        <f>NORM.S.INV(RAND())</f>
        <v/>
      </c>
      <c r="AR300" s="15">
        <f>IF('组合输入'!$C10="","",'组合输入'!$H10*$B300+SQRT(1-'组合输入'!$H10^2)*AQ300)</f>
        <v/>
      </c>
      <c r="AS300" s="7">
        <f>IF(AR300="","",NORM.S.DIST(AR300,TRUE))</f>
        <v/>
      </c>
      <c r="AT300" s="13">
        <f>IF(AS300="","",IF(AS300&lt;='组合输入'!$K10,"AAA",IF(AS300&lt;='组合输入'!$L10,"AA",IF(AS300&lt;='组合输入'!$M10,"A",IF(AS300&lt;='组合输入'!$N10,"BBB",IF(AS300&lt;='组合输入'!$O10,"BB",IF(AS300&lt;='组合输入'!$P10,"B",IF(AS300&lt;='组合输入'!$Q10,"CCC","D")))))))</f>
        <v/>
      </c>
      <c r="AU300" s="12">
        <f>IF(AT300="","",INDEX('状态价值'!$D10:$K10,MATCH(AT300,'状态价值'!$D$1:$K$1,0)))</f>
        <v/>
      </c>
      <c r="AV300" s="15">
        <f>NORM.S.INV(RAND())</f>
        <v/>
      </c>
      <c r="AW300" s="15">
        <f>IF('组合输入'!$C11="","",'组合输入'!$H11*$B300+SQRT(1-'组合输入'!$H11^2)*AV300)</f>
        <v/>
      </c>
      <c r="AX300" s="7">
        <f>IF(AW300="","",NORM.S.DIST(AW300,TRUE))</f>
        <v/>
      </c>
      <c r="AY300" s="13">
        <f>IF(AX300="","",IF(AX300&lt;='组合输入'!$K11,"AAA",IF(AX300&lt;='组合输入'!$L11,"AA",IF(AX300&lt;='组合输入'!$M11,"A",IF(AX300&lt;='组合输入'!$N11,"BBB",IF(AX300&lt;='组合输入'!$O11,"BB",IF(AX300&lt;='组合输入'!$P11,"B",IF(AX300&lt;='组合输入'!$Q11,"CCC","D")))))))</f>
        <v/>
      </c>
      <c r="AZ300" s="12">
        <f>IF(AY300="","",INDEX('状态价值'!$D11:$K11,MATCH(AY300,'状态价值'!$D$1:$K$1,0)))</f>
        <v/>
      </c>
      <c r="BA300" s="12">
        <f>G300+L300+Q300+V300+AA300+AF300+AK300+AP300+AU300+AZ300</f>
        <v/>
      </c>
      <c r="BB300" s="12">
        <f>SUM('组合输入'!$J$2:$J$11)-BA300</f>
        <v/>
      </c>
    </row>
    <row r="301">
      <c r="A301" s="11" t="n">
        <v>300</v>
      </c>
      <c r="B301" s="14">
        <f>NORM.S.INV(RAND())</f>
        <v/>
      </c>
      <c r="C301" s="14">
        <f>NORM.S.INV(RAND())</f>
        <v/>
      </c>
      <c r="D301" s="15">
        <f>IF('组合输入'!$C2="","",'组合输入'!$H2*$B301+SQRT(1-'组合输入'!$H2^2)*C301)</f>
        <v/>
      </c>
      <c r="E301" s="7">
        <f>IF(D301="","",NORM.S.DIST(D301,TRUE))</f>
        <v/>
      </c>
      <c r="F301" s="13">
        <f>IF(E301="","",IF(E301&lt;='组合输入'!$K2,"AAA",IF(E301&lt;='组合输入'!$L2,"AA",IF(E301&lt;='组合输入'!$M2,"A",IF(E301&lt;='组合输入'!$N2,"BBB",IF(E301&lt;='组合输入'!$O2,"BB",IF(E301&lt;='组合输入'!$P2,"B",IF(E301&lt;='组合输入'!$Q2,"CCC","D")))))))</f>
        <v/>
      </c>
      <c r="G301" s="12">
        <f>IF(F301="","",INDEX('状态价值'!$D2:$K2,MATCH(F301,'状态价值'!$D$1:$K$1,0)))</f>
        <v/>
      </c>
      <c r="H301" s="15">
        <f>NORM.S.INV(RAND())</f>
        <v/>
      </c>
      <c r="I301" s="15">
        <f>IF('组合输入'!$C3="","",'组合输入'!$H3*$B301+SQRT(1-'组合输入'!$H3^2)*H301)</f>
        <v/>
      </c>
      <c r="J301" s="7">
        <f>IF(I301="","",NORM.S.DIST(I301,TRUE))</f>
        <v/>
      </c>
      <c r="K301" s="13">
        <f>IF(J301="","",IF(J301&lt;='组合输入'!$K3,"AAA",IF(J301&lt;='组合输入'!$L3,"AA",IF(J301&lt;='组合输入'!$M3,"A",IF(J301&lt;='组合输入'!$N3,"BBB",IF(J301&lt;='组合输入'!$O3,"BB",IF(J301&lt;='组合输入'!$P3,"B",IF(J301&lt;='组合输入'!$Q3,"CCC","D")))))))</f>
        <v/>
      </c>
      <c r="L301" s="12">
        <f>IF(K301="","",INDEX('状态价值'!$D3:$K3,MATCH(K301,'状态价值'!$D$1:$K$1,0)))</f>
        <v/>
      </c>
      <c r="M301" s="15">
        <f>NORM.S.INV(RAND())</f>
        <v/>
      </c>
      <c r="N301" s="15">
        <f>IF('组合输入'!$C4="","",'组合输入'!$H4*$B301+SQRT(1-'组合输入'!$H4^2)*M301)</f>
        <v/>
      </c>
      <c r="O301" s="7">
        <f>IF(N301="","",NORM.S.DIST(N301,TRUE))</f>
        <v/>
      </c>
      <c r="P301" s="13">
        <f>IF(O301="","",IF(O301&lt;='组合输入'!$K4,"AAA",IF(O301&lt;='组合输入'!$L4,"AA",IF(O301&lt;='组合输入'!$M4,"A",IF(O301&lt;='组合输入'!$N4,"BBB",IF(O301&lt;='组合输入'!$O4,"BB",IF(O301&lt;='组合输入'!$P4,"B",IF(O301&lt;='组合输入'!$Q4,"CCC","D")))))))</f>
        <v/>
      </c>
      <c r="Q301" s="12">
        <f>IF(P301="","",INDEX('状态价值'!$D4:$K4,MATCH(P301,'状态价值'!$D$1:$K$1,0)))</f>
        <v/>
      </c>
      <c r="R301" s="15">
        <f>NORM.S.INV(RAND())</f>
        <v/>
      </c>
      <c r="S301" s="15">
        <f>IF('组合输入'!$C5="","",'组合输入'!$H5*$B301+SQRT(1-'组合输入'!$H5^2)*R301)</f>
        <v/>
      </c>
      <c r="T301" s="7">
        <f>IF(S301="","",NORM.S.DIST(S301,TRUE))</f>
        <v/>
      </c>
      <c r="U301" s="13">
        <f>IF(T301="","",IF(T301&lt;='组合输入'!$K5,"AAA",IF(T301&lt;='组合输入'!$L5,"AA",IF(T301&lt;='组合输入'!$M5,"A",IF(T301&lt;='组合输入'!$N5,"BBB",IF(T301&lt;='组合输入'!$O5,"BB",IF(T301&lt;='组合输入'!$P5,"B",IF(T301&lt;='组合输入'!$Q5,"CCC","D")))))))</f>
        <v/>
      </c>
      <c r="V301" s="12">
        <f>IF(U301="","",INDEX('状态价值'!$D5:$K5,MATCH(U301,'状态价值'!$D$1:$K$1,0)))</f>
        <v/>
      </c>
      <c r="W301" s="15">
        <f>NORM.S.INV(RAND())</f>
        <v/>
      </c>
      <c r="X301" s="15">
        <f>IF('组合输入'!$C6="","",'组合输入'!$H6*$B301+SQRT(1-'组合输入'!$H6^2)*W301)</f>
        <v/>
      </c>
      <c r="Y301" s="7">
        <f>IF(X301="","",NORM.S.DIST(X301,TRUE))</f>
        <v/>
      </c>
      <c r="Z301" s="13">
        <f>IF(Y301="","",IF(Y301&lt;='组合输入'!$K6,"AAA",IF(Y301&lt;='组合输入'!$L6,"AA",IF(Y301&lt;='组合输入'!$M6,"A",IF(Y301&lt;='组合输入'!$N6,"BBB",IF(Y301&lt;='组合输入'!$O6,"BB",IF(Y301&lt;='组合输入'!$P6,"B",IF(Y301&lt;='组合输入'!$Q6,"CCC","D")))))))</f>
        <v/>
      </c>
      <c r="AA301" s="12">
        <f>IF(Z301="","",INDEX('状态价值'!$D6:$K6,MATCH(Z301,'状态价值'!$D$1:$K$1,0)))</f>
        <v/>
      </c>
      <c r="AB301" s="15">
        <f>NORM.S.INV(RAND())</f>
        <v/>
      </c>
      <c r="AC301" s="15">
        <f>IF('组合输入'!$C7="","",'组合输入'!$H7*$B301+SQRT(1-'组合输入'!$H7^2)*AB301)</f>
        <v/>
      </c>
      <c r="AD301" s="7">
        <f>IF(AC301="","",NORM.S.DIST(AC301,TRUE))</f>
        <v/>
      </c>
      <c r="AE301" s="13">
        <f>IF(AD301="","",IF(AD301&lt;='组合输入'!$K7,"AAA",IF(AD301&lt;='组合输入'!$L7,"AA",IF(AD301&lt;='组合输入'!$M7,"A",IF(AD301&lt;='组合输入'!$N7,"BBB",IF(AD301&lt;='组合输入'!$O7,"BB",IF(AD301&lt;='组合输入'!$P7,"B",IF(AD301&lt;='组合输入'!$Q7,"CCC","D")))))))</f>
        <v/>
      </c>
      <c r="AF301" s="12">
        <f>IF(AE301="","",INDEX('状态价值'!$D7:$K7,MATCH(AE301,'状态价值'!$D$1:$K$1,0)))</f>
        <v/>
      </c>
      <c r="AG301" s="15">
        <f>NORM.S.INV(RAND())</f>
        <v/>
      </c>
      <c r="AH301" s="15">
        <f>IF('组合输入'!$C8="","",'组合输入'!$H8*$B301+SQRT(1-'组合输入'!$H8^2)*AG301)</f>
        <v/>
      </c>
      <c r="AI301" s="7">
        <f>IF(AH301="","",NORM.S.DIST(AH301,TRUE))</f>
        <v/>
      </c>
      <c r="AJ301" s="13">
        <f>IF(AI301="","",IF(AI301&lt;='组合输入'!$K8,"AAA",IF(AI301&lt;='组合输入'!$L8,"AA",IF(AI301&lt;='组合输入'!$M8,"A",IF(AI301&lt;='组合输入'!$N8,"BBB",IF(AI301&lt;='组合输入'!$O8,"BB",IF(AI301&lt;='组合输入'!$P8,"B",IF(AI301&lt;='组合输入'!$Q8,"CCC","D")))))))</f>
        <v/>
      </c>
      <c r="AK301" s="12">
        <f>IF(AJ301="","",INDEX('状态价值'!$D8:$K8,MATCH(AJ301,'状态价值'!$D$1:$K$1,0)))</f>
        <v/>
      </c>
      <c r="AL301" s="15">
        <f>NORM.S.INV(RAND())</f>
        <v/>
      </c>
      <c r="AM301" s="15">
        <f>IF('组合输入'!$C9="","",'组合输入'!$H9*$B301+SQRT(1-'组合输入'!$H9^2)*AL301)</f>
        <v/>
      </c>
      <c r="AN301" s="7">
        <f>IF(AM301="","",NORM.S.DIST(AM301,TRUE))</f>
        <v/>
      </c>
      <c r="AO301" s="13">
        <f>IF(AN301="","",IF(AN301&lt;='组合输入'!$K9,"AAA",IF(AN301&lt;='组合输入'!$L9,"AA",IF(AN301&lt;='组合输入'!$M9,"A",IF(AN301&lt;='组合输入'!$N9,"BBB",IF(AN301&lt;='组合输入'!$O9,"BB",IF(AN301&lt;='组合输入'!$P9,"B",IF(AN301&lt;='组合输入'!$Q9,"CCC","D")))))))</f>
        <v/>
      </c>
      <c r="AP301" s="12">
        <f>IF(AO301="","",INDEX('状态价值'!$D9:$K9,MATCH(AO301,'状态价值'!$D$1:$K$1,0)))</f>
        <v/>
      </c>
      <c r="AQ301" s="15">
        <f>NORM.S.INV(RAND())</f>
        <v/>
      </c>
      <c r="AR301" s="15">
        <f>IF('组合输入'!$C10="","",'组合输入'!$H10*$B301+SQRT(1-'组合输入'!$H10^2)*AQ301)</f>
        <v/>
      </c>
      <c r="AS301" s="7">
        <f>IF(AR301="","",NORM.S.DIST(AR301,TRUE))</f>
        <v/>
      </c>
      <c r="AT301" s="13">
        <f>IF(AS301="","",IF(AS301&lt;='组合输入'!$K10,"AAA",IF(AS301&lt;='组合输入'!$L10,"AA",IF(AS301&lt;='组合输入'!$M10,"A",IF(AS301&lt;='组合输入'!$N10,"BBB",IF(AS301&lt;='组合输入'!$O10,"BB",IF(AS301&lt;='组合输入'!$P10,"B",IF(AS301&lt;='组合输入'!$Q10,"CCC","D")))))))</f>
        <v/>
      </c>
      <c r="AU301" s="12">
        <f>IF(AT301="","",INDEX('状态价值'!$D10:$K10,MATCH(AT301,'状态价值'!$D$1:$K$1,0)))</f>
        <v/>
      </c>
      <c r="AV301" s="15">
        <f>NORM.S.INV(RAND())</f>
        <v/>
      </c>
      <c r="AW301" s="15">
        <f>IF('组合输入'!$C11="","",'组合输入'!$H11*$B301+SQRT(1-'组合输入'!$H11^2)*AV301)</f>
        <v/>
      </c>
      <c r="AX301" s="7">
        <f>IF(AW301="","",NORM.S.DIST(AW301,TRUE))</f>
        <v/>
      </c>
      <c r="AY301" s="13">
        <f>IF(AX301="","",IF(AX301&lt;='组合输入'!$K11,"AAA",IF(AX301&lt;='组合输入'!$L11,"AA",IF(AX301&lt;='组合输入'!$M11,"A",IF(AX301&lt;='组合输入'!$N11,"BBB",IF(AX301&lt;='组合输入'!$O11,"BB",IF(AX301&lt;='组合输入'!$P11,"B",IF(AX301&lt;='组合输入'!$Q11,"CCC","D")))))))</f>
        <v/>
      </c>
      <c r="AZ301" s="12">
        <f>IF(AY301="","",INDEX('状态价值'!$D11:$K11,MATCH(AY301,'状态价值'!$D$1:$K$1,0)))</f>
        <v/>
      </c>
      <c r="BA301" s="12">
        <f>G301+L301+Q301+V301+AA301+AF301+AK301+AP301+AU301+AZ301</f>
        <v/>
      </c>
      <c r="BB301" s="12">
        <f>SUM('组合输入'!$J$2:$J$11)-BA301</f>
        <v/>
      </c>
    </row>
    <row r="302">
      <c r="A302" s="11" t="n">
        <v>301</v>
      </c>
      <c r="B302" s="14">
        <f>NORM.S.INV(RAND())</f>
        <v/>
      </c>
      <c r="C302" s="14">
        <f>NORM.S.INV(RAND())</f>
        <v/>
      </c>
      <c r="D302" s="15">
        <f>IF('组合输入'!$C2="","",'组合输入'!$H2*$B302+SQRT(1-'组合输入'!$H2^2)*C302)</f>
        <v/>
      </c>
      <c r="E302" s="7">
        <f>IF(D302="","",NORM.S.DIST(D302,TRUE))</f>
        <v/>
      </c>
      <c r="F302" s="13">
        <f>IF(E302="","",IF(E302&lt;='组合输入'!$K2,"AAA",IF(E302&lt;='组合输入'!$L2,"AA",IF(E302&lt;='组合输入'!$M2,"A",IF(E302&lt;='组合输入'!$N2,"BBB",IF(E302&lt;='组合输入'!$O2,"BB",IF(E302&lt;='组合输入'!$P2,"B",IF(E302&lt;='组合输入'!$Q2,"CCC","D")))))))</f>
        <v/>
      </c>
      <c r="G302" s="12">
        <f>IF(F302="","",INDEX('状态价值'!$D2:$K2,MATCH(F302,'状态价值'!$D$1:$K$1,0)))</f>
        <v/>
      </c>
      <c r="H302" s="15">
        <f>NORM.S.INV(RAND())</f>
        <v/>
      </c>
      <c r="I302" s="15">
        <f>IF('组合输入'!$C3="","",'组合输入'!$H3*$B302+SQRT(1-'组合输入'!$H3^2)*H302)</f>
        <v/>
      </c>
      <c r="J302" s="7">
        <f>IF(I302="","",NORM.S.DIST(I302,TRUE))</f>
        <v/>
      </c>
      <c r="K302" s="13">
        <f>IF(J302="","",IF(J302&lt;='组合输入'!$K3,"AAA",IF(J302&lt;='组合输入'!$L3,"AA",IF(J302&lt;='组合输入'!$M3,"A",IF(J302&lt;='组合输入'!$N3,"BBB",IF(J302&lt;='组合输入'!$O3,"BB",IF(J302&lt;='组合输入'!$P3,"B",IF(J302&lt;='组合输入'!$Q3,"CCC","D")))))))</f>
        <v/>
      </c>
      <c r="L302" s="12">
        <f>IF(K302="","",INDEX('状态价值'!$D3:$K3,MATCH(K302,'状态价值'!$D$1:$K$1,0)))</f>
        <v/>
      </c>
      <c r="M302" s="15">
        <f>NORM.S.INV(RAND())</f>
        <v/>
      </c>
      <c r="N302" s="15">
        <f>IF('组合输入'!$C4="","",'组合输入'!$H4*$B302+SQRT(1-'组合输入'!$H4^2)*M302)</f>
        <v/>
      </c>
      <c r="O302" s="7">
        <f>IF(N302="","",NORM.S.DIST(N302,TRUE))</f>
        <v/>
      </c>
      <c r="P302" s="13">
        <f>IF(O302="","",IF(O302&lt;='组合输入'!$K4,"AAA",IF(O302&lt;='组合输入'!$L4,"AA",IF(O302&lt;='组合输入'!$M4,"A",IF(O302&lt;='组合输入'!$N4,"BBB",IF(O302&lt;='组合输入'!$O4,"BB",IF(O302&lt;='组合输入'!$P4,"B",IF(O302&lt;='组合输入'!$Q4,"CCC","D")))))))</f>
        <v/>
      </c>
      <c r="Q302" s="12">
        <f>IF(P302="","",INDEX('状态价值'!$D4:$K4,MATCH(P302,'状态价值'!$D$1:$K$1,0)))</f>
        <v/>
      </c>
      <c r="R302" s="15">
        <f>NORM.S.INV(RAND())</f>
        <v/>
      </c>
      <c r="S302" s="15">
        <f>IF('组合输入'!$C5="","",'组合输入'!$H5*$B302+SQRT(1-'组合输入'!$H5^2)*R302)</f>
        <v/>
      </c>
      <c r="T302" s="7">
        <f>IF(S302="","",NORM.S.DIST(S302,TRUE))</f>
        <v/>
      </c>
      <c r="U302" s="13">
        <f>IF(T302="","",IF(T302&lt;='组合输入'!$K5,"AAA",IF(T302&lt;='组合输入'!$L5,"AA",IF(T302&lt;='组合输入'!$M5,"A",IF(T302&lt;='组合输入'!$N5,"BBB",IF(T302&lt;='组合输入'!$O5,"BB",IF(T302&lt;='组合输入'!$P5,"B",IF(T302&lt;='组合输入'!$Q5,"CCC","D")))))))</f>
        <v/>
      </c>
      <c r="V302" s="12">
        <f>IF(U302="","",INDEX('状态价值'!$D5:$K5,MATCH(U302,'状态价值'!$D$1:$K$1,0)))</f>
        <v/>
      </c>
      <c r="W302" s="15">
        <f>NORM.S.INV(RAND())</f>
        <v/>
      </c>
      <c r="X302" s="15">
        <f>IF('组合输入'!$C6="","",'组合输入'!$H6*$B302+SQRT(1-'组合输入'!$H6^2)*W302)</f>
        <v/>
      </c>
      <c r="Y302" s="7">
        <f>IF(X302="","",NORM.S.DIST(X302,TRUE))</f>
        <v/>
      </c>
      <c r="Z302" s="13">
        <f>IF(Y302="","",IF(Y302&lt;='组合输入'!$K6,"AAA",IF(Y302&lt;='组合输入'!$L6,"AA",IF(Y302&lt;='组合输入'!$M6,"A",IF(Y302&lt;='组合输入'!$N6,"BBB",IF(Y302&lt;='组合输入'!$O6,"BB",IF(Y302&lt;='组合输入'!$P6,"B",IF(Y302&lt;='组合输入'!$Q6,"CCC","D")))))))</f>
        <v/>
      </c>
      <c r="AA302" s="12">
        <f>IF(Z302="","",INDEX('状态价值'!$D6:$K6,MATCH(Z302,'状态价值'!$D$1:$K$1,0)))</f>
        <v/>
      </c>
      <c r="AB302" s="15">
        <f>NORM.S.INV(RAND())</f>
        <v/>
      </c>
      <c r="AC302" s="15">
        <f>IF('组合输入'!$C7="","",'组合输入'!$H7*$B302+SQRT(1-'组合输入'!$H7^2)*AB302)</f>
        <v/>
      </c>
      <c r="AD302" s="7">
        <f>IF(AC302="","",NORM.S.DIST(AC302,TRUE))</f>
        <v/>
      </c>
      <c r="AE302" s="13">
        <f>IF(AD302="","",IF(AD302&lt;='组合输入'!$K7,"AAA",IF(AD302&lt;='组合输入'!$L7,"AA",IF(AD302&lt;='组合输入'!$M7,"A",IF(AD302&lt;='组合输入'!$N7,"BBB",IF(AD302&lt;='组合输入'!$O7,"BB",IF(AD302&lt;='组合输入'!$P7,"B",IF(AD302&lt;='组合输入'!$Q7,"CCC","D")))))))</f>
        <v/>
      </c>
      <c r="AF302" s="12">
        <f>IF(AE302="","",INDEX('状态价值'!$D7:$K7,MATCH(AE302,'状态价值'!$D$1:$K$1,0)))</f>
        <v/>
      </c>
      <c r="AG302" s="15">
        <f>NORM.S.INV(RAND())</f>
        <v/>
      </c>
      <c r="AH302" s="15">
        <f>IF('组合输入'!$C8="","",'组合输入'!$H8*$B302+SQRT(1-'组合输入'!$H8^2)*AG302)</f>
        <v/>
      </c>
      <c r="AI302" s="7">
        <f>IF(AH302="","",NORM.S.DIST(AH302,TRUE))</f>
        <v/>
      </c>
      <c r="AJ302" s="13">
        <f>IF(AI302="","",IF(AI302&lt;='组合输入'!$K8,"AAA",IF(AI302&lt;='组合输入'!$L8,"AA",IF(AI302&lt;='组合输入'!$M8,"A",IF(AI302&lt;='组合输入'!$N8,"BBB",IF(AI302&lt;='组合输入'!$O8,"BB",IF(AI302&lt;='组合输入'!$P8,"B",IF(AI302&lt;='组合输入'!$Q8,"CCC","D")))))))</f>
        <v/>
      </c>
      <c r="AK302" s="12">
        <f>IF(AJ302="","",INDEX('状态价值'!$D8:$K8,MATCH(AJ302,'状态价值'!$D$1:$K$1,0)))</f>
        <v/>
      </c>
      <c r="AL302" s="15">
        <f>NORM.S.INV(RAND())</f>
        <v/>
      </c>
      <c r="AM302" s="15">
        <f>IF('组合输入'!$C9="","",'组合输入'!$H9*$B302+SQRT(1-'组合输入'!$H9^2)*AL302)</f>
        <v/>
      </c>
      <c r="AN302" s="7">
        <f>IF(AM302="","",NORM.S.DIST(AM302,TRUE))</f>
        <v/>
      </c>
      <c r="AO302" s="13">
        <f>IF(AN302="","",IF(AN302&lt;='组合输入'!$K9,"AAA",IF(AN302&lt;='组合输入'!$L9,"AA",IF(AN302&lt;='组合输入'!$M9,"A",IF(AN302&lt;='组合输入'!$N9,"BBB",IF(AN302&lt;='组合输入'!$O9,"BB",IF(AN302&lt;='组合输入'!$P9,"B",IF(AN302&lt;='组合输入'!$Q9,"CCC","D")))))))</f>
        <v/>
      </c>
      <c r="AP302" s="12">
        <f>IF(AO302="","",INDEX('状态价值'!$D9:$K9,MATCH(AO302,'状态价值'!$D$1:$K$1,0)))</f>
        <v/>
      </c>
      <c r="AQ302" s="15">
        <f>NORM.S.INV(RAND())</f>
        <v/>
      </c>
      <c r="AR302" s="15">
        <f>IF('组合输入'!$C10="","",'组合输入'!$H10*$B302+SQRT(1-'组合输入'!$H10^2)*AQ302)</f>
        <v/>
      </c>
      <c r="AS302" s="7">
        <f>IF(AR302="","",NORM.S.DIST(AR302,TRUE))</f>
        <v/>
      </c>
      <c r="AT302" s="13">
        <f>IF(AS302="","",IF(AS302&lt;='组合输入'!$K10,"AAA",IF(AS302&lt;='组合输入'!$L10,"AA",IF(AS302&lt;='组合输入'!$M10,"A",IF(AS302&lt;='组合输入'!$N10,"BBB",IF(AS302&lt;='组合输入'!$O10,"BB",IF(AS302&lt;='组合输入'!$P10,"B",IF(AS302&lt;='组合输入'!$Q10,"CCC","D")))))))</f>
        <v/>
      </c>
      <c r="AU302" s="12">
        <f>IF(AT302="","",INDEX('状态价值'!$D10:$K10,MATCH(AT302,'状态价值'!$D$1:$K$1,0)))</f>
        <v/>
      </c>
      <c r="AV302" s="15">
        <f>NORM.S.INV(RAND())</f>
        <v/>
      </c>
      <c r="AW302" s="15">
        <f>IF('组合输入'!$C11="","",'组合输入'!$H11*$B302+SQRT(1-'组合输入'!$H11^2)*AV302)</f>
        <v/>
      </c>
      <c r="AX302" s="7">
        <f>IF(AW302="","",NORM.S.DIST(AW302,TRUE))</f>
        <v/>
      </c>
      <c r="AY302" s="13">
        <f>IF(AX302="","",IF(AX302&lt;='组合输入'!$K11,"AAA",IF(AX302&lt;='组合输入'!$L11,"AA",IF(AX302&lt;='组合输入'!$M11,"A",IF(AX302&lt;='组合输入'!$N11,"BBB",IF(AX302&lt;='组合输入'!$O11,"BB",IF(AX302&lt;='组合输入'!$P11,"B",IF(AX302&lt;='组合输入'!$Q11,"CCC","D")))))))</f>
        <v/>
      </c>
      <c r="AZ302" s="12">
        <f>IF(AY302="","",INDEX('状态价值'!$D11:$K11,MATCH(AY302,'状态价值'!$D$1:$K$1,0)))</f>
        <v/>
      </c>
      <c r="BA302" s="12">
        <f>G302+L302+Q302+V302+AA302+AF302+AK302+AP302+AU302+AZ302</f>
        <v/>
      </c>
      <c r="BB302" s="12">
        <f>SUM('组合输入'!$J$2:$J$11)-BA302</f>
        <v/>
      </c>
    </row>
    <row r="303">
      <c r="A303" s="11" t="n">
        <v>302</v>
      </c>
      <c r="B303" s="14">
        <f>NORM.S.INV(RAND())</f>
        <v/>
      </c>
      <c r="C303" s="14">
        <f>NORM.S.INV(RAND())</f>
        <v/>
      </c>
      <c r="D303" s="15">
        <f>IF('组合输入'!$C2="","",'组合输入'!$H2*$B303+SQRT(1-'组合输入'!$H2^2)*C303)</f>
        <v/>
      </c>
      <c r="E303" s="7">
        <f>IF(D303="","",NORM.S.DIST(D303,TRUE))</f>
        <v/>
      </c>
      <c r="F303" s="13">
        <f>IF(E303="","",IF(E303&lt;='组合输入'!$K2,"AAA",IF(E303&lt;='组合输入'!$L2,"AA",IF(E303&lt;='组合输入'!$M2,"A",IF(E303&lt;='组合输入'!$N2,"BBB",IF(E303&lt;='组合输入'!$O2,"BB",IF(E303&lt;='组合输入'!$P2,"B",IF(E303&lt;='组合输入'!$Q2,"CCC","D")))))))</f>
        <v/>
      </c>
      <c r="G303" s="12">
        <f>IF(F303="","",INDEX('状态价值'!$D2:$K2,MATCH(F303,'状态价值'!$D$1:$K$1,0)))</f>
        <v/>
      </c>
      <c r="H303" s="15">
        <f>NORM.S.INV(RAND())</f>
        <v/>
      </c>
      <c r="I303" s="15">
        <f>IF('组合输入'!$C3="","",'组合输入'!$H3*$B303+SQRT(1-'组合输入'!$H3^2)*H303)</f>
        <v/>
      </c>
      <c r="J303" s="7">
        <f>IF(I303="","",NORM.S.DIST(I303,TRUE))</f>
        <v/>
      </c>
      <c r="K303" s="13">
        <f>IF(J303="","",IF(J303&lt;='组合输入'!$K3,"AAA",IF(J303&lt;='组合输入'!$L3,"AA",IF(J303&lt;='组合输入'!$M3,"A",IF(J303&lt;='组合输入'!$N3,"BBB",IF(J303&lt;='组合输入'!$O3,"BB",IF(J303&lt;='组合输入'!$P3,"B",IF(J303&lt;='组合输入'!$Q3,"CCC","D")))))))</f>
        <v/>
      </c>
      <c r="L303" s="12">
        <f>IF(K303="","",INDEX('状态价值'!$D3:$K3,MATCH(K303,'状态价值'!$D$1:$K$1,0)))</f>
        <v/>
      </c>
      <c r="M303" s="15">
        <f>NORM.S.INV(RAND())</f>
        <v/>
      </c>
      <c r="N303" s="15">
        <f>IF('组合输入'!$C4="","",'组合输入'!$H4*$B303+SQRT(1-'组合输入'!$H4^2)*M303)</f>
        <v/>
      </c>
      <c r="O303" s="7">
        <f>IF(N303="","",NORM.S.DIST(N303,TRUE))</f>
        <v/>
      </c>
      <c r="P303" s="13">
        <f>IF(O303="","",IF(O303&lt;='组合输入'!$K4,"AAA",IF(O303&lt;='组合输入'!$L4,"AA",IF(O303&lt;='组合输入'!$M4,"A",IF(O303&lt;='组合输入'!$N4,"BBB",IF(O303&lt;='组合输入'!$O4,"BB",IF(O303&lt;='组合输入'!$P4,"B",IF(O303&lt;='组合输入'!$Q4,"CCC","D")))))))</f>
        <v/>
      </c>
      <c r="Q303" s="12">
        <f>IF(P303="","",INDEX('状态价值'!$D4:$K4,MATCH(P303,'状态价值'!$D$1:$K$1,0)))</f>
        <v/>
      </c>
      <c r="R303" s="15">
        <f>NORM.S.INV(RAND())</f>
        <v/>
      </c>
      <c r="S303" s="15">
        <f>IF('组合输入'!$C5="","",'组合输入'!$H5*$B303+SQRT(1-'组合输入'!$H5^2)*R303)</f>
        <v/>
      </c>
      <c r="T303" s="7">
        <f>IF(S303="","",NORM.S.DIST(S303,TRUE))</f>
        <v/>
      </c>
      <c r="U303" s="13">
        <f>IF(T303="","",IF(T303&lt;='组合输入'!$K5,"AAA",IF(T303&lt;='组合输入'!$L5,"AA",IF(T303&lt;='组合输入'!$M5,"A",IF(T303&lt;='组合输入'!$N5,"BBB",IF(T303&lt;='组合输入'!$O5,"BB",IF(T303&lt;='组合输入'!$P5,"B",IF(T303&lt;='组合输入'!$Q5,"CCC","D")))))))</f>
        <v/>
      </c>
      <c r="V303" s="12">
        <f>IF(U303="","",INDEX('状态价值'!$D5:$K5,MATCH(U303,'状态价值'!$D$1:$K$1,0)))</f>
        <v/>
      </c>
      <c r="W303" s="15">
        <f>NORM.S.INV(RAND())</f>
        <v/>
      </c>
      <c r="X303" s="15">
        <f>IF('组合输入'!$C6="","",'组合输入'!$H6*$B303+SQRT(1-'组合输入'!$H6^2)*W303)</f>
        <v/>
      </c>
      <c r="Y303" s="7">
        <f>IF(X303="","",NORM.S.DIST(X303,TRUE))</f>
        <v/>
      </c>
      <c r="Z303" s="13">
        <f>IF(Y303="","",IF(Y303&lt;='组合输入'!$K6,"AAA",IF(Y303&lt;='组合输入'!$L6,"AA",IF(Y303&lt;='组合输入'!$M6,"A",IF(Y303&lt;='组合输入'!$N6,"BBB",IF(Y303&lt;='组合输入'!$O6,"BB",IF(Y303&lt;='组合输入'!$P6,"B",IF(Y303&lt;='组合输入'!$Q6,"CCC","D")))))))</f>
        <v/>
      </c>
      <c r="AA303" s="12">
        <f>IF(Z303="","",INDEX('状态价值'!$D6:$K6,MATCH(Z303,'状态价值'!$D$1:$K$1,0)))</f>
        <v/>
      </c>
      <c r="AB303" s="15">
        <f>NORM.S.INV(RAND())</f>
        <v/>
      </c>
      <c r="AC303" s="15">
        <f>IF('组合输入'!$C7="","",'组合输入'!$H7*$B303+SQRT(1-'组合输入'!$H7^2)*AB303)</f>
        <v/>
      </c>
      <c r="AD303" s="7">
        <f>IF(AC303="","",NORM.S.DIST(AC303,TRUE))</f>
        <v/>
      </c>
      <c r="AE303" s="13">
        <f>IF(AD303="","",IF(AD303&lt;='组合输入'!$K7,"AAA",IF(AD303&lt;='组合输入'!$L7,"AA",IF(AD303&lt;='组合输入'!$M7,"A",IF(AD303&lt;='组合输入'!$N7,"BBB",IF(AD303&lt;='组合输入'!$O7,"BB",IF(AD303&lt;='组合输入'!$P7,"B",IF(AD303&lt;='组合输入'!$Q7,"CCC","D")))))))</f>
        <v/>
      </c>
      <c r="AF303" s="12">
        <f>IF(AE303="","",INDEX('状态价值'!$D7:$K7,MATCH(AE303,'状态价值'!$D$1:$K$1,0)))</f>
        <v/>
      </c>
      <c r="AG303" s="15">
        <f>NORM.S.INV(RAND())</f>
        <v/>
      </c>
      <c r="AH303" s="15">
        <f>IF('组合输入'!$C8="","",'组合输入'!$H8*$B303+SQRT(1-'组合输入'!$H8^2)*AG303)</f>
        <v/>
      </c>
      <c r="AI303" s="7">
        <f>IF(AH303="","",NORM.S.DIST(AH303,TRUE))</f>
        <v/>
      </c>
      <c r="AJ303" s="13">
        <f>IF(AI303="","",IF(AI303&lt;='组合输入'!$K8,"AAA",IF(AI303&lt;='组合输入'!$L8,"AA",IF(AI303&lt;='组合输入'!$M8,"A",IF(AI303&lt;='组合输入'!$N8,"BBB",IF(AI303&lt;='组合输入'!$O8,"BB",IF(AI303&lt;='组合输入'!$P8,"B",IF(AI303&lt;='组合输入'!$Q8,"CCC","D")))))))</f>
        <v/>
      </c>
      <c r="AK303" s="12">
        <f>IF(AJ303="","",INDEX('状态价值'!$D8:$K8,MATCH(AJ303,'状态价值'!$D$1:$K$1,0)))</f>
        <v/>
      </c>
      <c r="AL303" s="15">
        <f>NORM.S.INV(RAND())</f>
        <v/>
      </c>
      <c r="AM303" s="15">
        <f>IF('组合输入'!$C9="","",'组合输入'!$H9*$B303+SQRT(1-'组合输入'!$H9^2)*AL303)</f>
        <v/>
      </c>
      <c r="AN303" s="7">
        <f>IF(AM303="","",NORM.S.DIST(AM303,TRUE))</f>
        <v/>
      </c>
      <c r="AO303" s="13">
        <f>IF(AN303="","",IF(AN303&lt;='组合输入'!$K9,"AAA",IF(AN303&lt;='组合输入'!$L9,"AA",IF(AN303&lt;='组合输入'!$M9,"A",IF(AN303&lt;='组合输入'!$N9,"BBB",IF(AN303&lt;='组合输入'!$O9,"BB",IF(AN303&lt;='组合输入'!$P9,"B",IF(AN303&lt;='组合输入'!$Q9,"CCC","D")))))))</f>
        <v/>
      </c>
      <c r="AP303" s="12">
        <f>IF(AO303="","",INDEX('状态价值'!$D9:$K9,MATCH(AO303,'状态价值'!$D$1:$K$1,0)))</f>
        <v/>
      </c>
      <c r="AQ303" s="15">
        <f>NORM.S.INV(RAND())</f>
        <v/>
      </c>
      <c r="AR303" s="15">
        <f>IF('组合输入'!$C10="","",'组合输入'!$H10*$B303+SQRT(1-'组合输入'!$H10^2)*AQ303)</f>
        <v/>
      </c>
      <c r="AS303" s="7">
        <f>IF(AR303="","",NORM.S.DIST(AR303,TRUE))</f>
        <v/>
      </c>
      <c r="AT303" s="13">
        <f>IF(AS303="","",IF(AS303&lt;='组合输入'!$K10,"AAA",IF(AS303&lt;='组合输入'!$L10,"AA",IF(AS303&lt;='组合输入'!$M10,"A",IF(AS303&lt;='组合输入'!$N10,"BBB",IF(AS303&lt;='组合输入'!$O10,"BB",IF(AS303&lt;='组合输入'!$P10,"B",IF(AS303&lt;='组合输入'!$Q10,"CCC","D")))))))</f>
        <v/>
      </c>
      <c r="AU303" s="12">
        <f>IF(AT303="","",INDEX('状态价值'!$D10:$K10,MATCH(AT303,'状态价值'!$D$1:$K$1,0)))</f>
        <v/>
      </c>
      <c r="AV303" s="15">
        <f>NORM.S.INV(RAND())</f>
        <v/>
      </c>
      <c r="AW303" s="15">
        <f>IF('组合输入'!$C11="","",'组合输入'!$H11*$B303+SQRT(1-'组合输入'!$H11^2)*AV303)</f>
        <v/>
      </c>
      <c r="AX303" s="7">
        <f>IF(AW303="","",NORM.S.DIST(AW303,TRUE))</f>
        <v/>
      </c>
      <c r="AY303" s="13">
        <f>IF(AX303="","",IF(AX303&lt;='组合输入'!$K11,"AAA",IF(AX303&lt;='组合输入'!$L11,"AA",IF(AX303&lt;='组合输入'!$M11,"A",IF(AX303&lt;='组合输入'!$N11,"BBB",IF(AX303&lt;='组合输入'!$O11,"BB",IF(AX303&lt;='组合输入'!$P11,"B",IF(AX303&lt;='组合输入'!$Q11,"CCC","D")))))))</f>
        <v/>
      </c>
      <c r="AZ303" s="12">
        <f>IF(AY303="","",INDEX('状态价值'!$D11:$K11,MATCH(AY303,'状态价值'!$D$1:$K$1,0)))</f>
        <v/>
      </c>
      <c r="BA303" s="12">
        <f>G303+L303+Q303+V303+AA303+AF303+AK303+AP303+AU303+AZ303</f>
        <v/>
      </c>
      <c r="BB303" s="12">
        <f>SUM('组合输入'!$J$2:$J$11)-BA303</f>
        <v/>
      </c>
    </row>
    <row r="304">
      <c r="A304" s="11" t="n">
        <v>303</v>
      </c>
      <c r="B304" s="14">
        <f>NORM.S.INV(RAND())</f>
        <v/>
      </c>
      <c r="C304" s="14">
        <f>NORM.S.INV(RAND())</f>
        <v/>
      </c>
      <c r="D304" s="15">
        <f>IF('组合输入'!$C2="","",'组合输入'!$H2*$B304+SQRT(1-'组合输入'!$H2^2)*C304)</f>
        <v/>
      </c>
      <c r="E304" s="7">
        <f>IF(D304="","",NORM.S.DIST(D304,TRUE))</f>
        <v/>
      </c>
      <c r="F304" s="13">
        <f>IF(E304="","",IF(E304&lt;='组合输入'!$K2,"AAA",IF(E304&lt;='组合输入'!$L2,"AA",IF(E304&lt;='组合输入'!$M2,"A",IF(E304&lt;='组合输入'!$N2,"BBB",IF(E304&lt;='组合输入'!$O2,"BB",IF(E304&lt;='组合输入'!$P2,"B",IF(E304&lt;='组合输入'!$Q2,"CCC","D")))))))</f>
        <v/>
      </c>
      <c r="G304" s="12">
        <f>IF(F304="","",INDEX('状态价值'!$D2:$K2,MATCH(F304,'状态价值'!$D$1:$K$1,0)))</f>
        <v/>
      </c>
      <c r="H304" s="15">
        <f>NORM.S.INV(RAND())</f>
        <v/>
      </c>
      <c r="I304" s="15">
        <f>IF('组合输入'!$C3="","",'组合输入'!$H3*$B304+SQRT(1-'组合输入'!$H3^2)*H304)</f>
        <v/>
      </c>
      <c r="J304" s="7">
        <f>IF(I304="","",NORM.S.DIST(I304,TRUE))</f>
        <v/>
      </c>
      <c r="K304" s="13">
        <f>IF(J304="","",IF(J304&lt;='组合输入'!$K3,"AAA",IF(J304&lt;='组合输入'!$L3,"AA",IF(J304&lt;='组合输入'!$M3,"A",IF(J304&lt;='组合输入'!$N3,"BBB",IF(J304&lt;='组合输入'!$O3,"BB",IF(J304&lt;='组合输入'!$P3,"B",IF(J304&lt;='组合输入'!$Q3,"CCC","D")))))))</f>
        <v/>
      </c>
      <c r="L304" s="12">
        <f>IF(K304="","",INDEX('状态价值'!$D3:$K3,MATCH(K304,'状态价值'!$D$1:$K$1,0)))</f>
        <v/>
      </c>
      <c r="M304" s="15">
        <f>NORM.S.INV(RAND())</f>
        <v/>
      </c>
      <c r="N304" s="15">
        <f>IF('组合输入'!$C4="","",'组合输入'!$H4*$B304+SQRT(1-'组合输入'!$H4^2)*M304)</f>
        <v/>
      </c>
      <c r="O304" s="7">
        <f>IF(N304="","",NORM.S.DIST(N304,TRUE))</f>
        <v/>
      </c>
      <c r="P304" s="13">
        <f>IF(O304="","",IF(O304&lt;='组合输入'!$K4,"AAA",IF(O304&lt;='组合输入'!$L4,"AA",IF(O304&lt;='组合输入'!$M4,"A",IF(O304&lt;='组合输入'!$N4,"BBB",IF(O304&lt;='组合输入'!$O4,"BB",IF(O304&lt;='组合输入'!$P4,"B",IF(O304&lt;='组合输入'!$Q4,"CCC","D")))))))</f>
        <v/>
      </c>
      <c r="Q304" s="12">
        <f>IF(P304="","",INDEX('状态价值'!$D4:$K4,MATCH(P304,'状态价值'!$D$1:$K$1,0)))</f>
        <v/>
      </c>
      <c r="R304" s="15">
        <f>NORM.S.INV(RAND())</f>
        <v/>
      </c>
      <c r="S304" s="15">
        <f>IF('组合输入'!$C5="","",'组合输入'!$H5*$B304+SQRT(1-'组合输入'!$H5^2)*R304)</f>
        <v/>
      </c>
      <c r="T304" s="7">
        <f>IF(S304="","",NORM.S.DIST(S304,TRUE))</f>
        <v/>
      </c>
      <c r="U304" s="13">
        <f>IF(T304="","",IF(T304&lt;='组合输入'!$K5,"AAA",IF(T304&lt;='组合输入'!$L5,"AA",IF(T304&lt;='组合输入'!$M5,"A",IF(T304&lt;='组合输入'!$N5,"BBB",IF(T304&lt;='组合输入'!$O5,"BB",IF(T304&lt;='组合输入'!$P5,"B",IF(T304&lt;='组合输入'!$Q5,"CCC","D")))))))</f>
        <v/>
      </c>
      <c r="V304" s="12">
        <f>IF(U304="","",INDEX('状态价值'!$D5:$K5,MATCH(U304,'状态价值'!$D$1:$K$1,0)))</f>
        <v/>
      </c>
      <c r="W304" s="15">
        <f>NORM.S.INV(RAND())</f>
        <v/>
      </c>
      <c r="X304" s="15">
        <f>IF('组合输入'!$C6="","",'组合输入'!$H6*$B304+SQRT(1-'组合输入'!$H6^2)*W304)</f>
        <v/>
      </c>
      <c r="Y304" s="7">
        <f>IF(X304="","",NORM.S.DIST(X304,TRUE))</f>
        <v/>
      </c>
      <c r="Z304" s="13">
        <f>IF(Y304="","",IF(Y304&lt;='组合输入'!$K6,"AAA",IF(Y304&lt;='组合输入'!$L6,"AA",IF(Y304&lt;='组合输入'!$M6,"A",IF(Y304&lt;='组合输入'!$N6,"BBB",IF(Y304&lt;='组合输入'!$O6,"BB",IF(Y304&lt;='组合输入'!$P6,"B",IF(Y304&lt;='组合输入'!$Q6,"CCC","D")))))))</f>
        <v/>
      </c>
      <c r="AA304" s="12">
        <f>IF(Z304="","",INDEX('状态价值'!$D6:$K6,MATCH(Z304,'状态价值'!$D$1:$K$1,0)))</f>
        <v/>
      </c>
      <c r="AB304" s="15">
        <f>NORM.S.INV(RAND())</f>
        <v/>
      </c>
      <c r="AC304" s="15">
        <f>IF('组合输入'!$C7="","",'组合输入'!$H7*$B304+SQRT(1-'组合输入'!$H7^2)*AB304)</f>
        <v/>
      </c>
      <c r="AD304" s="7">
        <f>IF(AC304="","",NORM.S.DIST(AC304,TRUE))</f>
        <v/>
      </c>
      <c r="AE304" s="13">
        <f>IF(AD304="","",IF(AD304&lt;='组合输入'!$K7,"AAA",IF(AD304&lt;='组合输入'!$L7,"AA",IF(AD304&lt;='组合输入'!$M7,"A",IF(AD304&lt;='组合输入'!$N7,"BBB",IF(AD304&lt;='组合输入'!$O7,"BB",IF(AD304&lt;='组合输入'!$P7,"B",IF(AD304&lt;='组合输入'!$Q7,"CCC","D")))))))</f>
        <v/>
      </c>
      <c r="AF304" s="12">
        <f>IF(AE304="","",INDEX('状态价值'!$D7:$K7,MATCH(AE304,'状态价值'!$D$1:$K$1,0)))</f>
        <v/>
      </c>
      <c r="AG304" s="15">
        <f>NORM.S.INV(RAND())</f>
        <v/>
      </c>
      <c r="AH304" s="15">
        <f>IF('组合输入'!$C8="","",'组合输入'!$H8*$B304+SQRT(1-'组合输入'!$H8^2)*AG304)</f>
        <v/>
      </c>
      <c r="AI304" s="7">
        <f>IF(AH304="","",NORM.S.DIST(AH304,TRUE))</f>
        <v/>
      </c>
      <c r="AJ304" s="13">
        <f>IF(AI304="","",IF(AI304&lt;='组合输入'!$K8,"AAA",IF(AI304&lt;='组合输入'!$L8,"AA",IF(AI304&lt;='组合输入'!$M8,"A",IF(AI304&lt;='组合输入'!$N8,"BBB",IF(AI304&lt;='组合输入'!$O8,"BB",IF(AI304&lt;='组合输入'!$P8,"B",IF(AI304&lt;='组合输入'!$Q8,"CCC","D")))))))</f>
        <v/>
      </c>
      <c r="AK304" s="12">
        <f>IF(AJ304="","",INDEX('状态价值'!$D8:$K8,MATCH(AJ304,'状态价值'!$D$1:$K$1,0)))</f>
        <v/>
      </c>
      <c r="AL304" s="15">
        <f>NORM.S.INV(RAND())</f>
        <v/>
      </c>
      <c r="AM304" s="15">
        <f>IF('组合输入'!$C9="","",'组合输入'!$H9*$B304+SQRT(1-'组合输入'!$H9^2)*AL304)</f>
        <v/>
      </c>
      <c r="AN304" s="7">
        <f>IF(AM304="","",NORM.S.DIST(AM304,TRUE))</f>
        <v/>
      </c>
      <c r="AO304" s="13">
        <f>IF(AN304="","",IF(AN304&lt;='组合输入'!$K9,"AAA",IF(AN304&lt;='组合输入'!$L9,"AA",IF(AN304&lt;='组合输入'!$M9,"A",IF(AN304&lt;='组合输入'!$N9,"BBB",IF(AN304&lt;='组合输入'!$O9,"BB",IF(AN304&lt;='组合输入'!$P9,"B",IF(AN304&lt;='组合输入'!$Q9,"CCC","D")))))))</f>
        <v/>
      </c>
      <c r="AP304" s="12">
        <f>IF(AO304="","",INDEX('状态价值'!$D9:$K9,MATCH(AO304,'状态价值'!$D$1:$K$1,0)))</f>
        <v/>
      </c>
      <c r="AQ304" s="15">
        <f>NORM.S.INV(RAND())</f>
        <v/>
      </c>
      <c r="AR304" s="15">
        <f>IF('组合输入'!$C10="","",'组合输入'!$H10*$B304+SQRT(1-'组合输入'!$H10^2)*AQ304)</f>
        <v/>
      </c>
      <c r="AS304" s="7">
        <f>IF(AR304="","",NORM.S.DIST(AR304,TRUE))</f>
        <v/>
      </c>
      <c r="AT304" s="13">
        <f>IF(AS304="","",IF(AS304&lt;='组合输入'!$K10,"AAA",IF(AS304&lt;='组合输入'!$L10,"AA",IF(AS304&lt;='组合输入'!$M10,"A",IF(AS304&lt;='组合输入'!$N10,"BBB",IF(AS304&lt;='组合输入'!$O10,"BB",IF(AS304&lt;='组合输入'!$P10,"B",IF(AS304&lt;='组合输入'!$Q10,"CCC","D")))))))</f>
        <v/>
      </c>
      <c r="AU304" s="12">
        <f>IF(AT304="","",INDEX('状态价值'!$D10:$K10,MATCH(AT304,'状态价值'!$D$1:$K$1,0)))</f>
        <v/>
      </c>
      <c r="AV304" s="15">
        <f>NORM.S.INV(RAND())</f>
        <v/>
      </c>
      <c r="AW304" s="15">
        <f>IF('组合输入'!$C11="","",'组合输入'!$H11*$B304+SQRT(1-'组合输入'!$H11^2)*AV304)</f>
        <v/>
      </c>
      <c r="AX304" s="7">
        <f>IF(AW304="","",NORM.S.DIST(AW304,TRUE))</f>
        <v/>
      </c>
      <c r="AY304" s="13">
        <f>IF(AX304="","",IF(AX304&lt;='组合输入'!$K11,"AAA",IF(AX304&lt;='组合输入'!$L11,"AA",IF(AX304&lt;='组合输入'!$M11,"A",IF(AX304&lt;='组合输入'!$N11,"BBB",IF(AX304&lt;='组合输入'!$O11,"BB",IF(AX304&lt;='组合输入'!$P11,"B",IF(AX304&lt;='组合输入'!$Q11,"CCC","D")))))))</f>
        <v/>
      </c>
      <c r="AZ304" s="12">
        <f>IF(AY304="","",INDEX('状态价值'!$D11:$K11,MATCH(AY304,'状态价值'!$D$1:$K$1,0)))</f>
        <v/>
      </c>
      <c r="BA304" s="12">
        <f>G304+L304+Q304+V304+AA304+AF304+AK304+AP304+AU304+AZ304</f>
        <v/>
      </c>
      <c r="BB304" s="12">
        <f>SUM('组合输入'!$J$2:$J$11)-BA304</f>
        <v/>
      </c>
    </row>
    <row r="305">
      <c r="A305" s="11" t="n">
        <v>304</v>
      </c>
      <c r="B305" s="14">
        <f>NORM.S.INV(RAND())</f>
        <v/>
      </c>
      <c r="C305" s="14">
        <f>NORM.S.INV(RAND())</f>
        <v/>
      </c>
      <c r="D305" s="15">
        <f>IF('组合输入'!$C2="","",'组合输入'!$H2*$B305+SQRT(1-'组合输入'!$H2^2)*C305)</f>
        <v/>
      </c>
      <c r="E305" s="7">
        <f>IF(D305="","",NORM.S.DIST(D305,TRUE))</f>
        <v/>
      </c>
      <c r="F305" s="13">
        <f>IF(E305="","",IF(E305&lt;='组合输入'!$K2,"AAA",IF(E305&lt;='组合输入'!$L2,"AA",IF(E305&lt;='组合输入'!$M2,"A",IF(E305&lt;='组合输入'!$N2,"BBB",IF(E305&lt;='组合输入'!$O2,"BB",IF(E305&lt;='组合输入'!$P2,"B",IF(E305&lt;='组合输入'!$Q2,"CCC","D")))))))</f>
        <v/>
      </c>
      <c r="G305" s="12">
        <f>IF(F305="","",INDEX('状态价值'!$D2:$K2,MATCH(F305,'状态价值'!$D$1:$K$1,0)))</f>
        <v/>
      </c>
      <c r="H305" s="15">
        <f>NORM.S.INV(RAND())</f>
        <v/>
      </c>
      <c r="I305" s="15">
        <f>IF('组合输入'!$C3="","",'组合输入'!$H3*$B305+SQRT(1-'组合输入'!$H3^2)*H305)</f>
        <v/>
      </c>
      <c r="J305" s="7">
        <f>IF(I305="","",NORM.S.DIST(I305,TRUE))</f>
        <v/>
      </c>
      <c r="K305" s="13">
        <f>IF(J305="","",IF(J305&lt;='组合输入'!$K3,"AAA",IF(J305&lt;='组合输入'!$L3,"AA",IF(J305&lt;='组合输入'!$M3,"A",IF(J305&lt;='组合输入'!$N3,"BBB",IF(J305&lt;='组合输入'!$O3,"BB",IF(J305&lt;='组合输入'!$P3,"B",IF(J305&lt;='组合输入'!$Q3,"CCC","D")))))))</f>
        <v/>
      </c>
      <c r="L305" s="12">
        <f>IF(K305="","",INDEX('状态价值'!$D3:$K3,MATCH(K305,'状态价值'!$D$1:$K$1,0)))</f>
        <v/>
      </c>
      <c r="M305" s="15">
        <f>NORM.S.INV(RAND())</f>
        <v/>
      </c>
      <c r="N305" s="15">
        <f>IF('组合输入'!$C4="","",'组合输入'!$H4*$B305+SQRT(1-'组合输入'!$H4^2)*M305)</f>
        <v/>
      </c>
      <c r="O305" s="7">
        <f>IF(N305="","",NORM.S.DIST(N305,TRUE))</f>
        <v/>
      </c>
      <c r="P305" s="13">
        <f>IF(O305="","",IF(O305&lt;='组合输入'!$K4,"AAA",IF(O305&lt;='组合输入'!$L4,"AA",IF(O305&lt;='组合输入'!$M4,"A",IF(O305&lt;='组合输入'!$N4,"BBB",IF(O305&lt;='组合输入'!$O4,"BB",IF(O305&lt;='组合输入'!$P4,"B",IF(O305&lt;='组合输入'!$Q4,"CCC","D")))))))</f>
        <v/>
      </c>
      <c r="Q305" s="12">
        <f>IF(P305="","",INDEX('状态价值'!$D4:$K4,MATCH(P305,'状态价值'!$D$1:$K$1,0)))</f>
        <v/>
      </c>
      <c r="R305" s="15">
        <f>NORM.S.INV(RAND())</f>
        <v/>
      </c>
      <c r="S305" s="15">
        <f>IF('组合输入'!$C5="","",'组合输入'!$H5*$B305+SQRT(1-'组合输入'!$H5^2)*R305)</f>
        <v/>
      </c>
      <c r="T305" s="7">
        <f>IF(S305="","",NORM.S.DIST(S305,TRUE))</f>
        <v/>
      </c>
      <c r="U305" s="13">
        <f>IF(T305="","",IF(T305&lt;='组合输入'!$K5,"AAA",IF(T305&lt;='组合输入'!$L5,"AA",IF(T305&lt;='组合输入'!$M5,"A",IF(T305&lt;='组合输入'!$N5,"BBB",IF(T305&lt;='组合输入'!$O5,"BB",IF(T305&lt;='组合输入'!$P5,"B",IF(T305&lt;='组合输入'!$Q5,"CCC","D")))))))</f>
        <v/>
      </c>
      <c r="V305" s="12">
        <f>IF(U305="","",INDEX('状态价值'!$D5:$K5,MATCH(U305,'状态价值'!$D$1:$K$1,0)))</f>
        <v/>
      </c>
      <c r="W305" s="15">
        <f>NORM.S.INV(RAND())</f>
        <v/>
      </c>
      <c r="X305" s="15">
        <f>IF('组合输入'!$C6="","",'组合输入'!$H6*$B305+SQRT(1-'组合输入'!$H6^2)*W305)</f>
        <v/>
      </c>
      <c r="Y305" s="7">
        <f>IF(X305="","",NORM.S.DIST(X305,TRUE))</f>
        <v/>
      </c>
      <c r="Z305" s="13">
        <f>IF(Y305="","",IF(Y305&lt;='组合输入'!$K6,"AAA",IF(Y305&lt;='组合输入'!$L6,"AA",IF(Y305&lt;='组合输入'!$M6,"A",IF(Y305&lt;='组合输入'!$N6,"BBB",IF(Y305&lt;='组合输入'!$O6,"BB",IF(Y305&lt;='组合输入'!$P6,"B",IF(Y305&lt;='组合输入'!$Q6,"CCC","D")))))))</f>
        <v/>
      </c>
      <c r="AA305" s="12">
        <f>IF(Z305="","",INDEX('状态价值'!$D6:$K6,MATCH(Z305,'状态价值'!$D$1:$K$1,0)))</f>
        <v/>
      </c>
      <c r="AB305" s="15">
        <f>NORM.S.INV(RAND())</f>
        <v/>
      </c>
      <c r="AC305" s="15">
        <f>IF('组合输入'!$C7="","",'组合输入'!$H7*$B305+SQRT(1-'组合输入'!$H7^2)*AB305)</f>
        <v/>
      </c>
      <c r="AD305" s="7">
        <f>IF(AC305="","",NORM.S.DIST(AC305,TRUE))</f>
        <v/>
      </c>
      <c r="AE305" s="13">
        <f>IF(AD305="","",IF(AD305&lt;='组合输入'!$K7,"AAA",IF(AD305&lt;='组合输入'!$L7,"AA",IF(AD305&lt;='组合输入'!$M7,"A",IF(AD305&lt;='组合输入'!$N7,"BBB",IF(AD305&lt;='组合输入'!$O7,"BB",IF(AD305&lt;='组合输入'!$P7,"B",IF(AD305&lt;='组合输入'!$Q7,"CCC","D")))))))</f>
        <v/>
      </c>
      <c r="AF305" s="12">
        <f>IF(AE305="","",INDEX('状态价值'!$D7:$K7,MATCH(AE305,'状态价值'!$D$1:$K$1,0)))</f>
        <v/>
      </c>
      <c r="AG305" s="15">
        <f>NORM.S.INV(RAND())</f>
        <v/>
      </c>
      <c r="AH305" s="15">
        <f>IF('组合输入'!$C8="","",'组合输入'!$H8*$B305+SQRT(1-'组合输入'!$H8^2)*AG305)</f>
        <v/>
      </c>
      <c r="AI305" s="7">
        <f>IF(AH305="","",NORM.S.DIST(AH305,TRUE))</f>
        <v/>
      </c>
      <c r="AJ305" s="13">
        <f>IF(AI305="","",IF(AI305&lt;='组合输入'!$K8,"AAA",IF(AI305&lt;='组合输入'!$L8,"AA",IF(AI305&lt;='组合输入'!$M8,"A",IF(AI305&lt;='组合输入'!$N8,"BBB",IF(AI305&lt;='组合输入'!$O8,"BB",IF(AI305&lt;='组合输入'!$P8,"B",IF(AI305&lt;='组合输入'!$Q8,"CCC","D")))))))</f>
        <v/>
      </c>
      <c r="AK305" s="12">
        <f>IF(AJ305="","",INDEX('状态价值'!$D8:$K8,MATCH(AJ305,'状态价值'!$D$1:$K$1,0)))</f>
        <v/>
      </c>
      <c r="AL305" s="15">
        <f>NORM.S.INV(RAND())</f>
        <v/>
      </c>
      <c r="AM305" s="15">
        <f>IF('组合输入'!$C9="","",'组合输入'!$H9*$B305+SQRT(1-'组合输入'!$H9^2)*AL305)</f>
        <v/>
      </c>
      <c r="AN305" s="7">
        <f>IF(AM305="","",NORM.S.DIST(AM305,TRUE))</f>
        <v/>
      </c>
      <c r="AO305" s="13">
        <f>IF(AN305="","",IF(AN305&lt;='组合输入'!$K9,"AAA",IF(AN305&lt;='组合输入'!$L9,"AA",IF(AN305&lt;='组合输入'!$M9,"A",IF(AN305&lt;='组合输入'!$N9,"BBB",IF(AN305&lt;='组合输入'!$O9,"BB",IF(AN305&lt;='组合输入'!$P9,"B",IF(AN305&lt;='组合输入'!$Q9,"CCC","D")))))))</f>
        <v/>
      </c>
      <c r="AP305" s="12">
        <f>IF(AO305="","",INDEX('状态价值'!$D9:$K9,MATCH(AO305,'状态价值'!$D$1:$K$1,0)))</f>
        <v/>
      </c>
      <c r="AQ305" s="15">
        <f>NORM.S.INV(RAND())</f>
        <v/>
      </c>
      <c r="AR305" s="15">
        <f>IF('组合输入'!$C10="","",'组合输入'!$H10*$B305+SQRT(1-'组合输入'!$H10^2)*AQ305)</f>
        <v/>
      </c>
      <c r="AS305" s="7">
        <f>IF(AR305="","",NORM.S.DIST(AR305,TRUE))</f>
        <v/>
      </c>
      <c r="AT305" s="13">
        <f>IF(AS305="","",IF(AS305&lt;='组合输入'!$K10,"AAA",IF(AS305&lt;='组合输入'!$L10,"AA",IF(AS305&lt;='组合输入'!$M10,"A",IF(AS305&lt;='组合输入'!$N10,"BBB",IF(AS305&lt;='组合输入'!$O10,"BB",IF(AS305&lt;='组合输入'!$P10,"B",IF(AS305&lt;='组合输入'!$Q10,"CCC","D")))))))</f>
        <v/>
      </c>
      <c r="AU305" s="12">
        <f>IF(AT305="","",INDEX('状态价值'!$D10:$K10,MATCH(AT305,'状态价值'!$D$1:$K$1,0)))</f>
        <v/>
      </c>
      <c r="AV305" s="15">
        <f>NORM.S.INV(RAND())</f>
        <v/>
      </c>
      <c r="AW305" s="15">
        <f>IF('组合输入'!$C11="","",'组合输入'!$H11*$B305+SQRT(1-'组合输入'!$H11^2)*AV305)</f>
        <v/>
      </c>
      <c r="AX305" s="7">
        <f>IF(AW305="","",NORM.S.DIST(AW305,TRUE))</f>
        <v/>
      </c>
      <c r="AY305" s="13">
        <f>IF(AX305="","",IF(AX305&lt;='组合输入'!$K11,"AAA",IF(AX305&lt;='组合输入'!$L11,"AA",IF(AX305&lt;='组合输入'!$M11,"A",IF(AX305&lt;='组合输入'!$N11,"BBB",IF(AX305&lt;='组合输入'!$O11,"BB",IF(AX305&lt;='组合输入'!$P11,"B",IF(AX305&lt;='组合输入'!$Q11,"CCC","D")))))))</f>
        <v/>
      </c>
      <c r="AZ305" s="12">
        <f>IF(AY305="","",INDEX('状态价值'!$D11:$K11,MATCH(AY305,'状态价值'!$D$1:$K$1,0)))</f>
        <v/>
      </c>
      <c r="BA305" s="12">
        <f>G305+L305+Q305+V305+AA305+AF305+AK305+AP305+AU305+AZ305</f>
        <v/>
      </c>
      <c r="BB305" s="12">
        <f>SUM('组合输入'!$J$2:$J$11)-BA305</f>
        <v/>
      </c>
    </row>
    <row r="306">
      <c r="A306" s="11" t="n">
        <v>305</v>
      </c>
      <c r="B306" s="14">
        <f>NORM.S.INV(RAND())</f>
        <v/>
      </c>
      <c r="C306" s="14">
        <f>NORM.S.INV(RAND())</f>
        <v/>
      </c>
      <c r="D306" s="15">
        <f>IF('组合输入'!$C2="","",'组合输入'!$H2*$B306+SQRT(1-'组合输入'!$H2^2)*C306)</f>
        <v/>
      </c>
      <c r="E306" s="7">
        <f>IF(D306="","",NORM.S.DIST(D306,TRUE))</f>
        <v/>
      </c>
      <c r="F306" s="13">
        <f>IF(E306="","",IF(E306&lt;='组合输入'!$K2,"AAA",IF(E306&lt;='组合输入'!$L2,"AA",IF(E306&lt;='组合输入'!$M2,"A",IF(E306&lt;='组合输入'!$N2,"BBB",IF(E306&lt;='组合输入'!$O2,"BB",IF(E306&lt;='组合输入'!$P2,"B",IF(E306&lt;='组合输入'!$Q2,"CCC","D")))))))</f>
        <v/>
      </c>
      <c r="G306" s="12">
        <f>IF(F306="","",INDEX('状态价值'!$D2:$K2,MATCH(F306,'状态价值'!$D$1:$K$1,0)))</f>
        <v/>
      </c>
      <c r="H306" s="15">
        <f>NORM.S.INV(RAND())</f>
        <v/>
      </c>
      <c r="I306" s="15">
        <f>IF('组合输入'!$C3="","",'组合输入'!$H3*$B306+SQRT(1-'组合输入'!$H3^2)*H306)</f>
        <v/>
      </c>
      <c r="J306" s="7">
        <f>IF(I306="","",NORM.S.DIST(I306,TRUE))</f>
        <v/>
      </c>
      <c r="K306" s="13">
        <f>IF(J306="","",IF(J306&lt;='组合输入'!$K3,"AAA",IF(J306&lt;='组合输入'!$L3,"AA",IF(J306&lt;='组合输入'!$M3,"A",IF(J306&lt;='组合输入'!$N3,"BBB",IF(J306&lt;='组合输入'!$O3,"BB",IF(J306&lt;='组合输入'!$P3,"B",IF(J306&lt;='组合输入'!$Q3,"CCC","D")))))))</f>
        <v/>
      </c>
      <c r="L306" s="12">
        <f>IF(K306="","",INDEX('状态价值'!$D3:$K3,MATCH(K306,'状态价值'!$D$1:$K$1,0)))</f>
        <v/>
      </c>
      <c r="M306" s="15">
        <f>NORM.S.INV(RAND())</f>
        <v/>
      </c>
      <c r="N306" s="15">
        <f>IF('组合输入'!$C4="","",'组合输入'!$H4*$B306+SQRT(1-'组合输入'!$H4^2)*M306)</f>
        <v/>
      </c>
      <c r="O306" s="7">
        <f>IF(N306="","",NORM.S.DIST(N306,TRUE))</f>
        <v/>
      </c>
      <c r="P306" s="13">
        <f>IF(O306="","",IF(O306&lt;='组合输入'!$K4,"AAA",IF(O306&lt;='组合输入'!$L4,"AA",IF(O306&lt;='组合输入'!$M4,"A",IF(O306&lt;='组合输入'!$N4,"BBB",IF(O306&lt;='组合输入'!$O4,"BB",IF(O306&lt;='组合输入'!$P4,"B",IF(O306&lt;='组合输入'!$Q4,"CCC","D")))))))</f>
        <v/>
      </c>
      <c r="Q306" s="12">
        <f>IF(P306="","",INDEX('状态价值'!$D4:$K4,MATCH(P306,'状态价值'!$D$1:$K$1,0)))</f>
        <v/>
      </c>
      <c r="R306" s="15">
        <f>NORM.S.INV(RAND())</f>
        <v/>
      </c>
      <c r="S306" s="15">
        <f>IF('组合输入'!$C5="","",'组合输入'!$H5*$B306+SQRT(1-'组合输入'!$H5^2)*R306)</f>
        <v/>
      </c>
      <c r="T306" s="7">
        <f>IF(S306="","",NORM.S.DIST(S306,TRUE))</f>
        <v/>
      </c>
      <c r="U306" s="13">
        <f>IF(T306="","",IF(T306&lt;='组合输入'!$K5,"AAA",IF(T306&lt;='组合输入'!$L5,"AA",IF(T306&lt;='组合输入'!$M5,"A",IF(T306&lt;='组合输入'!$N5,"BBB",IF(T306&lt;='组合输入'!$O5,"BB",IF(T306&lt;='组合输入'!$P5,"B",IF(T306&lt;='组合输入'!$Q5,"CCC","D")))))))</f>
        <v/>
      </c>
      <c r="V306" s="12">
        <f>IF(U306="","",INDEX('状态价值'!$D5:$K5,MATCH(U306,'状态价值'!$D$1:$K$1,0)))</f>
        <v/>
      </c>
      <c r="W306" s="15">
        <f>NORM.S.INV(RAND())</f>
        <v/>
      </c>
      <c r="X306" s="15">
        <f>IF('组合输入'!$C6="","",'组合输入'!$H6*$B306+SQRT(1-'组合输入'!$H6^2)*W306)</f>
        <v/>
      </c>
      <c r="Y306" s="7">
        <f>IF(X306="","",NORM.S.DIST(X306,TRUE))</f>
        <v/>
      </c>
      <c r="Z306" s="13">
        <f>IF(Y306="","",IF(Y306&lt;='组合输入'!$K6,"AAA",IF(Y306&lt;='组合输入'!$L6,"AA",IF(Y306&lt;='组合输入'!$M6,"A",IF(Y306&lt;='组合输入'!$N6,"BBB",IF(Y306&lt;='组合输入'!$O6,"BB",IF(Y306&lt;='组合输入'!$P6,"B",IF(Y306&lt;='组合输入'!$Q6,"CCC","D")))))))</f>
        <v/>
      </c>
      <c r="AA306" s="12">
        <f>IF(Z306="","",INDEX('状态价值'!$D6:$K6,MATCH(Z306,'状态价值'!$D$1:$K$1,0)))</f>
        <v/>
      </c>
      <c r="AB306" s="15">
        <f>NORM.S.INV(RAND())</f>
        <v/>
      </c>
      <c r="AC306" s="15">
        <f>IF('组合输入'!$C7="","",'组合输入'!$H7*$B306+SQRT(1-'组合输入'!$H7^2)*AB306)</f>
        <v/>
      </c>
      <c r="AD306" s="7">
        <f>IF(AC306="","",NORM.S.DIST(AC306,TRUE))</f>
        <v/>
      </c>
      <c r="AE306" s="13">
        <f>IF(AD306="","",IF(AD306&lt;='组合输入'!$K7,"AAA",IF(AD306&lt;='组合输入'!$L7,"AA",IF(AD306&lt;='组合输入'!$M7,"A",IF(AD306&lt;='组合输入'!$N7,"BBB",IF(AD306&lt;='组合输入'!$O7,"BB",IF(AD306&lt;='组合输入'!$P7,"B",IF(AD306&lt;='组合输入'!$Q7,"CCC","D")))))))</f>
        <v/>
      </c>
      <c r="AF306" s="12">
        <f>IF(AE306="","",INDEX('状态价值'!$D7:$K7,MATCH(AE306,'状态价值'!$D$1:$K$1,0)))</f>
        <v/>
      </c>
      <c r="AG306" s="15">
        <f>NORM.S.INV(RAND())</f>
        <v/>
      </c>
      <c r="AH306" s="15">
        <f>IF('组合输入'!$C8="","",'组合输入'!$H8*$B306+SQRT(1-'组合输入'!$H8^2)*AG306)</f>
        <v/>
      </c>
      <c r="AI306" s="7">
        <f>IF(AH306="","",NORM.S.DIST(AH306,TRUE))</f>
        <v/>
      </c>
      <c r="AJ306" s="13">
        <f>IF(AI306="","",IF(AI306&lt;='组合输入'!$K8,"AAA",IF(AI306&lt;='组合输入'!$L8,"AA",IF(AI306&lt;='组合输入'!$M8,"A",IF(AI306&lt;='组合输入'!$N8,"BBB",IF(AI306&lt;='组合输入'!$O8,"BB",IF(AI306&lt;='组合输入'!$P8,"B",IF(AI306&lt;='组合输入'!$Q8,"CCC","D")))))))</f>
        <v/>
      </c>
      <c r="AK306" s="12">
        <f>IF(AJ306="","",INDEX('状态价值'!$D8:$K8,MATCH(AJ306,'状态价值'!$D$1:$K$1,0)))</f>
        <v/>
      </c>
      <c r="AL306" s="15">
        <f>NORM.S.INV(RAND())</f>
        <v/>
      </c>
      <c r="AM306" s="15">
        <f>IF('组合输入'!$C9="","",'组合输入'!$H9*$B306+SQRT(1-'组合输入'!$H9^2)*AL306)</f>
        <v/>
      </c>
      <c r="AN306" s="7">
        <f>IF(AM306="","",NORM.S.DIST(AM306,TRUE))</f>
        <v/>
      </c>
      <c r="AO306" s="13">
        <f>IF(AN306="","",IF(AN306&lt;='组合输入'!$K9,"AAA",IF(AN306&lt;='组合输入'!$L9,"AA",IF(AN306&lt;='组合输入'!$M9,"A",IF(AN306&lt;='组合输入'!$N9,"BBB",IF(AN306&lt;='组合输入'!$O9,"BB",IF(AN306&lt;='组合输入'!$P9,"B",IF(AN306&lt;='组合输入'!$Q9,"CCC","D")))))))</f>
        <v/>
      </c>
      <c r="AP306" s="12">
        <f>IF(AO306="","",INDEX('状态价值'!$D9:$K9,MATCH(AO306,'状态价值'!$D$1:$K$1,0)))</f>
        <v/>
      </c>
      <c r="AQ306" s="15">
        <f>NORM.S.INV(RAND())</f>
        <v/>
      </c>
      <c r="AR306" s="15">
        <f>IF('组合输入'!$C10="","",'组合输入'!$H10*$B306+SQRT(1-'组合输入'!$H10^2)*AQ306)</f>
        <v/>
      </c>
      <c r="AS306" s="7">
        <f>IF(AR306="","",NORM.S.DIST(AR306,TRUE))</f>
        <v/>
      </c>
      <c r="AT306" s="13">
        <f>IF(AS306="","",IF(AS306&lt;='组合输入'!$K10,"AAA",IF(AS306&lt;='组合输入'!$L10,"AA",IF(AS306&lt;='组合输入'!$M10,"A",IF(AS306&lt;='组合输入'!$N10,"BBB",IF(AS306&lt;='组合输入'!$O10,"BB",IF(AS306&lt;='组合输入'!$P10,"B",IF(AS306&lt;='组合输入'!$Q10,"CCC","D")))))))</f>
        <v/>
      </c>
      <c r="AU306" s="12">
        <f>IF(AT306="","",INDEX('状态价值'!$D10:$K10,MATCH(AT306,'状态价值'!$D$1:$K$1,0)))</f>
        <v/>
      </c>
      <c r="AV306" s="15">
        <f>NORM.S.INV(RAND())</f>
        <v/>
      </c>
      <c r="AW306" s="15">
        <f>IF('组合输入'!$C11="","",'组合输入'!$H11*$B306+SQRT(1-'组合输入'!$H11^2)*AV306)</f>
        <v/>
      </c>
      <c r="AX306" s="7">
        <f>IF(AW306="","",NORM.S.DIST(AW306,TRUE))</f>
        <v/>
      </c>
      <c r="AY306" s="13">
        <f>IF(AX306="","",IF(AX306&lt;='组合输入'!$K11,"AAA",IF(AX306&lt;='组合输入'!$L11,"AA",IF(AX306&lt;='组合输入'!$M11,"A",IF(AX306&lt;='组合输入'!$N11,"BBB",IF(AX306&lt;='组合输入'!$O11,"BB",IF(AX306&lt;='组合输入'!$P11,"B",IF(AX306&lt;='组合输入'!$Q11,"CCC","D")))))))</f>
        <v/>
      </c>
      <c r="AZ306" s="12">
        <f>IF(AY306="","",INDEX('状态价值'!$D11:$K11,MATCH(AY306,'状态价值'!$D$1:$K$1,0)))</f>
        <v/>
      </c>
      <c r="BA306" s="12">
        <f>G306+L306+Q306+V306+AA306+AF306+AK306+AP306+AU306+AZ306</f>
        <v/>
      </c>
      <c r="BB306" s="12">
        <f>SUM('组合输入'!$J$2:$J$11)-BA306</f>
        <v/>
      </c>
    </row>
    <row r="307">
      <c r="A307" s="11" t="n">
        <v>306</v>
      </c>
      <c r="B307" s="14">
        <f>NORM.S.INV(RAND())</f>
        <v/>
      </c>
      <c r="C307" s="14">
        <f>NORM.S.INV(RAND())</f>
        <v/>
      </c>
      <c r="D307" s="15">
        <f>IF('组合输入'!$C2="","",'组合输入'!$H2*$B307+SQRT(1-'组合输入'!$H2^2)*C307)</f>
        <v/>
      </c>
      <c r="E307" s="7">
        <f>IF(D307="","",NORM.S.DIST(D307,TRUE))</f>
        <v/>
      </c>
      <c r="F307" s="13">
        <f>IF(E307="","",IF(E307&lt;='组合输入'!$K2,"AAA",IF(E307&lt;='组合输入'!$L2,"AA",IF(E307&lt;='组合输入'!$M2,"A",IF(E307&lt;='组合输入'!$N2,"BBB",IF(E307&lt;='组合输入'!$O2,"BB",IF(E307&lt;='组合输入'!$P2,"B",IF(E307&lt;='组合输入'!$Q2,"CCC","D")))))))</f>
        <v/>
      </c>
      <c r="G307" s="12">
        <f>IF(F307="","",INDEX('状态价值'!$D2:$K2,MATCH(F307,'状态价值'!$D$1:$K$1,0)))</f>
        <v/>
      </c>
      <c r="H307" s="15">
        <f>NORM.S.INV(RAND())</f>
        <v/>
      </c>
      <c r="I307" s="15">
        <f>IF('组合输入'!$C3="","",'组合输入'!$H3*$B307+SQRT(1-'组合输入'!$H3^2)*H307)</f>
        <v/>
      </c>
      <c r="J307" s="7">
        <f>IF(I307="","",NORM.S.DIST(I307,TRUE))</f>
        <v/>
      </c>
      <c r="K307" s="13">
        <f>IF(J307="","",IF(J307&lt;='组合输入'!$K3,"AAA",IF(J307&lt;='组合输入'!$L3,"AA",IF(J307&lt;='组合输入'!$M3,"A",IF(J307&lt;='组合输入'!$N3,"BBB",IF(J307&lt;='组合输入'!$O3,"BB",IF(J307&lt;='组合输入'!$P3,"B",IF(J307&lt;='组合输入'!$Q3,"CCC","D")))))))</f>
        <v/>
      </c>
      <c r="L307" s="12">
        <f>IF(K307="","",INDEX('状态价值'!$D3:$K3,MATCH(K307,'状态价值'!$D$1:$K$1,0)))</f>
        <v/>
      </c>
      <c r="M307" s="15">
        <f>NORM.S.INV(RAND())</f>
        <v/>
      </c>
      <c r="N307" s="15">
        <f>IF('组合输入'!$C4="","",'组合输入'!$H4*$B307+SQRT(1-'组合输入'!$H4^2)*M307)</f>
        <v/>
      </c>
      <c r="O307" s="7">
        <f>IF(N307="","",NORM.S.DIST(N307,TRUE))</f>
        <v/>
      </c>
      <c r="P307" s="13">
        <f>IF(O307="","",IF(O307&lt;='组合输入'!$K4,"AAA",IF(O307&lt;='组合输入'!$L4,"AA",IF(O307&lt;='组合输入'!$M4,"A",IF(O307&lt;='组合输入'!$N4,"BBB",IF(O307&lt;='组合输入'!$O4,"BB",IF(O307&lt;='组合输入'!$P4,"B",IF(O307&lt;='组合输入'!$Q4,"CCC","D")))))))</f>
        <v/>
      </c>
      <c r="Q307" s="12">
        <f>IF(P307="","",INDEX('状态价值'!$D4:$K4,MATCH(P307,'状态价值'!$D$1:$K$1,0)))</f>
        <v/>
      </c>
      <c r="R307" s="15">
        <f>NORM.S.INV(RAND())</f>
        <v/>
      </c>
      <c r="S307" s="15">
        <f>IF('组合输入'!$C5="","",'组合输入'!$H5*$B307+SQRT(1-'组合输入'!$H5^2)*R307)</f>
        <v/>
      </c>
      <c r="T307" s="7">
        <f>IF(S307="","",NORM.S.DIST(S307,TRUE))</f>
        <v/>
      </c>
      <c r="U307" s="13">
        <f>IF(T307="","",IF(T307&lt;='组合输入'!$K5,"AAA",IF(T307&lt;='组合输入'!$L5,"AA",IF(T307&lt;='组合输入'!$M5,"A",IF(T307&lt;='组合输入'!$N5,"BBB",IF(T307&lt;='组合输入'!$O5,"BB",IF(T307&lt;='组合输入'!$P5,"B",IF(T307&lt;='组合输入'!$Q5,"CCC","D")))))))</f>
        <v/>
      </c>
      <c r="V307" s="12">
        <f>IF(U307="","",INDEX('状态价值'!$D5:$K5,MATCH(U307,'状态价值'!$D$1:$K$1,0)))</f>
        <v/>
      </c>
      <c r="W307" s="15">
        <f>NORM.S.INV(RAND())</f>
        <v/>
      </c>
      <c r="X307" s="15">
        <f>IF('组合输入'!$C6="","",'组合输入'!$H6*$B307+SQRT(1-'组合输入'!$H6^2)*W307)</f>
        <v/>
      </c>
      <c r="Y307" s="7">
        <f>IF(X307="","",NORM.S.DIST(X307,TRUE))</f>
        <v/>
      </c>
      <c r="Z307" s="13">
        <f>IF(Y307="","",IF(Y307&lt;='组合输入'!$K6,"AAA",IF(Y307&lt;='组合输入'!$L6,"AA",IF(Y307&lt;='组合输入'!$M6,"A",IF(Y307&lt;='组合输入'!$N6,"BBB",IF(Y307&lt;='组合输入'!$O6,"BB",IF(Y307&lt;='组合输入'!$P6,"B",IF(Y307&lt;='组合输入'!$Q6,"CCC","D")))))))</f>
        <v/>
      </c>
      <c r="AA307" s="12">
        <f>IF(Z307="","",INDEX('状态价值'!$D6:$K6,MATCH(Z307,'状态价值'!$D$1:$K$1,0)))</f>
        <v/>
      </c>
      <c r="AB307" s="15">
        <f>NORM.S.INV(RAND())</f>
        <v/>
      </c>
      <c r="AC307" s="15">
        <f>IF('组合输入'!$C7="","",'组合输入'!$H7*$B307+SQRT(1-'组合输入'!$H7^2)*AB307)</f>
        <v/>
      </c>
      <c r="AD307" s="7">
        <f>IF(AC307="","",NORM.S.DIST(AC307,TRUE))</f>
        <v/>
      </c>
      <c r="AE307" s="13">
        <f>IF(AD307="","",IF(AD307&lt;='组合输入'!$K7,"AAA",IF(AD307&lt;='组合输入'!$L7,"AA",IF(AD307&lt;='组合输入'!$M7,"A",IF(AD307&lt;='组合输入'!$N7,"BBB",IF(AD307&lt;='组合输入'!$O7,"BB",IF(AD307&lt;='组合输入'!$P7,"B",IF(AD307&lt;='组合输入'!$Q7,"CCC","D")))))))</f>
        <v/>
      </c>
      <c r="AF307" s="12">
        <f>IF(AE307="","",INDEX('状态价值'!$D7:$K7,MATCH(AE307,'状态价值'!$D$1:$K$1,0)))</f>
        <v/>
      </c>
      <c r="AG307" s="15">
        <f>NORM.S.INV(RAND())</f>
        <v/>
      </c>
      <c r="AH307" s="15">
        <f>IF('组合输入'!$C8="","",'组合输入'!$H8*$B307+SQRT(1-'组合输入'!$H8^2)*AG307)</f>
        <v/>
      </c>
      <c r="AI307" s="7">
        <f>IF(AH307="","",NORM.S.DIST(AH307,TRUE))</f>
        <v/>
      </c>
      <c r="AJ307" s="13">
        <f>IF(AI307="","",IF(AI307&lt;='组合输入'!$K8,"AAA",IF(AI307&lt;='组合输入'!$L8,"AA",IF(AI307&lt;='组合输入'!$M8,"A",IF(AI307&lt;='组合输入'!$N8,"BBB",IF(AI307&lt;='组合输入'!$O8,"BB",IF(AI307&lt;='组合输入'!$P8,"B",IF(AI307&lt;='组合输入'!$Q8,"CCC","D")))))))</f>
        <v/>
      </c>
      <c r="AK307" s="12">
        <f>IF(AJ307="","",INDEX('状态价值'!$D8:$K8,MATCH(AJ307,'状态价值'!$D$1:$K$1,0)))</f>
        <v/>
      </c>
      <c r="AL307" s="15">
        <f>NORM.S.INV(RAND())</f>
        <v/>
      </c>
      <c r="AM307" s="15">
        <f>IF('组合输入'!$C9="","",'组合输入'!$H9*$B307+SQRT(1-'组合输入'!$H9^2)*AL307)</f>
        <v/>
      </c>
      <c r="AN307" s="7">
        <f>IF(AM307="","",NORM.S.DIST(AM307,TRUE))</f>
        <v/>
      </c>
      <c r="AO307" s="13">
        <f>IF(AN307="","",IF(AN307&lt;='组合输入'!$K9,"AAA",IF(AN307&lt;='组合输入'!$L9,"AA",IF(AN307&lt;='组合输入'!$M9,"A",IF(AN307&lt;='组合输入'!$N9,"BBB",IF(AN307&lt;='组合输入'!$O9,"BB",IF(AN307&lt;='组合输入'!$P9,"B",IF(AN307&lt;='组合输入'!$Q9,"CCC","D")))))))</f>
        <v/>
      </c>
      <c r="AP307" s="12">
        <f>IF(AO307="","",INDEX('状态价值'!$D9:$K9,MATCH(AO307,'状态价值'!$D$1:$K$1,0)))</f>
        <v/>
      </c>
      <c r="AQ307" s="15">
        <f>NORM.S.INV(RAND())</f>
        <v/>
      </c>
      <c r="AR307" s="15">
        <f>IF('组合输入'!$C10="","",'组合输入'!$H10*$B307+SQRT(1-'组合输入'!$H10^2)*AQ307)</f>
        <v/>
      </c>
      <c r="AS307" s="7">
        <f>IF(AR307="","",NORM.S.DIST(AR307,TRUE))</f>
        <v/>
      </c>
      <c r="AT307" s="13">
        <f>IF(AS307="","",IF(AS307&lt;='组合输入'!$K10,"AAA",IF(AS307&lt;='组合输入'!$L10,"AA",IF(AS307&lt;='组合输入'!$M10,"A",IF(AS307&lt;='组合输入'!$N10,"BBB",IF(AS307&lt;='组合输入'!$O10,"BB",IF(AS307&lt;='组合输入'!$P10,"B",IF(AS307&lt;='组合输入'!$Q10,"CCC","D")))))))</f>
        <v/>
      </c>
      <c r="AU307" s="12">
        <f>IF(AT307="","",INDEX('状态价值'!$D10:$K10,MATCH(AT307,'状态价值'!$D$1:$K$1,0)))</f>
        <v/>
      </c>
      <c r="AV307" s="15">
        <f>NORM.S.INV(RAND())</f>
        <v/>
      </c>
      <c r="AW307" s="15">
        <f>IF('组合输入'!$C11="","",'组合输入'!$H11*$B307+SQRT(1-'组合输入'!$H11^2)*AV307)</f>
        <v/>
      </c>
      <c r="AX307" s="7">
        <f>IF(AW307="","",NORM.S.DIST(AW307,TRUE))</f>
        <v/>
      </c>
      <c r="AY307" s="13">
        <f>IF(AX307="","",IF(AX307&lt;='组合输入'!$K11,"AAA",IF(AX307&lt;='组合输入'!$L11,"AA",IF(AX307&lt;='组合输入'!$M11,"A",IF(AX307&lt;='组合输入'!$N11,"BBB",IF(AX307&lt;='组合输入'!$O11,"BB",IF(AX307&lt;='组合输入'!$P11,"B",IF(AX307&lt;='组合输入'!$Q11,"CCC","D")))))))</f>
        <v/>
      </c>
      <c r="AZ307" s="12">
        <f>IF(AY307="","",INDEX('状态价值'!$D11:$K11,MATCH(AY307,'状态价值'!$D$1:$K$1,0)))</f>
        <v/>
      </c>
      <c r="BA307" s="12">
        <f>G307+L307+Q307+V307+AA307+AF307+AK307+AP307+AU307+AZ307</f>
        <v/>
      </c>
      <c r="BB307" s="12">
        <f>SUM('组合输入'!$J$2:$J$11)-BA307</f>
        <v/>
      </c>
    </row>
    <row r="308">
      <c r="A308" s="11" t="n">
        <v>307</v>
      </c>
      <c r="B308" s="14">
        <f>NORM.S.INV(RAND())</f>
        <v/>
      </c>
      <c r="C308" s="14">
        <f>NORM.S.INV(RAND())</f>
        <v/>
      </c>
      <c r="D308" s="15">
        <f>IF('组合输入'!$C2="","",'组合输入'!$H2*$B308+SQRT(1-'组合输入'!$H2^2)*C308)</f>
        <v/>
      </c>
      <c r="E308" s="7">
        <f>IF(D308="","",NORM.S.DIST(D308,TRUE))</f>
        <v/>
      </c>
      <c r="F308" s="13">
        <f>IF(E308="","",IF(E308&lt;='组合输入'!$K2,"AAA",IF(E308&lt;='组合输入'!$L2,"AA",IF(E308&lt;='组合输入'!$M2,"A",IF(E308&lt;='组合输入'!$N2,"BBB",IF(E308&lt;='组合输入'!$O2,"BB",IF(E308&lt;='组合输入'!$P2,"B",IF(E308&lt;='组合输入'!$Q2,"CCC","D")))))))</f>
        <v/>
      </c>
      <c r="G308" s="12">
        <f>IF(F308="","",INDEX('状态价值'!$D2:$K2,MATCH(F308,'状态价值'!$D$1:$K$1,0)))</f>
        <v/>
      </c>
      <c r="H308" s="15">
        <f>NORM.S.INV(RAND())</f>
        <v/>
      </c>
      <c r="I308" s="15">
        <f>IF('组合输入'!$C3="","",'组合输入'!$H3*$B308+SQRT(1-'组合输入'!$H3^2)*H308)</f>
        <v/>
      </c>
      <c r="J308" s="7">
        <f>IF(I308="","",NORM.S.DIST(I308,TRUE))</f>
        <v/>
      </c>
      <c r="K308" s="13">
        <f>IF(J308="","",IF(J308&lt;='组合输入'!$K3,"AAA",IF(J308&lt;='组合输入'!$L3,"AA",IF(J308&lt;='组合输入'!$M3,"A",IF(J308&lt;='组合输入'!$N3,"BBB",IF(J308&lt;='组合输入'!$O3,"BB",IF(J308&lt;='组合输入'!$P3,"B",IF(J308&lt;='组合输入'!$Q3,"CCC","D")))))))</f>
        <v/>
      </c>
      <c r="L308" s="12">
        <f>IF(K308="","",INDEX('状态价值'!$D3:$K3,MATCH(K308,'状态价值'!$D$1:$K$1,0)))</f>
        <v/>
      </c>
      <c r="M308" s="15">
        <f>NORM.S.INV(RAND())</f>
        <v/>
      </c>
      <c r="N308" s="15">
        <f>IF('组合输入'!$C4="","",'组合输入'!$H4*$B308+SQRT(1-'组合输入'!$H4^2)*M308)</f>
        <v/>
      </c>
      <c r="O308" s="7">
        <f>IF(N308="","",NORM.S.DIST(N308,TRUE))</f>
        <v/>
      </c>
      <c r="P308" s="13">
        <f>IF(O308="","",IF(O308&lt;='组合输入'!$K4,"AAA",IF(O308&lt;='组合输入'!$L4,"AA",IF(O308&lt;='组合输入'!$M4,"A",IF(O308&lt;='组合输入'!$N4,"BBB",IF(O308&lt;='组合输入'!$O4,"BB",IF(O308&lt;='组合输入'!$P4,"B",IF(O308&lt;='组合输入'!$Q4,"CCC","D")))))))</f>
        <v/>
      </c>
      <c r="Q308" s="12">
        <f>IF(P308="","",INDEX('状态价值'!$D4:$K4,MATCH(P308,'状态价值'!$D$1:$K$1,0)))</f>
        <v/>
      </c>
      <c r="R308" s="15">
        <f>NORM.S.INV(RAND())</f>
        <v/>
      </c>
      <c r="S308" s="15">
        <f>IF('组合输入'!$C5="","",'组合输入'!$H5*$B308+SQRT(1-'组合输入'!$H5^2)*R308)</f>
        <v/>
      </c>
      <c r="T308" s="7">
        <f>IF(S308="","",NORM.S.DIST(S308,TRUE))</f>
        <v/>
      </c>
      <c r="U308" s="13">
        <f>IF(T308="","",IF(T308&lt;='组合输入'!$K5,"AAA",IF(T308&lt;='组合输入'!$L5,"AA",IF(T308&lt;='组合输入'!$M5,"A",IF(T308&lt;='组合输入'!$N5,"BBB",IF(T308&lt;='组合输入'!$O5,"BB",IF(T308&lt;='组合输入'!$P5,"B",IF(T308&lt;='组合输入'!$Q5,"CCC","D")))))))</f>
        <v/>
      </c>
      <c r="V308" s="12">
        <f>IF(U308="","",INDEX('状态价值'!$D5:$K5,MATCH(U308,'状态价值'!$D$1:$K$1,0)))</f>
        <v/>
      </c>
      <c r="W308" s="15">
        <f>NORM.S.INV(RAND())</f>
        <v/>
      </c>
      <c r="X308" s="15">
        <f>IF('组合输入'!$C6="","",'组合输入'!$H6*$B308+SQRT(1-'组合输入'!$H6^2)*W308)</f>
        <v/>
      </c>
      <c r="Y308" s="7">
        <f>IF(X308="","",NORM.S.DIST(X308,TRUE))</f>
        <v/>
      </c>
      <c r="Z308" s="13">
        <f>IF(Y308="","",IF(Y308&lt;='组合输入'!$K6,"AAA",IF(Y308&lt;='组合输入'!$L6,"AA",IF(Y308&lt;='组合输入'!$M6,"A",IF(Y308&lt;='组合输入'!$N6,"BBB",IF(Y308&lt;='组合输入'!$O6,"BB",IF(Y308&lt;='组合输入'!$P6,"B",IF(Y308&lt;='组合输入'!$Q6,"CCC","D")))))))</f>
        <v/>
      </c>
      <c r="AA308" s="12">
        <f>IF(Z308="","",INDEX('状态价值'!$D6:$K6,MATCH(Z308,'状态价值'!$D$1:$K$1,0)))</f>
        <v/>
      </c>
      <c r="AB308" s="15">
        <f>NORM.S.INV(RAND())</f>
        <v/>
      </c>
      <c r="AC308" s="15">
        <f>IF('组合输入'!$C7="","",'组合输入'!$H7*$B308+SQRT(1-'组合输入'!$H7^2)*AB308)</f>
        <v/>
      </c>
      <c r="AD308" s="7">
        <f>IF(AC308="","",NORM.S.DIST(AC308,TRUE))</f>
        <v/>
      </c>
      <c r="AE308" s="13">
        <f>IF(AD308="","",IF(AD308&lt;='组合输入'!$K7,"AAA",IF(AD308&lt;='组合输入'!$L7,"AA",IF(AD308&lt;='组合输入'!$M7,"A",IF(AD308&lt;='组合输入'!$N7,"BBB",IF(AD308&lt;='组合输入'!$O7,"BB",IF(AD308&lt;='组合输入'!$P7,"B",IF(AD308&lt;='组合输入'!$Q7,"CCC","D")))))))</f>
        <v/>
      </c>
      <c r="AF308" s="12">
        <f>IF(AE308="","",INDEX('状态价值'!$D7:$K7,MATCH(AE308,'状态价值'!$D$1:$K$1,0)))</f>
        <v/>
      </c>
      <c r="AG308" s="15">
        <f>NORM.S.INV(RAND())</f>
        <v/>
      </c>
      <c r="AH308" s="15">
        <f>IF('组合输入'!$C8="","",'组合输入'!$H8*$B308+SQRT(1-'组合输入'!$H8^2)*AG308)</f>
        <v/>
      </c>
      <c r="AI308" s="7">
        <f>IF(AH308="","",NORM.S.DIST(AH308,TRUE))</f>
        <v/>
      </c>
      <c r="AJ308" s="13">
        <f>IF(AI308="","",IF(AI308&lt;='组合输入'!$K8,"AAA",IF(AI308&lt;='组合输入'!$L8,"AA",IF(AI308&lt;='组合输入'!$M8,"A",IF(AI308&lt;='组合输入'!$N8,"BBB",IF(AI308&lt;='组合输入'!$O8,"BB",IF(AI308&lt;='组合输入'!$P8,"B",IF(AI308&lt;='组合输入'!$Q8,"CCC","D")))))))</f>
        <v/>
      </c>
      <c r="AK308" s="12">
        <f>IF(AJ308="","",INDEX('状态价值'!$D8:$K8,MATCH(AJ308,'状态价值'!$D$1:$K$1,0)))</f>
        <v/>
      </c>
      <c r="AL308" s="15">
        <f>NORM.S.INV(RAND())</f>
        <v/>
      </c>
      <c r="AM308" s="15">
        <f>IF('组合输入'!$C9="","",'组合输入'!$H9*$B308+SQRT(1-'组合输入'!$H9^2)*AL308)</f>
        <v/>
      </c>
      <c r="AN308" s="7">
        <f>IF(AM308="","",NORM.S.DIST(AM308,TRUE))</f>
        <v/>
      </c>
      <c r="AO308" s="13">
        <f>IF(AN308="","",IF(AN308&lt;='组合输入'!$K9,"AAA",IF(AN308&lt;='组合输入'!$L9,"AA",IF(AN308&lt;='组合输入'!$M9,"A",IF(AN308&lt;='组合输入'!$N9,"BBB",IF(AN308&lt;='组合输入'!$O9,"BB",IF(AN308&lt;='组合输入'!$P9,"B",IF(AN308&lt;='组合输入'!$Q9,"CCC","D")))))))</f>
        <v/>
      </c>
      <c r="AP308" s="12">
        <f>IF(AO308="","",INDEX('状态价值'!$D9:$K9,MATCH(AO308,'状态价值'!$D$1:$K$1,0)))</f>
        <v/>
      </c>
      <c r="AQ308" s="15">
        <f>NORM.S.INV(RAND())</f>
        <v/>
      </c>
      <c r="AR308" s="15">
        <f>IF('组合输入'!$C10="","",'组合输入'!$H10*$B308+SQRT(1-'组合输入'!$H10^2)*AQ308)</f>
        <v/>
      </c>
      <c r="AS308" s="7">
        <f>IF(AR308="","",NORM.S.DIST(AR308,TRUE))</f>
        <v/>
      </c>
      <c r="AT308" s="13">
        <f>IF(AS308="","",IF(AS308&lt;='组合输入'!$K10,"AAA",IF(AS308&lt;='组合输入'!$L10,"AA",IF(AS308&lt;='组合输入'!$M10,"A",IF(AS308&lt;='组合输入'!$N10,"BBB",IF(AS308&lt;='组合输入'!$O10,"BB",IF(AS308&lt;='组合输入'!$P10,"B",IF(AS308&lt;='组合输入'!$Q10,"CCC","D")))))))</f>
        <v/>
      </c>
      <c r="AU308" s="12">
        <f>IF(AT308="","",INDEX('状态价值'!$D10:$K10,MATCH(AT308,'状态价值'!$D$1:$K$1,0)))</f>
        <v/>
      </c>
      <c r="AV308" s="15">
        <f>NORM.S.INV(RAND())</f>
        <v/>
      </c>
      <c r="AW308" s="15">
        <f>IF('组合输入'!$C11="","",'组合输入'!$H11*$B308+SQRT(1-'组合输入'!$H11^2)*AV308)</f>
        <v/>
      </c>
      <c r="AX308" s="7">
        <f>IF(AW308="","",NORM.S.DIST(AW308,TRUE))</f>
        <v/>
      </c>
      <c r="AY308" s="13">
        <f>IF(AX308="","",IF(AX308&lt;='组合输入'!$K11,"AAA",IF(AX308&lt;='组合输入'!$L11,"AA",IF(AX308&lt;='组合输入'!$M11,"A",IF(AX308&lt;='组合输入'!$N11,"BBB",IF(AX308&lt;='组合输入'!$O11,"BB",IF(AX308&lt;='组合输入'!$P11,"B",IF(AX308&lt;='组合输入'!$Q11,"CCC","D")))))))</f>
        <v/>
      </c>
      <c r="AZ308" s="12">
        <f>IF(AY308="","",INDEX('状态价值'!$D11:$K11,MATCH(AY308,'状态价值'!$D$1:$K$1,0)))</f>
        <v/>
      </c>
      <c r="BA308" s="12">
        <f>G308+L308+Q308+V308+AA308+AF308+AK308+AP308+AU308+AZ308</f>
        <v/>
      </c>
      <c r="BB308" s="12">
        <f>SUM('组合输入'!$J$2:$J$11)-BA308</f>
        <v/>
      </c>
    </row>
    <row r="309">
      <c r="A309" s="11" t="n">
        <v>308</v>
      </c>
      <c r="B309" s="14">
        <f>NORM.S.INV(RAND())</f>
        <v/>
      </c>
      <c r="C309" s="14">
        <f>NORM.S.INV(RAND())</f>
        <v/>
      </c>
      <c r="D309" s="15">
        <f>IF('组合输入'!$C2="","",'组合输入'!$H2*$B309+SQRT(1-'组合输入'!$H2^2)*C309)</f>
        <v/>
      </c>
      <c r="E309" s="7">
        <f>IF(D309="","",NORM.S.DIST(D309,TRUE))</f>
        <v/>
      </c>
      <c r="F309" s="13">
        <f>IF(E309="","",IF(E309&lt;='组合输入'!$K2,"AAA",IF(E309&lt;='组合输入'!$L2,"AA",IF(E309&lt;='组合输入'!$M2,"A",IF(E309&lt;='组合输入'!$N2,"BBB",IF(E309&lt;='组合输入'!$O2,"BB",IF(E309&lt;='组合输入'!$P2,"B",IF(E309&lt;='组合输入'!$Q2,"CCC","D")))))))</f>
        <v/>
      </c>
      <c r="G309" s="12">
        <f>IF(F309="","",INDEX('状态价值'!$D2:$K2,MATCH(F309,'状态价值'!$D$1:$K$1,0)))</f>
        <v/>
      </c>
      <c r="H309" s="15">
        <f>NORM.S.INV(RAND())</f>
        <v/>
      </c>
      <c r="I309" s="15">
        <f>IF('组合输入'!$C3="","",'组合输入'!$H3*$B309+SQRT(1-'组合输入'!$H3^2)*H309)</f>
        <v/>
      </c>
      <c r="J309" s="7">
        <f>IF(I309="","",NORM.S.DIST(I309,TRUE))</f>
        <v/>
      </c>
      <c r="K309" s="13">
        <f>IF(J309="","",IF(J309&lt;='组合输入'!$K3,"AAA",IF(J309&lt;='组合输入'!$L3,"AA",IF(J309&lt;='组合输入'!$M3,"A",IF(J309&lt;='组合输入'!$N3,"BBB",IF(J309&lt;='组合输入'!$O3,"BB",IF(J309&lt;='组合输入'!$P3,"B",IF(J309&lt;='组合输入'!$Q3,"CCC","D")))))))</f>
        <v/>
      </c>
      <c r="L309" s="12">
        <f>IF(K309="","",INDEX('状态价值'!$D3:$K3,MATCH(K309,'状态价值'!$D$1:$K$1,0)))</f>
        <v/>
      </c>
      <c r="M309" s="15">
        <f>NORM.S.INV(RAND())</f>
        <v/>
      </c>
      <c r="N309" s="15">
        <f>IF('组合输入'!$C4="","",'组合输入'!$H4*$B309+SQRT(1-'组合输入'!$H4^2)*M309)</f>
        <v/>
      </c>
      <c r="O309" s="7">
        <f>IF(N309="","",NORM.S.DIST(N309,TRUE))</f>
        <v/>
      </c>
      <c r="P309" s="13">
        <f>IF(O309="","",IF(O309&lt;='组合输入'!$K4,"AAA",IF(O309&lt;='组合输入'!$L4,"AA",IF(O309&lt;='组合输入'!$M4,"A",IF(O309&lt;='组合输入'!$N4,"BBB",IF(O309&lt;='组合输入'!$O4,"BB",IF(O309&lt;='组合输入'!$P4,"B",IF(O309&lt;='组合输入'!$Q4,"CCC","D")))))))</f>
        <v/>
      </c>
      <c r="Q309" s="12">
        <f>IF(P309="","",INDEX('状态价值'!$D4:$K4,MATCH(P309,'状态价值'!$D$1:$K$1,0)))</f>
        <v/>
      </c>
      <c r="R309" s="15">
        <f>NORM.S.INV(RAND())</f>
        <v/>
      </c>
      <c r="S309" s="15">
        <f>IF('组合输入'!$C5="","",'组合输入'!$H5*$B309+SQRT(1-'组合输入'!$H5^2)*R309)</f>
        <v/>
      </c>
      <c r="T309" s="7">
        <f>IF(S309="","",NORM.S.DIST(S309,TRUE))</f>
        <v/>
      </c>
      <c r="U309" s="13">
        <f>IF(T309="","",IF(T309&lt;='组合输入'!$K5,"AAA",IF(T309&lt;='组合输入'!$L5,"AA",IF(T309&lt;='组合输入'!$M5,"A",IF(T309&lt;='组合输入'!$N5,"BBB",IF(T309&lt;='组合输入'!$O5,"BB",IF(T309&lt;='组合输入'!$P5,"B",IF(T309&lt;='组合输入'!$Q5,"CCC","D")))))))</f>
        <v/>
      </c>
      <c r="V309" s="12">
        <f>IF(U309="","",INDEX('状态价值'!$D5:$K5,MATCH(U309,'状态价值'!$D$1:$K$1,0)))</f>
        <v/>
      </c>
      <c r="W309" s="15">
        <f>NORM.S.INV(RAND())</f>
        <v/>
      </c>
      <c r="X309" s="15">
        <f>IF('组合输入'!$C6="","",'组合输入'!$H6*$B309+SQRT(1-'组合输入'!$H6^2)*W309)</f>
        <v/>
      </c>
      <c r="Y309" s="7">
        <f>IF(X309="","",NORM.S.DIST(X309,TRUE))</f>
        <v/>
      </c>
      <c r="Z309" s="13">
        <f>IF(Y309="","",IF(Y309&lt;='组合输入'!$K6,"AAA",IF(Y309&lt;='组合输入'!$L6,"AA",IF(Y309&lt;='组合输入'!$M6,"A",IF(Y309&lt;='组合输入'!$N6,"BBB",IF(Y309&lt;='组合输入'!$O6,"BB",IF(Y309&lt;='组合输入'!$P6,"B",IF(Y309&lt;='组合输入'!$Q6,"CCC","D")))))))</f>
        <v/>
      </c>
      <c r="AA309" s="12">
        <f>IF(Z309="","",INDEX('状态价值'!$D6:$K6,MATCH(Z309,'状态价值'!$D$1:$K$1,0)))</f>
        <v/>
      </c>
      <c r="AB309" s="15">
        <f>NORM.S.INV(RAND())</f>
        <v/>
      </c>
      <c r="AC309" s="15">
        <f>IF('组合输入'!$C7="","",'组合输入'!$H7*$B309+SQRT(1-'组合输入'!$H7^2)*AB309)</f>
        <v/>
      </c>
      <c r="AD309" s="7">
        <f>IF(AC309="","",NORM.S.DIST(AC309,TRUE))</f>
        <v/>
      </c>
      <c r="AE309" s="13">
        <f>IF(AD309="","",IF(AD309&lt;='组合输入'!$K7,"AAA",IF(AD309&lt;='组合输入'!$L7,"AA",IF(AD309&lt;='组合输入'!$M7,"A",IF(AD309&lt;='组合输入'!$N7,"BBB",IF(AD309&lt;='组合输入'!$O7,"BB",IF(AD309&lt;='组合输入'!$P7,"B",IF(AD309&lt;='组合输入'!$Q7,"CCC","D")))))))</f>
        <v/>
      </c>
      <c r="AF309" s="12">
        <f>IF(AE309="","",INDEX('状态价值'!$D7:$K7,MATCH(AE309,'状态价值'!$D$1:$K$1,0)))</f>
        <v/>
      </c>
      <c r="AG309" s="15">
        <f>NORM.S.INV(RAND())</f>
        <v/>
      </c>
      <c r="AH309" s="15">
        <f>IF('组合输入'!$C8="","",'组合输入'!$H8*$B309+SQRT(1-'组合输入'!$H8^2)*AG309)</f>
        <v/>
      </c>
      <c r="AI309" s="7">
        <f>IF(AH309="","",NORM.S.DIST(AH309,TRUE))</f>
        <v/>
      </c>
      <c r="AJ309" s="13">
        <f>IF(AI309="","",IF(AI309&lt;='组合输入'!$K8,"AAA",IF(AI309&lt;='组合输入'!$L8,"AA",IF(AI309&lt;='组合输入'!$M8,"A",IF(AI309&lt;='组合输入'!$N8,"BBB",IF(AI309&lt;='组合输入'!$O8,"BB",IF(AI309&lt;='组合输入'!$P8,"B",IF(AI309&lt;='组合输入'!$Q8,"CCC","D")))))))</f>
        <v/>
      </c>
      <c r="AK309" s="12">
        <f>IF(AJ309="","",INDEX('状态价值'!$D8:$K8,MATCH(AJ309,'状态价值'!$D$1:$K$1,0)))</f>
        <v/>
      </c>
      <c r="AL309" s="15">
        <f>NORM.S.INV(RAND())</f>
        <v/>
      </c>
      <c r="AM309" s="15">
        <f>IF('组合输入'!$C9="","",'组合输入'!$H9*$B309+SQRT(1-'组合输入'!$H9^2)*AL309)</f>
        <v/>
      </c>
      <c r="AN309" s="7">
        <f>IF(AM309="","",NORM.S.DIST(AM309,TRUE))</f>
        <v/>
      </c>
      <c r="AO309" s="13">
        <f>IF(AN309="","",IF(AN309&lt;='组合输入'!$K9,"AAA",IF(AN309&lt;='组合输入'!$L9,"AA",IF(AN309&lt;='组合输入'!$M9,"A",IF(AN309&lt;='组合输入'!$N9,"BBB",IF(AN309&lt;='组合输入'!$O9,"BB",IF(AN309&lt;='组合输入'!$P9,"B",IF(AN309&lt;='组合输入'!$Q9,"CCC","D")))))))</f>
        <v/>
      </c>
      <c r="AP309" s="12">
        <f>IF(AO309="","",INDEX('状态价值'!$D9:$K9,MATCH(AO309,'状态价值'!$D$1:$K$1,0)))</f>
        <v/>
      </c>
      <c r="AQ309" s="15">
        <f>NORM.S.INV(RAND())</f>
        <v/>
      </c>
      <c r="AR309" s="15">
        <f>IF('组合输入'!$C10="","",'组合输入'!$H10*$B309+SQRT(1-'组合输入'!$H10^2)*AQ309)</f>
        <v/>
      </c>
      <c r="AS309" s="7">
        <f>IF(AR309="","",NORM.S.DIST(AR309,TRUE))</f>
        <v/>
      </c>
      <c r="AT309" s="13">
        <f>IF(AS309="","",IF(AS309&lt;='组合输入'!$K10,"AAA",IF(AS309&lt;='组合输入'!$L10,"AA",IF(AS309&lt;='组合输入'!$M10,"A",IF(AS309&lt;='组合输入'!$N10,"BBB",IF(AS309&lt;='组合输入'!$O10,"BB",IF(AS309&lt;='组合输入'!$P10,"B",IF(AS309&lt;='组合输入'!$Q10,"CCC","D")))))))</f>
        <v/>
      </c>
      <c r="AU309" s="12">
        <f>IF(AT309="","",INDEX('状态价值'!$D10:$K10,MATCH(AT309,'状态价值'!$D$1:$K$1,0)))</f>
        <v/>
      </c>
      <c r="AV309" s="15">
        <f>NORM.S.INV(RAND())</f>
        <v/>
      </c>
      <c r="AW309" s="15">
        <f>IF('组合输入'!$C11="","",'组合输入'!$H11*$B309+SQRT(1-'组合输入'!$H11^2)*AV309)</f>
        <v/>
      </c>
      <c r="AX309" s="7">
        <f>IF(AW309="","",NORM.S.DIST(AW309,TRUE))</f>
        <v/>
      </c>
      <c r="AY309" s="13">
        <f>IF(AX309="","",IF(AX309&lt;='组合输入'!$K11,"AAA",IF(AX309&lt;='组合输入'!$L11,"AA",IF(AX309&lt;='组合输入'!$M11,"A",IF(AX309&lt;='组合输入'!$N11,"BBB",IF(AX309&lt;='组合输入'!$O11,"BB",IF(AX309&lt;='组合输入'!$P11,"B",IF(AX309&lt;='组合输入'!$Q11,"CCC","D")))))))</f>
        <v/>
      </c>
      <c r="AZ309" s="12">
        <f>IF(AY309="","",INDEX('状态价值'!$D11:$K11,MATCH(AY309,'状态价值'!$D$1:$K$1,0)))</f>
        <v/>
      </c>
      <c r="BA309" s="12">
        <f>G309+L309+Q309+V309+AA309+AF309+AK309+AP309+AU309+AZ309</f>
        <v/>
      </c>
      <c r="BB309" s="12">
        <f>SUM('组合输入'!$J$2:$J$11)-BA309</f>
        <v/>
      </c>
    </row>
    <row r="310">
      <c r="A310" s="11" t="n">
        <v>309</v>
      </c>
      <c r="B310" s="14">
        <f>NORM.S.INV(RAND())</f>
        <v/>
      </c>
      <c r="C310" s="14">
        <f>NORM.S.INV(RAND())</f>
        <v/>
      </c>
      <c r="D310" s="15">
        <f>IF('组合输入'!$C2="","",'组合输入'!$H2*$B310+SQRT(1-'组合输入'!$H2^2)*C310)</f>
        <v/>
      </c>
      <c r="E310" s="7">
        <f>IF(D310="","",NORM.S.DIST(D310,TRUE))</f>
        <v/>
      </c>
      <c r="F310" s="13">
        <f>IF(E310="","",IF(E310&lt;='组合输入'!$K2,"AAA",IF(E310&lt;='组合输入'!$L2,"AA",IF(E310&lt;='组合输入'!$M2,"A",IF(E310&lt;='组合输入'!$N2,"BBB",IF(E310&lt;='组合输入'!$O2,"BB",IF(E310&lt;='组合输入'!$P2,"B",IF(E310&lt;='组合输入'!$Q2,"CCC","D")))))))</f>
        <v/>
      </c>
      <c r="G310" s="12">
        <f>IF(F310="","",INDEX('状态价值'!$D2:$K2,MATCH(F310,'状态价值'!$D$1:$K$1,0)))</f>
        <v/>
      </c>
      <c r="H310" s="15">
        <f>NORM.S.INV(RAND())</f>
        <v/>
      </c>
      <c r="I310" s="15">
        <f>IF('组合输入'!$C3="","",'组合输入'!$H3*$B310+SQRT(1-'组合输入'!$H3^2)*H310)</f>
        <v/>
      </c>
      <c r="J310" s="7">
        <f>IF(I310="","",NORM.S.DIST(I310,TRUE))</f>
        <v/>
      </c>
      <c r="K310" s="13">
        <f>IF(J310="","",IF(J310&lt;='组合输入'!$K3,"AAA",IF(J310&lt;='组合输入'!$L3,"AA",IF(J310&lt;='组合输入'!$M3,"A",IF(J310&lt;='组合输入'!$N3,"BBB",IF(J310&lt;='组合输入'!$O3,"BB",IF(J310&lt;='组合输入'!$P3,"B",IF(J310&lt;='组合输入'!$Q3,"CCC","D")))))))</f>
        <v/>
      </c>
      <c r="L310" s="12">
        <f>IF(K310="","",INDEX('状态价值'!$D3:$K3,MATCH(K310,'状态价值'!$D$1:$K$1,0)))</f>
        <v/>
      </c>
      <c r="M310" s="15">
        <f>NORM.S.INV(RAND())</f>
        <v/>
      </c>
      <c r="N310" s="15">
        <f>IF('组合输入'!$C4="","",'组合输入'!$H4*$B310+SQRT(1-'组合输入'!$H4^2)*M310)</f>
        <v/>
      </c>
      <c r="O310" s="7">
        <f>IF(N310="","",NORM.S.DIST(N310,TRUE))</f>
        <v/>
      </c>
      <c r="P310" s="13">
        <f>IF(O310="","",IF(O310&lt;='组合输入'!$K4,"AAA",IF(O310&lt;='组合输入'!$L4,"AA",IF(O310&lt;='组合输入'!$M4,"A",IF(O310&lt;='组合输入'!$N4,"BBB",IF(O310&lt;='组合输入'!$O4,"BB",IF(O310&lt;='组合输入'!$P4,"B",IF(O310&lt;='组合输入'!$Q4,"CCC","D")))))))</f>
        <v/>
      </c>
      <c r="Q310" s="12">
        <f>IF(P310="","",INDEX('状态价值'!$D4:$K4,MATCH(P310,'状态价值'!$D$1:$K$1,0)))</f>
        <v/>
      </c>
      <c r="R310" s="15">
        <f>NORM.S.INV(RAND())</f>
        <v/>
      </c>
      <c r="S310" s="15">
        <f>IF('组合输入'!$C5="","",'组合输入'!$H5*$B310+SQRT(1-'组合输入'!$H5^2)*R310)</f>
        <v/>
      </c>
      <c r="T310" s="7">
        <f>IF(S310="","",NORM.S.DIST(S310,TRUE))</f>
        <v/>
      </c>
      <c r="U310" s="13">
        <f>IF(T310="","",IF(T310&lt;='组合输入'!$K5,"AAA",IF(T310&lt;='组合输入'!$L5,"AA",IF(T310&lt;='组合输入'!$M5,"A",IF(T310&lt;='组合输入'!$N5,"BBB",IF(T310&lt;='组合输入'!$O5,"BB",IF(T310&lt;='组合输入'!$P5,"B",IF(T310&lt;='组合输入'!$Q5,"CCC","D")))))))</f>
        <v/>
      </c>
      <c r="V310" s="12">
        <f>IF(U310="","",INDEX('状态价值'!$D5:$K5,MATCH(U310,'状态价值'!$D$1:$K$1,0)))</f>
        <v/>
      </c>
      <c r="W310" s="15">
        <f>NORM.S.INV(RAND())</f>
        <v/>
      </c>
      <c r="X310" s="15">
        <f>IF('组合输入'!$C6="","",'组合输入'!$H6*$B310+SQRT(1-'组合输入'!$H6^2)*W310)</f>
        <v/>
      </c>
      <c r="Y310" s="7">
        <f>IF(X310="","",NORM.S.DIST(X310,TRUE))</f>
        <v/>
      </c>
      <c r="Z310" s="13">
        <f>IF(Y310="","",IF(Y310&lt;='组合输入'!$K6,"AAA",IF(Y310&lt;='组合输入'!$L6,"AA",IF(Y310&lt;='组合输入'!$M6,"A",IF(Y310&lt;='组合输入'!$N6,"BBB",IF(Y310&lt;='组合输入'!$O6,"BB",IF(Y310&lt;='组合输入'!$P6,"B",IF(Y310&lt;='组合输入'!$Q6,"CCC","D")))))))</f>
        <v/>
      </c>
      <c r="AA310" s="12">
        <f>IF(Z310="","",INDEX('状态价值'!$D6:$K6,MATCH(Z310,'状态价值'!$D$1:$K$1,0)))</f>
        <v/>
      </c>
      <c r="AB310" s="15">
        <f>NORM.S.INV(RAND())</f>
        <v/>
      </c>
      <c r="AC310" s="15">
        <f>IF('组合输入'!$C7="","",'组合输入'!$H7*$B310+SQRT(1-'组合输入'!$H7^2)*AB310)</f>
        <v/>
      </c>
      <c r="AD310" s="7">
        <f>IF(AC310="","",NORM.S.DIST(AC310,TRUE))</f>
        <v/>
      </c>
      <c r="AE310" s="13">
        <f>IF(AD310="","",IF(AD310&lt;='组合输入'!$K7,"AAA",IF(AD310&lt;='组合输入'!$L7,"AA",IF(AD310&lt;='组合输入'!$M7,"A",IF(AD310&lt;='组合输入'!$N7,"BBB",IF(AD310&lt;='组合输入'!$O7,"BB",IF(AD310&lt;='组合输入'!$P7,"B",IF(AD310&lt;='组合输入'!$Q7,"CCC","D")))))))</f>
        <v/>
      </c>
      <c r="AF310" s="12">
        <f>IF(AE310="","",INDEX('状态价值'!$D7:$K7,MATCH(AE310,'状态价值'!$D$1:$K$1,0)))</f>
        <v/>
      </c>
      <c r="AG310" s="15">
        <f>NORM.S.INV(RAND())</f>
        <v/>
      </c>
      <c r="AH310" s="15">
        <f>IF('组合输入'!$C8="","",'组合输入'!$H8*$B310+SQRT(1-'组合输入'!$H8^2)*AG310)</f>
        <v/>
      </c>
      <c r="AI310" s="7">
        <f>IF(AH310="","",NORM.S.DIST(AH310,TRUE))</f>
        <v/>
      </c>
      <c r="AJ310" s="13">
        <f>IF(AI310="","",IF(AI310&lt;='组合输入'!$K8,"AAA",IF(AI310&lt;='组合输入'!$L8,"AA",IF(AI310&lt;='组合输入'!$M8,"A",IF(AI310&lt;='组合输入'!$N8,"BBB",IF(AI310&lt;='组合输入'!$O8,"BB",IF(AI310&lt;='组合输入'!$P8,"B",IF(AI310&lt;='组合输入'!$Q8,"CCC","D")))))))</f>
        <v/>
      </c>
      <c r="AK310" s="12">
        <f>IF(AJ310="","",INDEX('状态价值'!$D8:$K8,MATCH(AJ310,'状态价值'!$D$1:$K$1,0)))</f>
        <v/>
      </c>
      <c r="AL310" s="15">
        <f>NORM.S.INV(RAND())</f>
        <v/>
      </c>
      <c r="AM310" s="15">
        <f>IF('组合输入'!$C9="","",'组合输入'!$H9*$B310+SQRT(1-'组合输入'!$H9^2)*AL310)</f>
        <v/>
      </c>
      <c r="AN310" s="7">
        <f>IF(AM310="","",NORM.S.DIST(AM310,TRUE))</f>
        <v/>
      </c>
      <c r="AO310" s="13">
        <f>IF(AN310="","",IF(AN310&lt;='组合输入'!$K9,"AAA",IF(AN310&lt;='组合输入'!$L9,"AA",IF(AN310&lt;='组合输入'!$M9,"A",IF(AN310&lt;='组合输入'!$N9,"BBB",IF(AN310&lt;='组合输入'!$O9,"BB",IF(AN310&lt;='组合输入'!$P9,"B",IF(AN310&lt;='组合输入'!$Q9,"CCC","D")))))))</f>
        <v/>
      </c>
      <c r="AP310" s="12">
        <f>IF(AO310="","",INDEX('状态价值'!$D9:$K9,MATCH(AO310,'状态价值'!$D$1:$K$1,0)))</f>
        <v/>
      </c>
      <c r="AQ310" s="15">
        <f>NORM.S.INV(RAND())</f>
        <v/>
      </c>
      <c r="AR310" s="15">
        <f>IF('组合输入'!$C10="","",'组合输入'!$H10*$B310+SQRT(1-'组合输入'!$H10^2)*AQ310)</f>
        <v/>
      </c>
      <c r="AS310" s="7">
        <f>IF(AR310="","",NORM.S.DIST(AR310,TRUE))</f>
        <v/>
      </c>
      <c r="AT310" s="13">
        <f>IF(AS310="","",IF(AS310&lt;='组合输入'!$K10,"AAA",IF(AS310&lt;='组合输入'!$L10,"AA",IF(AS310&lt;='组合输入'!$M10,"A",IF(AS310&lt;='组合输入'!$N10,"BBB",IF(AS310&lt;='组合输入'!$O10,"BB",IF(AS310&lt;='组合输入'!$P10,"B",IF(AS310&lt;='组合输入'!$Q10,"CCC","D")))))))</f>
        <v/>
      </c>
      <c r="AU310" s="12">
        <f>IF(AT310="","",INDEX('状态价值'!$D10:$K10,MATCH(AT310,'状态价值'!$D$1:$K$1,0)))</f>
        <v/>
      </c>
      <c r="AV310" s="15">
        <f>NORM.S.INV(RAND())</f>
        <v/>
      </c>
      <c r="AW310" s="15">
        <f>IF('组合输入'!$C11="","",'组合输入'!$H11*$B310+SQRT(1-'组合输入'!$H11^2)*AV310)</f>
        <v/>
      </c>
      <c r="AX310" s="7">
        <f>IF(AW310="","",NORM.S.DIST(AW310,TRUE))</f>
        <v/>
      </c>
      <c r="AY310" s="13">
        <f>IF(AX310="","",IF(AX310&lt;='组合输入'!$K11,"AAA",IF(AX310&lt;='组合输入'!$L11,"AA",IF(AX310&lt;='组合输入'!$M11,"A",IF(AX310&lt;='组合输入'!$N11,"BBB",IF(AX310&lt;='组合输入'!$O11,"BB",IF(AX310&lt;='组合输入'!$P11,"B",IF(AX310&lt;='组合输入'!$Q11,"CCC","D")))))))</f>
        <v/>
      </c>
      <c r="AZ310" s="12">
        <f>IF(AY310="","",INDEX('状态价值'!$D11:$K11,MATCH(AY310,'状态价值'!$D$1:$K$1,0)))</f>
        <v/>
      </c>
      <c r="BA310" s="12">
        <f>G310+L310+Q310+V310+AA310+AF310+AK310+AP310+AU310+AZ310</f>
        <v/>
      </c>
      <c r="BB310" s="12">
        <f>SUM('组合输入'!$J$2:$J$11)-BA310</f>
        <v/>
      </c>
    </row>
    <row r="311">
      <c r="A311" s="11" t="n">
        <v>310</v>
      </c>
      <c r="B311" s="14">
        <f>NORM.S.INV(RAND())</f>
        <v/>
      </c>
      <c r="C311" s="14">
        <f>NORM.S.INV(RAND())</f>
        <v/>
      </c>
      <c r="D311" s="15">
        <f>IF('组合输入'!$C2="","",'组合输入'!$H2*$B311+SQRT(1-'组合输入'!$H2^2)*C311)</f>
        <v/>
      </c>
      <c r="E311" s="7">
        <f>IF(D311="","",NORM.S.DIST(D311,TRUE))</f>
        <v/>
      </c>
      <c r="F311" s="13">
        <f>IF(E311="","",IF(E311&lt;='组合输入'!$K2,"AAA",IF(E311&lt;='组合输入'!$L2,"AA",IF(E311&lt;='组合输入'!$M2,"A",IF(E311&lt;='组合输入'!$N2,"BBB",IF(E311&lt;='组合输入'!$O2,"BB",IF(E311&lt;='组合输入'!$P2,"B",IF(E311&lt;='组合输入'!$Q2,"CCC","D")))))))</f>
        <v/>
      </c>
      <c r="G311" s="12">
        <f>IF(F311="","",INDEX('状态价值'!$D2:$K2,MATCH(F311,'状态价值'!$D$1:$K$1,0)))</f>
        <v/>
      </c>
      <c r="H311" s="15">
        <f>NORM.S.INV(RAND())</f>
        <v/>
      </c>
      <c r="I311" s="15">
        <f>IF('组合输入'!$C3="","",'组合输入'!$H3*$B311+SQRT(1-'组合输入'!$H3^2)*H311)</f>
        <v/>
      </c>
      <c r="J311" s="7">
        <f>IF(I311="","",NORM.S.DIST(I311,TRUE))</f>
        <v/>
      </c>
      <c r="K311" s="13">
        <f>IF(J311="","",IF(J311&lt;='组合输入'!$K3,"AAA",IF(J311&lt;='组合输入'!$L3,"AA",IF(J311&lt;='组合输入'!$M3,"A",IF(J311&lt;='组合输入'!$N3,"BBB",IF(J311&lt;='组合输入'!$O3,"BB",IF(J311&lt;='组合输入'!$P3,"B",IF(J311&lt;='组合输入'!$Q3,"CCC","D")))))))</f>
        <v/>
      </c>
      <c r="L311" s="12">
        <f>IF(K311="","",INDEX('状态价值'!$D3:$K3,MATCH(K311,'状态价值'!$D$1:$K$1,0)))</f>
        <v/>
      </c>
      <c r="M311" s="15">
        <f>NORM.S.INV(RAND())</f>
        <v/>
      </c>
      <c r="N311" s="15">
        <f>IF('组合输入'!$C4="","",'组合输入'!$H4*$B311+SQRT(1-'组合输入'!$H4^2)*M311)</f>
        <v/>
      </c>
      <c r="O311" s="7">
        <f>IF(N311="","",NORM.S.DIST(N311,TRUE))</f>
        <v/>
      </c>
      <c r="P311" s="13">
        <f>IF(O311="","",IF(O311&lt;='组合输入'!$K4,"AAA",IF(O311&lt;='组合输入'!$L4,"AA",IF(O311&lt;='组合输入'!$M4,"A",IF(O311&lt;='组合输入'!$N4,"BBB",IF(O311&lt;='组合输入'!$O4,"BB",IF(O311&lt;='组合输入'!$P4,"B",IF(O311&lt;='组合输入'!$Q4,"CCC","D")))))))</f>
        <v/>
      </c>
      <c r="Q311" s="12">
        <f>IF(P311="","",INDEX('状态价值'!$D4:$K4,MATCH(P311,'状态价值'!$D$1:$K$1,0)))</f>
        <v/>
      </c>
      <c r="R311" s="15">
        <f>NORM.S.INV(RAND())</f>
        <v/>
      </c>
      <c r="S311" s="15">
        <f>IF('组合输入'!$C5="","",'组合输入'!$H5*$B311+SQRT(1-'组合输入'!$H5^2)*R311)</f>
        <v/>
      </c>
      <c r="T311" s="7">
        <f>IF(S311="","",NORM.S.DIST(S311,TRUE))</f>
        <v/>
      </c>
      <c r="U311" s="13">
        <f>IF(T311="","",IF(T311&lt;='组合输入'!$K5,"AAA",IF(T311&lt;='组合输入'!$L5,"AA",IF(T311&lt;='组合输入'!$M5,"A",IF(T311&lt;='组合输入'!$N5,"BBB",IF(T311&lt;='组合输入'!$O5,"BB",IF(T311&lt;='组合输入'!$P5,"B",IF(T311&lt;='组合输入'!$Q5,"CCC","D")))))))</f>
        <v/>
      </c>
      <c r="V311" s="12">
        <f>IF(U311="","",INDEX('状态价值'!$D5:$K5,MATCH(U311,'状态价值'!$D$1:$K$1,0)))</f>
        <v/>
      </c>
      <c r="W311" s="15">
        <f>NORM.S.INV(RAND())</f>
        <v/>
      </c>
      <c r="X311" s="15">
        <f>IF('组合输入'!$C6="","",'组合输入'!$H6*$B311+SQRT(1-'组合输入'!$H6^2)*W311)</f>
        <v/>
      </c>
      <c r="Y311" s="7">
        <f>IF(X311="","",NORM.S.DIST(X311,TRUE))</f>
        <v/>
      </c>
      <c r="Z311" s="13">
        <f>IF(Y311="","",IF(Y311&lt;='组合输入'!$K6,"AAA",IF(Y311&lt;='组合输入'!$L6,"AA",IF(Y311&lt;='组合输入'!$M6,"A",IF(Y311&lt;='组合输入'!$N6,"BBB",IF(Y311&lt;='组合输入'!$O6,"BB",IF(Y311&lt;='组合输入'!$P6,"B",IF(Y311&lt;='组合输入'!$Q6,"CCC","D")))))))</f>
        <v/>
      </c>
      <c r="AA311" s="12">
        <f>IF(Z311="","",INDEX('状态价值'!$D6:$K6,MATCH(Z311,'状态价值'!$D$1:$K$1,0)))</f>
        <v/>
      </c>
      <c r="AB311" s="15">
        <f>NORM.S.INV(RAND())</f>
        <v/>
      </c>
      <c r="AC311" s="15">
        <f>IF('组合输入'!$C7="","",'组合输入'!$H7*$B311+SQRT(1-'组合输入'!$H7^2)*AB311)</f>
        <v/>
      </c>
      <c r="AD311" s="7">
        <f>IF(AC311="","",NORM.S.DIST(AC311,TRUE))</f>
        <v/>
      </c>
      <c r="AE311" s="13">
        <f>IF(AD311="","",IF(AD311&lt;='组合输入'!$K7,"AAA",IF(AD311&lt;='组合输入'!$L7,"AA",IF(AD311&lt;='组合输入'!$M7,"A",IF(AD311&lt;='组合输入'!$N7,"BBB",IF(AD311&lt;='组合输入'!$O7,"BB",IF(AD311&lt;='组合输入'!$P7,"B",IF(AD311&lt;='组合输入'!$Q7,"CCC","D")))))))</f>
        <v/>
      </c>
      <c r="AF311" s="12">
        <f>IF(AE311="","",INDEX('状态价值'!$D7:$K7,MATCH(AE311,'状态价值'!$D$1:$K$1,0)))</f>
        <v/>
      </c>
      <c r="AG311" s="15">
        <f>NORM.S.INV(RAND())</f>
        <v/>
      </c>
      <c r="AH311" s="15">
        <f>IF('组合输入'!$C8="","",'组合输入'!$H8*$B311+SQRT(1-'组合输入'!$H8^2)*AG311)</f>
        <v/>
      </c>
      <c r="AI311" s="7">
        <f>IF(AH311="","",NORM.S.DIST(AH311,TRUE))</f>
        <v/>
      </c>
      <c r="AJ311" s="13">
        <f>IF(AI311="","",IF(AI311&lt;='组合输入'!$K8,"AAA",IF(AI311&lt;='组合输入'!$L8,"AA",IF(AI311&lt;='组合输入'!$M8,"A",IF(AI311&lt;='组合输入'!$N8,"BBB",IF(AI311&lt;='组合输入'!$O8,"BB",IF(AI311&lt;='组合输入'!$P8,"B",IF(AI311&lt;='组合输入'!$Q8,"CCC","D")))))))</f>
        <v/>
      </c>
      <c r="AK311" s="12">
        <f>IF(AJ311="","",INDEX('状态价值'!$D8:$K8,MATCH(AJ311,'状态价值'!$D$1:$K$1,0)))</f>
        <v/>
      </c>
      <c r="AL311" s="15">
        <f>NORM.S.INV(RAND())</f>
        <v/>
      </c>
      <c r="AM311" s="15">
        <f>IF('组合输入'!$C9="","",'组合输入'!$H9*$B311+SQRT(1-'组合输入'!$H9^2)*AL311)</f>
        <v/>
      </c>
      <c r="AN311" s="7">
        <f>IF(AM311="","",NORM.S.DIST(AM311,TRUE))</f>
        <v/>
      </c>
      <c r="AO311" s="13">
        <f>IF(AN311="","",IF(AN311&lt;='组合输入'!$K9,"AAA",IF(AN311&lt;='组合输入'!$L9,"AA",IF(AN311&lt;='组合输入'!$M9,"A",IF(AN311&lt;='组合输入'!$N9,"BBB",IF(AN311&lt;='组合输入'!$O9,"BB",IF(AN311&lt;='组合输入'!$P9,"B",IF(AN311&lt;='组合输入'!$Q9,"CCC","D")))))))</f>
        <v/>
      </c>
      <c r="AP311" s="12">
        <f>IF(AO311="","",INDEX('状态价值'!$D9:$K9,MATCH(AO311,'状态价值'!$D$1:$K$1,0)))</f>
        <v/>
      </c>
      <c r="AQ311" s="15">
        <f>NORM.S.INV(RAND())</f>
        <v/>
      </c>
      <c r="AR311" s="15">
        <f>IF('组合输入'!$C10="","",'组合输入'!$H10*$B311+SQRT(1-'组合输入'!$H10^2)*AQ311)</f>
        <v/>
      </c>
      <c r="AS311" s="7">
        <f>IF(AR311="","",NORM.S.DIST(AR311,TRUE))</f>
        <v/>
      </c>
      <c r="AT311" s="13">
        <f>IF(AS311="","",IF(AS311&lt;='组合输入'!$K10,"AAA",IF(AS311&lt;='组合输入'!$L10,"AA",IF(AS311&lt;='组合输入'!$M10,"A",IF(AS311&lt;='组合输入'!$N10,"BBB",IF(AS311&lt;='组合输入'!$O10,"BB",IF(AS311&lt;='组合输入'!$P10,"B",IF(AS311&lt;='组合输入'!$Q10,"CCC","D")))))))</f>
        <v/>
      </c>
      <c r="AU311" s="12">
        <f>IF(AT311="","",INDEX('状态价值'!$D10:$K10,MATCH(AT311,'状态价值'!$D$1:$K$1,0)))</f>
        <v/>
      </c>
      <c r="AV311" s="15">
        <f>NORM.S.INV(RAND())</f>
        <v/>
      </c>
      <c r="AW311" s="15">
        <f>IF('组合输入'!$C11="","",'组合输入'!$H11*$B311+SQRT(1-'组合输入'!$H11^2)*AV311)</f>
        <v/>
      </c>
      <c r="AX311" s="7">
        <f>IF(AW311="","",NORM.S.DIST(AW311,TRUE))</f>
        <v/>
      </c>
      <c r="AY311" s="13">
        <f>IF(AX311="","",IF(AX311&lt;='组合输入'!$K11,"AAA",IF(AX311&lt;='组合输入'!$L11,"AA",IF(AX311&lt;='组合输入'!$M11,"A",IF(AX311&lt;='组合输入'!$N11,"BBB",IF(AX311&lt;='组合输入'!$O11,"BB",IF(AX311&lt;='组合输入'!$P11,"B",IF(AX311&lt;='组合输入'!$Q11,"CCC","D")))))))</f>
        <v/>
      </c>
      <c r="AZ311" s="12">
        <f>IF(AY311="","",INDEX('状态价值'!$D11:$K11,MATCH(AY311,'状态价值'!$D$1:$K$1,0)))</f>
        <v/>
      </c>
      <c r="BA311" s="12">
        <f>G311+L311+Q311+V311+AA311+AF311+AK311+AP311+AU311+AZ311</f>
        <v/>
      </c>
      <c r="BB311" s="12">
        <f>SUM('组合输入'!$J$2:$J$11)-BA311</f>
        <v/>
      </c>
    </row>
    <row r="312">
      <c r="A312" s="11" t="n">
        <v>311</v>
      </c>
      <c r="B312" s="14">
        <f>NORM.S.INV(RAND())</f>
        <v/>
      </c>
      <c r="C312" s="14">
        <f>NORM.S.INV(RAND())</f>
        <v/>
      </c>
      <c r="D312" s="15">
        <f>IF('组合输入'!$C2="","",'组合输入'!$H2*$B312+SQRT(1-'组合输入'!$H2^2)*C312)</f>
        <v/>
      </c>
      <c r="E312" s="7">
        <f>IF(D312="","",NORM.S.DIST(D312,TRUE))</f>
        <v/>
      </c>
      <c r="F312" s="13">
        <f>IF(E312="","",IF(E312&lt;='组合输入'!$K2,"AAA",IF(E312&lt;='组合输入'!$L2,"AA",IF(E312&lt;='组合输入'!$M2,"A",IF(E312&lt;='组合输入'!$N2,"BBB",IF(E312&lt;='组合输入'!$O2,"BB",IF(E312&lt;='组合输入'!$P2,"B",IF(E312&lt;='组合输入'!$Q2,"CCC","D")))))))</f>
        <v/>
      </c>
      <c r="G312" s="12">
        <f>IF(F312="","",INDEX('状态价值'!$D2:$K2,MATCH(F312,'状态价值'!$D$1:$K$1,0)))</f>
        <v/>
      </c>
      <c r="H312" s="15">
        <f>NORM.S.INV(RAND())</f>
        <v/>
      </c>
      <c r="I312" s="15">
        <f>IF('组合输入'!$C3="","",'组合输入'!$H3*$B312+SQRT(1-'组合输入'!$H3^2)*H312)</f>
        <v/>
      </c>
      <c r="J312" s="7">
        <f>IF(I312="","",NORM.S.DIST(I312,TRUE))</f>
        <v/>
      </c>
      <c r="K312" s="13">
        <f>IF(J312="","",IF(J312&lt;='组合输入'!$K3,"AAA",IF(J312&lt;='组合输入'!$L3,"AA",IF(J312&lt;='组合输入'!$M3,"A",IF(J312&lt;='组合输入'!$N3,"BBB",IF(J312&lt;='组合输入'!$O3,"BB",IF(J312&lt;='组合输入'!$P3,"B",IF(J312&lt;='组合输入'!$Q3,"CCC","D")))))))</f>
        <v/>
      </c>
      <c r="L312" s="12">
        <f>IF(K312="","",INDEX('状态价值'!$D3:$K3,MATCH(K312,'状态价值'!$D$1:$K$1,0)))</f>
        <v/>
      </c>
      <c r="M312" s="15">
        <f>NORM.S.INV(RAND())</f>
        <v/>
      </c>
      <c r="N312" s="15">
        <f>IF('组合输入'!$C4="","",'组合输入'!$H4*$B312+SQRT(1-'组合输入'!$H4^2)*M312)</f>
        <v/>
      </c>
      <c r="O312" s="7">
        <f>IF(N312="","",NORM.S.DIST(N312,TRUE))</f>
        <v/>
      </c>
      <c r="P312" s="13">
        <f>IF(O312="","",IF(O312&lt;='组合输入'!$K4,"AAA",IF(O312&lt;='组合输入'!$L4,"AA",IF(O312&lt;='组合输入'!$M4,"A",IF(O312&lt;='组合输入'!$N4,"BBB",IF(O312&lt;='组合输入'!$O4,"BB",IF(O312&lt;='组合输入'!$P4,"B",IF(O312&lt;='组合输入'!$Q4,"CCC","D")))))))</f>
        <v/>
      </c>
      <c r="Q312" s="12">
        <f>IF(P312="","",INDEX('状态价值'!$D4:$K4,MATCH(P312,'状态价值'!$D$1:$K$1,0)))</f>
        <v/>
      </c>
      <c r="R312" s="15">
        <f>NORM.S.INV(RAND())</f>
        <v/>
      </c>
      <c r="S312" s="15">
        <f>IF('组合输入'!$C5="","",'组合输入'!$H5*$B312+SQRT(1-'组合输入'!$H5^2)*R312)</f>
        <v/>
      </c>
      <c r="T312" s="7">
        <f>IF(S312="","",NORM.S.DIST(S312,TRUE))</f>
        <v/>
      </c>
      <c r="U312" s="13">
        <f>IF(T312="","",IF(T312&lt;='组合输入'!$K5,"AAA",IF(T312&lt;='组合输入'!$L5,"AA",IF(T312&lt;='组合输入'!$M5,"A",IF(T312&lt;='组合输入'!$N5,"BBB",IF(T312&lt;='组合输入'!$O5,"BB",IF(T312&lt;='组合输入'!$P5,"B",IF(T312&lt;='组合输入'!$Q5,"CCC","D")))))))</f>
        <v/>
      </c>
      <c r="V312" s="12">
        <f>IF(U312="","",INDEX('状态价值'!$D5:$K5,MATCH(U312,'状态价值'!$D$1:$K$1,0)))</f>
        <v/>
      </c>
      <c r="W312" s="15">
        <f>NORM.S.INV(RAND())</f>
        <v/>
      </c>
      <c r="X312" s="15">
        <f>IF('组合输入'!$C6="","",'组合输入'!$H6*$B312+SQRT(1-'组合输入'!$H6^2)*W312)</f>
        <v/>
      </c>
      <c r="Y312" s="7">
        <f>IF(X312="","",NORM.S.DIST(X312,TRUE))</f>
        <v/>
      </c>
      <c r="Z312" s="13">
        <f>IF(Y312="","",IF(Y312&lt;='组合输入'!$K6,"AAA",IF(Y312&lt;='组合输入'!$L6,"AA",IF(Y312&lt;='组合输入'!$M6,"A",IF(Y312&lt;='组合输入'!$N6,"BBB",IF(Y312&lt;='组合输入'!$O6,"BB",IF(Y312&lt;='组合输入'!$P6,"B",IF(Y312&lt;='组合输入'!$Q6,"CCC","D")))))))</f>
        <v/>
      </c>
      <c r="AA312" s="12">
        <f>IF(Z312="","",INDEX('状态价值'!$D6:$K6,MATCH(Z312,'状态价值'!$D$1:$K$1,0)))</f>
        <v/>
      </c>
      <c r="AB312" s="15">
        <f>NORM.S.INV(RAND())</f>
        <v/>
      </c>
      <c r="AC312" s="15">
        <f>IF('组合输入'!$C7="","",'组合输入'!$H7*$B312+SQRT(1-'组合输入'!$H7^2)*AB312)</f>
        <v/>
      </c>
      <c r="AD312" s="7">
        <f>IF(AC312="","",NORM.S.DIST(AC312,TRUE))</f>
        <v/>
      </c>
      <c r="AE312" s="13">
        <f>IF(AD312="","",IF(AD312&lt;='组合输入'!$K7,"AAA",IF(AD312&lt;='组合输入'!$L7,"AA",IF(AD312&lt;='组合输入'!$M7,"A",IF(AD312&lt;='组合输入'!$N7,"BBB",IF(AD312&lt;='组合输入'!$O7,"BB",IF(AD312&lt;='组合输入'!$P7,"B",IF(AD312&lt;='组合输入'!$Q7,"CCC","D")))))))</f>
        <v/>
      </c>
      <c r="AF312" s="12">
        <f>IF(AE312="","",INDEX('状态价值'!$D7:$K7,MATCH(AE312,'状态价值'!$D$1:$K$1,0)))</f>
        <v/>
      </c>
      <c r="AG312" s="15">
        <f>NORM.S.INV(RAND())</f>
        <v/>
      </c>
      <c r="AH312" s="15">
        <f>IF('组合输入'!$C8="","",'组合输入'!$H8*$B312+SQRT(1-'组合输入'!$H8^2)*AG312)</f>
        <v/>
      </c>
      <c r="AI312" s="7">
        <f>IF(AH312="","",NORM.S.DIST(AH312,TRUE))</f>
        <v/>
      </c>
      <c r="AJ312" s="13">
        <f>IF(AI312="","",IF(AI312&lt;='组合输入'!$K8,"AAA",IF(AI312&lt;='组合输入'!$L8,"AA",IF(AI312&lt;='组合输入'!$M8,"A",IF(AI312&lt;='组合输入'!$N8,"BBB",IF(AI312&lt;='组合输入'!$O8,"BB",IF(AI312&lt;='组合输入'!$P8,"B",IF(AI312&lt;='组合输入'!$Q8,"CCC","D")))))))</f>
        <v/>
      </c>
      <c r="AK312" s="12">
        <f>IF(AJ312="","",INDEX('状态价值'!$D8:$K8,MATCH(AJ312,'状态价值'!$D$1:$K$1,0)))</f>
        <v/>
      </c>
      <c r="AL312" s="15">
        <f>NORM.S.INV(RAND())</f>
        <v/>
      </c>
      <c r="AM312" s="15">
        <f>IF('组合输入'!$C9="","",'组合输入'!$H9*$B312+SQRT(1-'组合输入'!$H9^2)*AL312)</f>
        <v/>
      </c>
      <c r="AN312" s="7">
        <f>IF(AM312="","",NORM.S.DIST(AM312,TRUE))</f>
        <v/>
      </c>
      <c r="AO312" s="13">
        <f>IF(AN312="","",IF(AN312&lt;='组合输入'!$K9,"AAA",IF(AN312&lt;='组合输入'!$L9,"AA",IF(AN312&lt;='组合输入'!$M9,"A",IF(AN312&lt;='组合输入'!$N9,"BBB",IF(AN312&lt;='组合输入'!$O9,"BB",IF(AN312&lt;='组合输入'!$P9,"B",IF(AN312&lt;='组合输入'!$Q9,"CCC","D")))))))</f>
        <v/>
      </c>
      <c r="AP312" s="12">
        <f>IF(AO312="","",INDEX('状态价值'!$D9:$K9,MATCH(AO312,'状态价值'!$D$1:$K$1,0)))</f>
        <v/>
      </c>
      <c r="AQ312" s="15">
        <f>NORM.S.INV(RAND())</f>
        <v/>
      </c>
      <c r="AR312" s="15">
        <f>IF('组合输入'!$C10="","",'组合输入'!$H10*$B312+SQRT(1-'组合输入'!$H10^2)*AQ312)</f>
        <v/>
      </c>
      <c r="AS312" s="7">
        <f>IF(AR312="","",NORM.S.DIST(AR312,TRUE))</f>
        <v/>
      </c>
      <c r="AT312" s="13">
        <f>IF(AS312="","",IF(AS312&lt;='组合输入'!$K10,"AAA",IF(AS312&lt;='组合输入'!$L10,"AA",IF(AS312&lt;='组合输入'!$M10,"A",IF(AS312&lt;='组合输入'!$N10,"BBB",IF(AS312&lt;='组合输入'!$O10,"BB",IF(AS312&lt;='组合输入'!$P10,"B",IF(AS312&lt;='组合输入'!$Q10,"CCC","D")))))))</f>
        <v/>
      </c>
      <c r="AU312" s="12">
        <f>IF(AT312="","",INDEX('状态价值'!$D10:$K10,MATCH(AT312,'状态价值'!$D$1:$K$1,0)))</f>
        <v/>
      </c>
      <c r="AV312" s="15">
        <f>NORM.S.INV(RAND())</f>
        <v/>
      </c>
      <c r="AW312" s="15">
        <f>IF('组合输入'!$C11="","",'组合输入'!$H11*$B312+SQRT(1-'组合输入'!$H11^2)*AV312)</f>
        <v/>
      </c>
      <c r="AX312" s="7">
        <f>IF(AW312="","",NORM.S.DIST(AW312,TRUE))</f>
        <v/>
      </c>
      <c r="AY312" s="13">
        <f>IF(AX312="","",IF(AX312&lt;='组合输入'!$K11,"AAA",IF(AX312&lt;='组合输入'!$L11,"AA",IF(AX312&lt;='组合输入'!$M11,"A",IF(AX312&lt;='组合输入'!$N11,"BBB",IF(AX312&lt;='组合输入'!$O11,"BB",IF(AX312&lt;='组合输入'!$P11,"B",IF(AX312&lt;='组合输入'!$Q11,"CCC","D")))))))</f>
        <v/>
      </c>
      <c r="AZ312" s="12">
        <f>IF(AY312="","",INDEX('状态价值'!$D11:$K11,MATCH(AY312,'状态价值'!$D$1:$K$1,0)))</f>
        <v/>
      </c>
      <c r="BA312" s="12">
        <f>G312+L312+Q312+V312+AA312+AF312+AK312+AP312+AU312+AZ312</f>
        <v/>
      </c>
      <c r="BB312" s="12">
        <f>SUM('组合输入'!$J$2:$J$11)-BA312</f>
        <v/>
      </c>
    </row>
    <row r="313">
      <c r="A313" s="11" t="n">
        <v>312</v>
      </c>
      <c r="B313" s="14">
        <f>NORM.S.INV(RAND())</f>
        <v/>
      </c>
      <c r="C313" s="14">
        <f>NORM.S.INV(RAND())</f>
        <v/>
      </c>
      <c r="D313" s="15">
        <f>IF('组合输入'!$C2="","",'组合输入'!$H2*$B313+SQRT(1-'组合输入'!$H2^2)*C313)</f>
        <v/>
      </c>
      <c r="E313" s="7">
        <f>IF(D313="","",NORM.S.DIST(D313,TRUE))</f>
        <v/>
      </c>
      <c r="F313" s="13">
        <f>IF(E313="","",IF(E313&lt;='组合输入'!$K2,"AAA",IF(E313&lt;='组合输入'!$L2,"AA",IF(E313&lt;='组合输入'!$M2,"A",IF(E313&lt;='组合输入'!$N2,"BBB",IF(E313&lt;='组合输入'!$O2,"BB",IF(E313&lt;='组合输入'!$P2,"B",IF(E313&lt;='组合输入'!$Q2,"CCC","D")))))))</f>
        <v/>
      </c>
      <c r="G313" s="12">
        <f>IF(F313="","",INDEX('状态价值'!$D2:$K2,MATCH(F313,'状态价值'!$D$1:$K$1,0)))</f>
        <v/>
      </c>
      <c r="H313" s="15">
        <f>NORM.S.INV(RAND())</f>
        <v/>
      </c>
      <c r="I313" s="15">
        <f>IF('组合输入'!$C3="","",'组合输入'!$H3*$B313+SQRT(1-'组合输入'!$H3^2)*H313)</f>
        <v/>
      </c>
      <c r="J313" s="7">
        <f>IF(I313="","",NORM.S.DIST(I313,TRUE))</f>
        <v/>
      </c>
      <c r="K313" s="13">
        <f>IF(J313="","",IF(J313&lt;='组合输入'!$K3,"AAA",IF(J313&lt;='组合输入'!$L3,"AA",IF(J313&lt;='组合输入'!$M3,"A",IF(J313&lt;='组合输入'!$N3,"BBB",IF(J313&lt;='组合输入'!$O3,"BB",IF(J313&lt;='组合输入'!$P3,"B",IF(J313&lt;='组合输入'!$Q3,"CCC","D")))))))</f>
        <v/>
      </c>
      <c r="L313" s="12">
        <f>IF(K313="","",INDEX('状态价值'!$D3:$K3,MATCH(K313,'状态价值'!$D$1:$K$1,0)))</f>
        <v/>
      </c>
      <c r="M313" s="15">
        <f>NORM.S.INV(RAND())</f>
        <v/>
      </c>
      <c r="N313" s="15">
        <f>IF('组合输入'!$C4="","",'组合输入'!$H4*$B313+SQRT(1-'组合输入'!$H4^2)*M313)</f>
        <v/>
      </c>
      <c r="O313" s="7">
        <f>IF(N313="","",NORM.S.DIST(N313,TRUE))</f>
        <v/>
      </c>
      <c r="P313" s="13">
        <f>IF(O313="","",IF(O313&lt;='组合输入'!$K4,"AAA",IF(O313&lt;='组合输入'!$L4,"AA",IF(O313&lt;='组合输入'!$M4,"A",IF(O313&lt;='组合输入'!$N4,"BBB",IF(O313&lt;='组合输入'!$O4,"BB",IF(O313&lt;='组合输入'!$P4,"B",IF(O313&lt;='组合输入'!$Q4,"CCC","D")))))))</f>
        <v/>
      </c>
      <c r="Q313" s="12">
        <f>IF(P313="","",INDEX('状态价值'!$D4:$K4,MATCH(P313,'状态价值'!$D$1:$K$1,0)))</f>
        <v/>
      </c>
      <c r="R313" s="15">
        <f>NORM.S.INV(RAND())</f>
        <v/>
      </c>
      <c r="S313" s="15">
        <f>IF('组合输入'!$C5="","",'组合输入'!$H5*$B313+SQRT(1-'组合输入'!$H5^2)*R313)</f>
        <v/>
      </c>
      <c r="T313" s="7">
        <f>IF(S313="","",NORM.S.DIST(S313,TRUE))</f>
        <v/>
      </c>
      <c r="U313" s="13">
        <f>IF(T313="","",IF(T313&lt;='组合输入'!$K5,"AAA",IF(T313&lt;='组合输入'!$L5,"AA",IF(T313&lt;='组合输入'!$M5,"A",IF(T313&lt;='组合输入'!$N5,"BBB",IF(T313&lt;='组合输入'!$O5,"BB",IF(T313&lt;='组合输入'!$P5,"B",IF(T313&lt;='组合输入'!$Q5,"CCC","D")))))))</f>
        <v/>
      </c>
      <c r="V313" s="12">
        <f>IF(U313="","",INDEX('状态价值'!$D5:$K5,MATCH(U313,'状态价值'!$D$1:$K$1,0)))</f>
        <v/>
      </c>
      <c r="W313" s="15">
        <f>NORM.S.INV(RAND())</f>
        <v/>
      </c>
      <c r="X313" s="15">
        <f>IF('组合输入'!$C6="","",'组合输入'!$H6*$B313+SQRT(1-'组合输入'!$H6^2)*W313)</f>
        <v/>
      </c>
      <c r="Y313" s="7">
        <f>IF(X313="","",NORM.S.DIST(X313,TRUE))</f>
        <v/>
      </c>
      <c r="Z313" s="13">
        <f>IF(Y313="","",IF(Y313&lt;='组合输入'!$K6,"AAA",IF(Y313&lt;='组合输入'!$L6,"AA",IF(Y313&lt;='组合输入'!$M6,"A",IF(Y313&lt;='组合输入'!$N6,"BBB",IF(Y313&lt;='组合输入'!$O6,"BB",IF(Y313&lt;='组合输入'!$P6,"B",IF(Y313&lt;='组合输入'!$Q6,"CCC","D")))))))</f>
        <v/>
      </c>
      <c r="AA313" s="12">
        <f>IF(Z313="","",INDEX('状态价值'!$D6:$K6,MATCH(Z313,'状态价值'!$D$1:$K$1,0)))</f>
        <v/>
      </c>
      <c r="AB313" s="15">
        <f>NORM.S.INV(RAND())</f>
        <v/>
      </c>
      <c r="AC313" s="15">
        <f>IF('组合输入'!$C7="","",'组合输入'!$H7*$B313+SQRT(1-'组合输入'!$H7^2)*AB313)</f>
        <v/>
      </c>
      <c r="AD313" s="7">
        <f>IF(AC313="","",NORM.S.DIST(AC313,TRUE))</f>
        <v/>
      </c>
      <c r="AE313" s="13">
        <f>IF(AD313="","",IF(AD313&lt;='组合输入'!$K7,"AAA",IF(AD313&lt;='组合输入'!$L7,"AA",IF(AD313&lt;='组合输入'!$M7,"A",IF(AD313&lt;='组合输入'!$N7,"BBB",IF(AD313&lt;='组合输入'!$O7,"BB",IF(AD313&lt;='组合输入'!$P7,"B",IF(AD313&lt;='组合输入'!$Q7,"CCC","D")))))))</f>
        <v/>
      </c>
      <c r="AF313" s="12">
        <f>IF(AE313="","",INDEX('状态价值'!$D7:$K7,MATCH(AE313,'状态价值'!$D$1:$K$1,0)))</f>
        <v/>
      </c>
      <c r="AG313" s="15">
        <f>NORM.S.INV(RAND())</f>
        <v/>
      </c>
      <c r="AH313" s="15">
        <f>IF('组合输入'!$C8="","",'组合输入'!$H8*$B313+SQRT(1-'组合输入'!$H8^2)*AG313)</f>
        <v/>
      </c>
      <c r="AI313" s="7">
        <f>IF(AH313="","",NORM.S.DIST(AH313,TRUE))</f>
        <v/>
      </c>
      <c r="AJ313" s="13">
        <f>IF(AI313="","",IF(AI313&lt;='组合输入'!$K8,"AAA",IF(AI313&lt;='组合输入'!$L8,"AA",IF(AI313&lt;='组合输入'!$M8,"A",IF(AI313&lt;='组合输入'!$N8,"BBB",IF(AI313&lt;='组合输入'!$O8,"BB",IF(AI313&lt;='组合输入'!$P8,"B",IF(AI313&lt;='组合输入'!$Q8,"CCC","D")))))))</f>
        <v/>
      </c>
      <c r="AK313" s="12">
        <f>IF(AJ313="","",INDEX('状态价值'!$D8:$K8,MATCH(AJ313,'状态价值'!$D$1:$K$1,0)))</f>
        <v/>
      </c>
      <c r="AL313" s="15">
        <f>NORM.S.INV(RAND())</f>
        <v/>
      </c>
      <c r="AM313" s="15">
        <f>IF('组合输入'!$C9="","",'组合输入'!$H9*$B313+SQRT(1-'组合输入'!$H9^2)*AL313)</f>
        <v/>
      </c>
      <c r="AN313" s="7">
        <f>IF(AM313="","",NORM.S.DIST(AM313,TRUE))</f>
        <v/>
      </c>
      <c r="AO313" s="13">
        <f>IF(AN313="","",IF(AN313&lt;='组合输入'!$K9,"AAA",IF(AN313&lt;='组合输入'!$L9,"AA",IF(AN313&lt;='组合输入'!$M9,"A",IF(AN313&lt;='组合输入'!$N9,"BBB",IF(AN313&lt;='组合输入'!$O9,"BB",IF(AN313&lt;='组合输入'!$P9,"B",IF(AN313&lt;='组合输入'!$Q9,"CCC","D")))))))</f>
        <v/>
      </c>
      <c r="AP313" s="12">
        <f>IF(AO313="","",INDEX('状态价值'!$D9:$K9,MATCH(AO313,'状态价值'!$D$1:$K$1,0)))</f>
        <v/>
      </c>
      <c r="AQ313" s="15">
        <f>NORM.S.INV(RAND())</f>
        <v/>
      </c>
      <c r="AR313" s="15">
        <f>IF('组合输入'!$C10="","",'组合输入'!$H10*$B313+SQRT(1-'组合输入'!$H10^2)*AQ313)</f>
        <v/>
      </c>
      <c r="AS313" s="7">
        <f>IF(AR313="","",NORM.S.DIST(AR313,TRUE))</f>
        <v/>
      </c>
      <c r="AT313" s="13">
        <f>IF(AS313="","",IF(AS313&lt;='组合输入'!$K10,"AAA",IF(AS313&lt;='组合输入'!$L10,"AA",IF(AS313&lt;='组合输入'!$M10,"A",IF(AS313&lt;='组合输入'!$N10,"BBB",IF(AS313&lt;='组合输入'!$O10,"BB",IF(AS313&lt;='组合输入'!$P10,"B",IF(AS313&lt;='组合输入'!$Q10,"CCC","D")))))))</f>
        <v/>
      </c>
      <c r="AU313" s="12">
        <f>IF(AT313="","",INDEX('状态价值'!$D10:$K10,MATCH(AT313,'状态价值'!$D$1:$K$1,0)))</f>
        <v/>
      </c>
      <c r="AV313" s="15">
        <f>NORM.S.INV(RAND())</f>
        <v/>
      </c>
      <c r="AW313" s="15">
        <f>IF('组合输入'!$C11="","",'组合输入'!$H11*$B313+SQRT(1-'组合输入'!$H11^2)*AV313)</f>
        <v/>
      </c>
      <c r="AX313" s="7">
        <f>IF(AW313="","",NORM.S.DIST(AW313,TRUE))</f>
        <v/>
      </c>
      <c r="AY313" s="13">
        <f>IF(AX313="","",IF(AX313&lt;='组合输入'!$K11,"AAA",IF(AX313&lt;='组合输入'!$L11,"AA",IF(AX313&lt;='组合输入'!$M11,"A",IF(AX313&lt;='组合输入'!$N11,"BBB",IF(AX313&lt;='组合输入'!$O11,"BB",IF(AX313&lt;='组合输入'!$P11,"B",IF(AX313&lt;='组合输入'!$Q11,"CCC","D")))))))</f>
        <v/>
      </c>
      <c r="AZ313" s="12">
        <f>IF(AY313="","",INDEX('状态价值'!$D11:$K11,MATCH(AY313,'状态价值'!$D$1:$K$1,0)))</f>
        <v/>
      </c>
      <c r="BA313" s="12">
        <f>G313+L313+Q313+V313+AA313+AF313+AK313+AP313+AU313+AZ313</f>
        <v/>
      </c>
      <c r="BB313" s="12">
        <f>SUM('组合输入'!$J$2:$J$11)-BA313</f>
        <v/>
      </c>
    </row>
    <row r="314">
      <c r="A314" s="11" t="n">
        <v>313</v>
      </c>
      <c r="B314" s="14">
        <f>NORM.S.INV(RAND())</f>
        <v/>
      </c>
      <c r="C314" s="14">
        <f>NORM.S.INV(RAND())</f>
        <v/>
      </c>
      <c r="D314" s="15">
        <f>IF('组合输入'!$C2="","",'组合输入'!$H2*$B314+SQRT(1-'组合输入'!$H2^2)*C314)</f>
        <v/>
      </c>
      <c r="E314" s="7">
        <f>IF(D314="","",NORM.S.DIST(D314,TRUE))</f>
        <v/>
      </c>
      <c r="F314" s="13">
        <f>IF(E314="","",IF(E314&lt;='组合输入'!$K2,"AAA",IF(E314&lt;='组合输入'!$L2,"AA",IF(E314&lt;='组合输入'!$M2,"A",IF(E314&lt;='组合输入'!$N2,"BBB",IF(E314&lt;='组合输入'!$O2,"BB",IF(E314&lt;='组合输入'!$P2,"B",IF(E314&lt;='组合输入'!$Q2,"CCC","D")))))))</f>
        <v/>
      </c>
      <c r="G314" s="12">
        <f>IF(F314="","",INDEX('状态价值'!$D2:$K2,MATCH(F314,'状态价值'!$D$1:$K$1,0)))</f>
        <v/>
      </c>
      <c r="H314" s="15">
        <f>NORM.S.INV(RAND())</f>
        <v/>
      </c>
      <c r="I314" s="15">
        <f>IF('组合输入'!$C3="","",'组合输入'!$H3*$B314+SQRT(1-'组合输入'!$H3^2)*H314)</f>
        <v/>
      </c>
      <c r="J314" s="7">
        <f>IF(I314="","",NORM.S.DIST(I314,TRUE))</f>
        <v/>
      </c>
      <c r="K314" s="13">
        <f>IF(J314="","",IF(J314&lt;='组合输入'!$K3,"AAA",IF(J314&lt;='组合输入'!$L3,"AA",IF(J314&lt;='组合输入'!$M3,"A",IF(J314&lt;='组合输入'!$N3,"BBB",IF(J314&lt;='组合输入'!$O3,"BB",IF(J314&lt;='组合输入'!$P3,"B",IF(J314&lt;='组合输入'!$Q3,"CCC","D")))))))</f>
        <v/>
      </c>
      <c r="L314" s="12">
        <f>IF(K314="","",INDEX('状态价值'!$D3:$K3,MATCH(K314,'状态价值'!$D$1:$K$1,0)))</f>
        <v/>
      </c>
      <c r="M314" s="15">
        <f>NORM.S.INV(RAND())</f>
        <v/>
      </c>
      <c r="N314" s="15">
        <f>IF('组合输入'!$C4="","",'组合输入'!$H4*$B314+SQRT(1-'组合输入'!$H4^2)*M314)</f>
        <v/>
      </c>
      <c r="O314" s="7">
        <f>IF(N314="","",NORM.S.DIST(N314,TRUE))</f>
        <v/>
      </c>
      <c r="P314" s="13">
        <f>IF(O314="","",IF(O314&lt;='组合输入'!$K4,"AAA",IF(O314&lt;='组合输入'!$L4,"AA",IF(O314&lt;='组合输入'!$M4,"A",IF(O314&lt;='组合输入'!$N4,"BBB",IF(O314&lt;='组合输入'!$O4,"BB",IF(O314&lt;='组合输入'!$P4,"B",IF(O314&lt;='组合输入'!$Q4,"CCC","D")))))))</f>
        <v/>
      </c>
      <c r="Q314" s="12">
        <f>IF(P314="","",INDEX('状态价值'!$D4:$K4,MATCH(P314,'状态价值'!$D$1:$K$1,0)))</f>
        <v/>
      </c>
      <c r="R314" s="15">
        <f>NORM.S.INV(RAND())</f>
        <v/>
      </c>
      <c r="S314" s="15">
        <f>IF('组合输入'!$C5="","",'组合输入'!$H5*$B314+SQRT(1-'组合输入'!$H5^2)*R314)</f>
        <v/>
      </c>
      <c r="T314" s="7">
        <f>IF(S314="","",NORM.S.DIST(S314,TRUE))</f>
        <v/>
      </c>
      <c r="U314" s="13">
        <f>IF(T314="","",IF(T314&lt;='组合输入'!$K5,"AAA",IF(T314&lt;='组合输入'!$L5,"AA",IF(T314&lt;='组合输入'!$M5,"A",IF(T314&lt;='组合输入'!$N5,"BBB",IF(T314&lt;='组合输入'!$O5,"BB",IF(T314&lt;='组合输入'!$P5,"B",IF(T314&lt;='组合输入'!$Q5,"CCC","D")))))))</f>
        <v/>
      </c>
      <c r="V314" s="12">
        <f>IF(U314="","",INDEX('状态价值'!$D5:$K5,MATCH(U314,'状态价值'!$D$1:$K$1,0)))</f>
        <v/>
      </c>
      <c r="W314" s="15">
        <f>NORM.S.INV(RAND())</f>
        <v/>
      </c>
      <c r="X314" s="15">
        <f>IF('组合输入'!$C6="","",'组合输入'!$H6*$B314+SQRT(1-'组合输入'!$H6^2)*W314)</f>
        <v/>
      </c>
      <c r="Y314" s="7">
        <f>IF(X314="","",NORM.S.DIST(X314,TRUE))</f>
        <v/>
      </c>
      <c r="Z314" s="13">
        <f>IF(Y314="","",IF(Y314&lt;='组合输入'!$K6,"AAA",IF(Y314&lt;='组合输入'!$L6,"AA",IF(Y314&lt;='组合输入'!$M6,"A",IF(Y314&lt;='组合输入'!$N6,"BBB",IF(Y314&lt;='组合输入'!$O6,"BB",IF(Y314&lt;='组合输入'!$P6,"B",IF(Y314&lt;='组合输入'!$Q6,"CCC","D")))))))</f>
        <v/>
      </c>
      <c r="AA314" s="12">
        <f>IF(Z314="","",INDEX('状态价值'!$D6:$K6,MATCH(Z314,'状态价值'!$D$1:$K$1,0)))</f>
        <v/>
      </c>
      <c r="AB314" s="15">
        <f>NORM.S.INV(RAND())</f>
        <v/>
      </c>
      <c r="AC314" s="15">
        <f>IF('组合输入'!$C7="","",'组合输入'!$H7*$B314+SQRT(1-'组合输入'!$H7^2)*AB314)</f>
        <v/>
      </c>
      <c r="AD314" s="7">
        <f>IF(AC314="","",NORM.S.DIST(AC314,TRUE))</f>
        <v/>
      </c>
      <c r="AE314" s="13">
        <f>IF(AD314="","",IF(AD314&lt;='组合输入'!$K7,"AAA",IF(AD314&lt;='组合输入'!$L7,"AA",IF(AD314&lt;='组合输入'!$M7,"A",IF(AD314&lt;='组合输入'!$N7,"BBB",IF(AD314&lt;='组合输入'!$O7,"BB",IF(AD314&lt;='组合输入'!$P7,"B",IF(AD314&lt;='组合输入'!$Q7,"CCC","D")))))))</f>
        <v/>
      </c>
      <c r="AF314" s="12">
        <f>IF(AE314="","",INDEX('状态价值'!$D7:$K7,MATCH(AE314,'状态价值'!$D$1:$K$1,0)))</f>
        <v/>
      </c>
      <c r="AG314" s="15">
        <f>NORM.S.INV(RAND())</f>
        <v/>
      </c>
      <c r="AH314" s="15">
        <f>IF('组合输入'!$C8="","",'组合输入'!$H8*$B314+SQRT(1-'组合输入'!$H8^2)*AG314)</f>
        <v/>
      </c>
      <c r="AI314" s="7">
        <f>IF(AH314="","",NORM.S.DIST(AH314,TRUE))</f>
        <v/>
      </c>
      <c r="AJ314" s="13">
        <f>IF(AI314="","",IF(AI314&lt;='组合输入'!$K8,"AAA",IF(AI314&lt;='组合输入'!$L8,"AA",IF(AI314&lt;='组合输入'!$M8,"A",IF(AI314&lt;='组合输入'!$N8,"BBB",IF(AI314&lt;='组合输入'!$O8,"BB",IF(AI314&lt;='组合输入'!$P8,"B",IF(AI314&lt;='组合输入'!$Q8,"CCC","D")))))))</f>
        <v/>
      </c>
      <c r="AK314" s="12">
        <f>IF(AJ314="","",INDEX('状态价值'!$D8:$K8,MATCH(AJ314,'状态价值'!$D$1:$K$1,0)))</f>
        <v/>
      </c>
      <c r="AL314" s="15">
        <f>NORM.S.INV(RAND())</f>
        <v/>
      </c>
      <c r="AM314" s="15">
        <f>IF('组合输入'!$C9="","",'组合输入'!$H9*$B314+SQRT(1-'组合输入'!$H9^2)*AL314)</f>
        <v/>
      </c>
      <c r="AN314" s="7">
        <f>IF(AM314="","",NORM.S.DIST(AM314,TRUE))</f>
        <v/>
      </c>
      <c r="AO314" s="13">
        <f>IF(AN314="","",IF(AN314&lt;='组合输入'!$K9,"AAA",IF(AN314&lt;='组合输入'!$L9,"AA",IF(AN314&lt;='组合输入'!$M9,"A",IF(AN314&lt;='组合输入'!$N9,"BBB",IF(AN314&lt;='组合输入'!$O9,"BB",IF(AN314&lt;='组合输入'!$P9,"B",IF(AN314&lt;='组合输入'!$Q9,"CCC","D")))))))</f>
        <v/>
      </c>
      <c r="AP314" s="12">
        <f>IF(AO314="","",INDEX('状态价值'!$D9:$K9,MATCH(AO314,'状态价值'!$D$1:$K$1,0)))</f>
        <v/>
      </c>
      <c r="AQ314" s="15">
        <f>NORM.S.INV(RAND())</f>
        <v/>
      </c>
      <c r="AR314" s="15">
        <f>IF('组合输入'!$C10="","",'组合输入'!$H10*$B314+SQRT(1-'组合输入'!$H10^2)*AQ314)</f>
        <v/>
      </c>
      <c r="AS314" s="7">
        <f>IF(AR314="","",NORM.S.DIST(AR314,TRUE))</f>
        <v/>
      </c>
      <c r="AT314" s="13">
        <f>IF(AS314="","",IF(AS314&lt;='组合输入'!$K10,"AAA",IF(AS314&lt;='组合输入'!$L10,"AA",IF(AS314&lt;='组合输入'!$M10,"A",IF(AS314&lt;='组合输入'!$N10,"BBB",IF(AS314&lt;='组合输入'!$O10,"BB",IF(AS314&lt;='组合输入'!$P10,"B",IF(AS314&lt;='组合输入'!$Q10,"CCC","D")))))))</f>
        <v/>
      </c>
      <c r="AU314" s="12">
        <f>IF(AT314="","",INDEX('状态价值'!$D10:$K10,MATCH(AT314,'状态价值'!$D$1:$K$1,0)))</f>
        <v/>
      </c>
      <c r="AV314" s="15">
        <f>NORM.S.INV(RAND())</f>
        <v/>
      </c>
      <c r="AW314" s="15">
        <f>IF('组合输入'!$C11="","",'组合输入'!$H11*$B314+SQRT(1-'组合输入'!$H11^2)*AV314)</f>
        <v/>
      </c>
      <c r="AX314" s="7">
        <f>IF(AW314="","",NORM.S.DIST(AW314,TRUE))</f>
        <v/>
      </c>
      <c r="AY314" s="13">
        <f>IF(AX314="","",IF(AX314&lt;='组合输入'!$K11,"AAA",IF(AX314&lt;='组合输入'!$L11,"AA",IF(AX314&lt;='组合输入'!$M11,"A",IF(AX314&lt;='组合输入'!$N11,"BBB",IF(AX314&lt;='组合输入'!$O11,"BB",IF(AX314&lt;='组合输入'!$P11,"B",IF(AX314&lt;='组合输入'!$Q11,"CCC","D")))))))</f>
        <v/>
      </c>
      <c r="AZ314" s="12">
        <f>IF(AY314="","",INDEX('状态价值'!$D11:$K11,MATCH(AY314,'状态价值'!$D$1:$K$1,0)))</f>
        <v/>
      </c>
      <c r="BA314" s="12">
        <f>G314+L314+Q314+V314+AA314+AF314+AK314+AP314+AU314+AZ314</f>
        <v/>
      </c>
      <c r="BB314" s="12">
        <f>SUM('组合输入'!$J$2:$J$11)-BA314</f>
        <v/>
      </c>
    </row>
    <row r="315">
      <c r="A315" s="11" t="n">
        <v>314</v>
      </c>
      <c r="B315" s="14">
        <f>NORM.S.INV(RAND())</f>
        <v/>
      </c>
      <c r="C315" s="14">
        <f>NORM.S.INV(RAND())</f>
        <v/>
      </c>
      <c r="D315" s="15">
        <f>IF('组合输入'!$C2="","",'组合输入'!$H2*$B315+SQRT(1-'组合输入'!$H2^2)*C315)</f>
        <v/>
      </c>
      <c r="E315" s="7">
        <f>IF(D315="","",NORM.S.DIST(D315,TRUE))</f>
        <v/>
      </c>
      <c r="F315" s="13">
        <f>IF(E315="","",IF(E315&lt;='组合输入'!$K2,"AAA",IF(E315&lt;='组合输入'!$L2,"AA",IF(E315&lt;='组合输入'!$M2,"A",IF(E315&lt;='组合输入'!$N2,"BBB",IF(E315&lt;='组合输入'!$O2,"BB",IF(E315&lt;='组合输入'!$P2,"B",IF(E315&lt;='组合输入'!$Q2,"CCC","D")))))))</f>
        <v/>
      </c>
      <c r="G315" s="12">
        <f>IF(F315="","",INDEX('状态价值'!$D2:$K2,MATCH(F315,'状态价值'!$D$1:$K$1,0)))</f>
        <v/>
      </c>
      <c r="H315" s="15">
        <f>NORM.S.INV(RAND())</f>
        <v/>
      </c>
      <c r="I315" s="15">
        <f>IF('组合输入'!$C3="","",'组合输入'!$H3*$B315+SQRT(1-'组合输入'!$H3^2)*H315)</f>
        <v/>
      </c>
      <c r="J315" s="7">
        <f>IF(I315="","",NORM.S.DIST(I315,TRUE))</f>
        <v/>
      </c>
      <c r="K315" s="13">
        <f>IF(J315="","",IF(J315&lt;='组合输入'!$K3,"AAA",IF(J315&lt;='组合输入'!$L3,"AA",IF(J315&lt;='组合输入'!$M3,"A",IF(J315&lt;='组合输入'!$N3,"BBB",IF(J315&lt;='组合输入'!$O3,"BB",IF(J315&lt;='组合输入'!$P3,"B",IF(J315&lt;='组合输入'!$Q3,"CCC","D")))))))</f>
        <v/>
      </c>
      <c r="L315" s="12">
        <f>IF(K315="","",INDEX('状态价值'!$D3:$K3,MATCH(K315,'状态价值'!$D$1:$K$1,0)))</f>
        <v/>
      </c>
      <c r="M315" s="15">
        <f>NORM.S.INV(RAND())</f>
        <v/>
      </c>
      <c r="N315" s="15">
        <f>IF('组合输入'!$C4="","",'组合输入'!$H4*$B315+SQRT(1-'组合输入'!$H4^2)*M315)</f>
        <v/>
      </c>
      <c r="O315" s="7">
        <f>IF(N315="","",NORM.S.DIST(N315,TRUE))</f>
        <v/>
      </c>
      <c r="P315" s="13">
        <f>IF(O315="","",IF(O315&lt;='组合输入'!$K4,"AAA",IF(O315&lt;='组合输入'!$L4,"AA",IF(O315&lt;='组合输入'!$M4,"A",IF(O315&lt;='组合输入'!$N4,"BBB",IF(O315&lt;='组合输入'!$O4,"BB",IF(O315&lt;='组合输入'!$P4,"B",IF(O315&lt;='组合输入'!$Q4,"CCC","D")))))))</f>
        <v/>
      </c>
      <c r="Q315" s="12">
        <f>IF(P315="","",INDEX('状态价值'!$D4:$K4,MATCH(P315,'状态价值'!$D$1:$K$1,0)))</f>
        <v/>
      </c>
      <c r="R315" s="15">
        <f>NORM.S.INV(RAND())</f>
        <v/>
      </c>
      <c r="S315" s="15">
        <f>IF('组合输入'!$C5="","",'组合输入'!$H5*$B315+SQRT(1-'组合输入'!$H5^2)*R315)</f>
        <v/>
      </c>
      <c r="T315" s="7">
        <f>IF(S315="","",NORM.S.DIST(S315,TRUE))</f>
        <v/>
      </c>
      <c r="U315" s="13">
        <f>IF(T315="","",IF(T315&lt;='组合输入'!$K5,"AAA",IF(T315&lt;='组合输入'!$L5,"AA",IF(T315&lt;='组合输入'!$M5,"A",IF(T315&lt;='组合输入'!$N5,"BBB",IF(T315&lt;='组合输入'!$O5,"BB",IF(T315&lt;='组合输入'!$P5,"B",IF(T315&lt;='组合输入'!$Q5,"CCC","D")))))))</f>
        <v/>
      </c>
      <c r="V315" s="12">
        <f>IF(U315="","",INDEX('状态价值'!$D5:$K5,MATCH(U315,'状态价值'!$D$1:$K$1,0)))</f>
        <v/>
      </c>
      <c r="W315" s="15">
        <f>NORM.S.INV(RAND())</f>
        <v/>
      </c>
      <c r="X315" s="15">
        <f>IF('组合输入'!$C6="","",'组合输入'!$H6*$B315+SQRT(1-'组合输入'!$H6^2)*W315)</f>
        <v/>
      </c>
      <c r="Y315" s="7">
        <f>IF(X315="","",NORM.S.DIST(X315,TRUE))</f>
        <v/>
      </c>
      <c r="Z315" s="13">
        <f>IF(Y315="","",IF(Y315&lt;='组合输入'!$K6,"AAA",IF(Y315&lt;='组合输入'!$L6,"AA",IF(Y315&lt;='组合输入'!$M6,"A",IF(Y315&lt;='组合输入'!$N6,"BBB",IF(Y315&lt;='组合输入'!$O6,"BB",IF(Y315&lt;='组合输入'!$P6,"B",IF(Y315&lt;='组合输入'!$Q6,"CCC","D")))))))</f>
        <v/>
      </c>
      <c r="AA315" s="12">
        <f>IF(Z315="","",INDEX('状态价值'!$D6:$K6,MATCH(Z315,'状态价值'!$D$1:$K$1,0)))</f>
        <v/>
      </c>
      <c r="AB315" s="15">
        <f>NORM.S.INV(RAND())</f>
        <v/>
      </c>
      <c r="AC315" s="15">
        <f>IF('组合输入'!$C7="","",'组合输入'!$H7*$B315+SQRT(1-'组合输入'!$H7^2)*AB315)</f>
        <v/>
      </c>
      <c r="AD315" s="7">
        <f>IF(AC315="","",NORM.S.DIST(AC315,TRUE))</f>
        <v/>
      </c>
      <c r="AE315" s="13">
        <f>IF(AD315="","",IF(AD315&lt;='组合输入'!$K7,"AAA",IF(AD315&lt;='组合输入'!$L7,"AA",IF(AD315&lt;='组合输入'!$M7,"A",IF(AD315&lt;='组合输入'!$N7,"BBB",IF(AD315&lt;='组合输入'!$O7,"BB",IF(AD315&lt;='组合输入'!$P7,"B",IF(AD315&lt;='组合输入'!$Q7,"CCC","D")))))))</f>
        <v/>
      </c>
      <c r="AF315" s="12">
        <f>IF(AE315="","",INDEX('状态价值'!$D7:$K7,MATCH(AE315,'状态价值'!$D$1:$K$1,0)))</f>
        <v/>
      </c>
      <c r="AG315" s="15">
        <f>NORM.S.INV(RAND())</f>
        <v/>
      </c>
      <c r="AH315" s="15">
        <f>IF('组合输入'!$C8="","",'组合输入'!$H8*$B315+SQRT(1-'组合输入'!$H8^2)*AG315)</f>
        <v/>
      </c>
      <c r="AI315" s="7">
        <f>IF(AH315="","",NORM.S.DIST(AH315,TRUE))</f>
        <v/>
      </c>
      <c r="AJ315" s="13">
        <f>IF(AI315="","",IF(AI315&lt;='组合输入'!$K8,"AAA",IF(AI315&lt;='组合输入'!$L8,"AA",IF(AI315&lt;='组合输入'!$M8,"A",IF(AI315&lt;='组合输入'!$N8,"BBB",IF(AI315&lt;='组合输入'!$O8,"BB",IF(AI315&lt;='组合输入'!$P8,"B",IF(AI315&lt;='组合输入'!$Q8,"CCC","D")))))))</f>
        <v/>
      </c>
      <c r="AK315" s="12">
        <f>IF(AJ315="","",INDEX('状态价值'!$D8:$K8,MATCH(AJ315,'状态价值'!$D$1:$K$1,0)))</f>
        <v/>
      </c>
      <c r="AL315" s="15">
        <f>NORM.S.INV(RAND())</f>
        <v/>
      </c>
      <c r="AM315" s="15">
        <f>IF('组合输入'!$C9="","",'组合输入'!$H9*$B315+SQRT(1-'组合输入'!$H9^2)*AL315)</f>
        <v/>
      </c>
      <c r="AN315" s="7">
        <f>IF(AM315="","",NORM.S.DIST(AM315,TRUE))</f>
        <v/>
      </c>
      <c r="AO315" s="13">
        <f>IF(AN315="","",IF(AN315&lt;='组合输入'!$K9,"AAA",IF(AN315&lt;='组合输入'!$L9,"AA",IF(AN315&lt;='组合输入'!$M9,"A",IF(AN315&lt;='组合输入'!$N9,"BBB",IF(AN315&lt;='组合输入'!$O9,"BB",IF(AN315&lt;='组合输入'!$P9,"B",IF(AN315&lt;='组合输入'!$Q9,"CCC","D")))))))</f>
        <v/>
      </c>
      <c r="AP315" s="12">
        <f>IF(AO315="","",INDEX('状态价值'!$D9:$K9,MATCH(AO315,'状态价值'!$D$1:$K$1,0)))</f>
        <v/>
      </c>
      <c r="AQ315" s="15">
        <f>NORM.S.INV(RAND())</f>
        <v/>
      </c>
      <c r="AR315" s="15">
        <f>IF('组合输入'!$C10="","",'组合输入'!$H10*$B315+SQRT(1-'组合输入'!$H10^2)*AQ315)</f>
        <v/>
      </c>
      <c r="AS315" s="7">
        <f>IF(AR315="","",NORM.S.DIST(AR315,TRUE))</f>
        <v/>
      </c>
      <c r="AT315" s="13">
        <f>IF(AS315="","",IF(AS315&lt;='组合输入'!$K10,"AAA",IF(AS315&lt;='组合输入'!$L10,"AA",IF(AS315&lt;='组合输入'!$M10,"A",IF(AS315&lt;='组合输入'!$N10,"BBB",IF(AS315&lt;='组合输入'!$O10,"BB",IF(AS315&lt;='组合输入'!$P10,"B",IF(AS315&lt;='组合输入'!$Q10,"CCC","D")))))))</f>
        <v/>
      </c>
      <c r="AU315" s="12">
        <f>IF(AT315="","",INDEX('状态价值'!$D10:$K10,MATCH(AT315,'状态价值'!$D$1:$K$1,0)))</f>
        <v/>
      </c>
      <c r="AV315" s="15">
        <f>NORM.S.INV(RAND())</f>
        <v/>
      </c>
      <c r="AW315" s="15">
        <f>IF('组合输入'!$C11="","",'组合输入'!$H11*$B315+SQRT(1-'组合输入'!$H11^2)*AV315)</f>
        <v/>
      </c>
      <c r="AX315" s="7">
        <f>IF(AW315="","",NORM.S.DIST(AW315,TRUE))</f>
        <v/>
      </c>
      <c r="AY315" s="13">
        <f>IF(AX315="","",IF(AX315&lt;='组合输入'!$K11,"AAA",IF(AX315&lt;='组合输入'!$L11,"AA",IF(AX315&lt;='组合输入'!$M11,"A",IF(AX315&lt;='组合输入'!$N11,"BBB",IF(AX315&lt;='组合输入'!$O11,"BB",IF(AX315&lt;='组合输入'!$P11,"B",IF(AX315&lt;='组合输入'!$Q11,"CCC","D")))))))</f>
        <v/>
      </c>
      <c r="AZ315" s="12">
        <f>IF(AY315="","",INDEX('状态价值'!$D11:$K11,MATCH(AY315,'状态价值'!$D$1:$K$1,0)))</f>
        <v/>
      </c>
      <c r="BA315" s="12">
        <f>G315+L315+Q315+V315+AA315+AF315+AK315+AP315+AU315+AZ315</f>
        <v/>
      </c>
      <c r="BB315" s="12">
        <f>SUM('组合输入'!$J$2:$J$11)-BA315</f>
        <v/>
      </c>
    </row>
    <row r="316">
      <c r="A316" s="11" t="n">
        <v>315</v>
      </c>
      <c r="B316" s="14">
        <f>NORM.S.INV(RAND())</f>
        <v/>
      </c>
      <c r="C316" s="14">
        <f>NORM.S.INV(RAND())</f>
        <v/>
      </c>
      <c r="D316" s="15">
        <f>IF('组合输入'!$C2="","",'组合输入'!$H2*$B316+SQRT(1-'组合输入'!$H2^2)*C316)</f>
        <v/>
      </c>
      <c r="E316" s="7">
        <f>IF(D316="","",NORM.S.DIST(D316,TRUE))</f>
        <v/>
      </c>
      <c r="F316" s="13">
        <f>IF(E316="","",IF(E316&lt;='组合输入'!$K2,"AAA",IF(E316&lt;='组合输入'!$L2,"AA",IF(E316&lt;='组合输入'!$M2,"A",IF(E316&lt;='组合输入'!$N2,"BBB",IF(E316&lt;='组合输入'!$O2,"BB",IF(E316&lt;='组合输入'!$P2,"B",IF(E316&lt;='组合输入'!$Q2,"CCC","D")))))))</f>
        <v/>
      </c>
      <c r="G316" s="12">
        <f>IF(F316="","",INDEX('状态价值'!$D2:$K2,MATCH(F316,'状态价值'!$D$1:$K$1,0)))</f>
        <v/>
      </c>
      <c r="H316" s="15">
        <f>NORM.S.INV(RAND())</f>
        <v/>
      </c>
      <c r="I316" s="15">
        <f>IF('组合输入'!$C3="","",'组合输入'!$H3*$B316+SQRT(1-'组合输入'!$H3^2)*H316)</f>
        <v/>
      </c>
      <c r="J316" s="7">
        <f>IF(I316="","",NORM.S.DIST(I316,TRUE))</f>
        <v/>
      </c>
      <c r="K316" s="13">
        <f>IF(J316="","",IF(J316&lt;='组合输入'!$K3,"AAA",IF(J316&lt;='组合输入'!$L3,"AA",IF(J316&lt;='组合输入'!$M3,"A",IF(J316&lt;='组合输入'!$N3,"BBB",IF(J316&lt;='组合输入'!$O3,"BB",IF(J316&lt;='组合输入'!$P3,"B",IF(J316&lt;='组合输入'!$Q3,"CCC","D")))))))</f>
        <v/>
      </c>
      <c r="L316" s="12">
        <f>IF(K316="","",INDEX('状态价值'!$D3:$K3,MATCH(K316,'状态价值'!$D$1:$K$1,0)))</f>
        <v/>
      </c>
      <c r="M316" s="15">
        <f>NORM.S.INV(RAND())</f>
        <v/>
      </c>
      <c r="N316" s="15">
        <f>IF('组合输入'!$C4="","",'组合输入'!$H4*$B316+SQRT(1-'组合输入'!$H4^2)*M316)</f>
        <v/>
      </c>
      <c r="O316" s="7">
        <f>IF(N316="","",NORM.S.DIST(N316,TRUE))</f>
        <v/>
      </c>
      <c r="P316" s="13">
        <f>IF(O316="","",IF(O316&lt;='组合输入'!$K4,"AAA",IF(O316&lt;='组合输入'!$L4,"AA",IF(O316&lt;='组合输入'!$M4,"A",IF(O316&lt;='组合输入'!$N4,"BBB",IF(O316&lt;='组合输入'!$O4,"BB",IF(O316&lt;='组合输入'!$P4,"B",IF(O316&lt;='组合输入'!$Q4,"CCC","D")))))))</f>
        <v/>
      </c>
      <c r="Q316" s="12">
        <f>IF(P316="","",INDEX('状态价值'!$D4:$K4,MATCH(P316,'状态价值'!$D$1:$K$1,0)))</f>
        <v/>
      </c>
      <c r="R316" s="15">
        <f>NORM.S.INV(RAND())</f>
        <v/>
      </c>
      <c r="S316" s="15">
        <f>IF('组合输入'!$C5="","",'组合输入'!$H5*$B316+SQRT(1-'组合输入'!$H5^2)*R316)</f>
        <v/>
      </c>
      <c r="T316" s="7">
        <f>IF(S316="","",NORM.S.DIST(S316,TRUE))</f>
        <v/>
      </c>
      <c r="U316" s="13">
        <f>IF(T316="","",IF(T316&lt;='组合输入'!$K5,"AAA",IF(T316&lt;='组合输入'!$L5,"AA",IF(T316&lt;='组合输入'!$M5,"A",IF(T316&lt;='组合输入'!$N5,"BBB",IF(T316&lt;='组合输入'!$O5,"BB",IF(T316&lt;='组合输入'!$P5,"B",IF(T316&lt;='组合输入'!$Q5,"CCC","D")))))))</f>
        <v/>
      </c>
      <c r="V316" s="12">
        <f>IF(U316="","",INDEX('状态价值'!$D5:$K5,MATCH(U316,'状态价值'!$D$1:$K$1,0)))</f>
        <v/>
      </c>
      <c r="W316" s="15">
        <f>NORM.S.INV(RAND())</f>
        <v/>
      </c>
      <c r="X316" s="15">
        <f>IF('组合输入'!$C6="","",'组合输入'!$H6*$B316+SQRT(1-'组合输入'!$H6^2)*W316)</f>
        <v/>
      </c>
      <c r="Y316" s="7">
        <f>IF(X316="","",NORM.S.DIST(X316,TRUE))</f>
        <v/>
      </c>
      <c r="Z316" s="13">
        <f>IF(Y316="","",IF(Y316&lt;='组合输入'!$K6,"AAA",IF(Y316&lt;='组合输入'!$L6,"AA",IF(Y316&lt;='组合输入'!$M6,"A",IF(Y316&lt;='组合输入'!$N6,"BBB",IF(Y316&lt;='组合输入'!$O6,"BB",IF(Y316&lt;='组合输入'!$P6,"B",IF(Y316&lt;='组合输入'!$Q6,"CCC","D")))))))</f>
        <v/>
      </c>
      <c r="AA316" s="12">
        <f>IF(Z316="","",INDEX('状态价值'!$D6:$K6,MATCH(Z316,'状态价值'!$D$1:$K$1,0)))</f>
        <v/>
      </c>
      <c r="AB316" s="15">
        <f>NORM.S.INV(RAND())</f>
        <v/>
      </c>
      <c r="AC316" s="15">
        <f>IF('组合输入'!$C7="","",'组合输入'!$H7*$B316+SQRT(1-'组合输入'!$H7^2)*AB316)</f>
        <v/>
      </c>
      <c r="AD316" s="7">
        <f>IF(AC316="","",NORM.S.DIST(AC316,TRUE))</f>
        <v/>
      </c>
      <c r="AE316" s="13">
        <f>IF(AD316="","",IF(AD316&lt;='组合输入'!$K7,"AAA",IF(AD316&lt;='组合输入'!$L7,"AA",IF(AD316&lt;='组合输入'!$M7,"A",IF(AD316&lt;='组合输入'!$N7,"BBB",IF(AD316&lt;='组合输入'!$O7,"BB",IF(AD316&lt;='组合输入'!$P7,"B",IF(AD316&lt;='组合输入'!$Q7,"CCC","D")))))))</f>
        <v/>
      </c>
      <c r="AF316" s="12">
        <f>IF(AE316="","",INDEX('状态价值'!$D7:$K7,MATCH(AE316,'状态价值'!$D$1:$K$1,0)))</f>
        <v/>
      </c>
      <c r="AG316" s="15">
        <f>NORM.S.INV(RAND())</f>
        <v/>
      </c>
      <c r="AH316" s="15">
        <f>IF('组合输入'!$C8="","",'组合输入'!$H8*$B316+SQRT(1-'组合输入'!$H8^2)*AG316)</f>
        <v/>
      </c>
      <c r="AI316" s="7">
        <f>IF(AH316="","",NORM.S.DIST(AH316,TRUE))</f>
        <v/>
      </c>
      <c r="AJ316" s="13">
        <f>IF(AI316="","",IF(AI316&lt;='组合输入'!$K8,"AAA",IF(AI316&lt;='组合输入'!$L8,"AA",IF(AI316&lt;='组合输入'!$M8,"A",IF(AI316&lt;='组合输入'!$N8,"BBB",IF(AI316&lt;='组合输入'!$O8,"BB",IF(AI316&lt;='组合输入'!$P8,"B",IF(AI316&lt;='组合输入'!$Q8,"CCC","D")))))))</f>
        <v/>
      </c>
      <c r="AK316" s="12">
        <f>IF(AJ316="","",INDEX('状态价值'!$D8:$K8,MATCH(AJ316,'状态价值'!$D$1:$K$1,0)))</f>
        <v/>
      </c>
      <c r="AL316" s="15">
        <f>NORM.S.INV(RAND())</f>
        <v/>
      </c>
      <c r="AM316" s="15">
        <f>IF('组合输入'!$C9="","",'组合输入'!$H9*$B316+SQRT(1-'组合输入'!$H9^2)*AL316)</f>
        <v/>
      </c>
      <c r="AN316" s="7">
        <f>IF(AM316="","",NORM.S.DIST(AM316,TRUE))</f>
        <v/>
      </c>
      <c r="AO316" s="13">
        <f>IF(AN316="","",IF(AN316&lt;='组合输入'!$K9,"AAA",IF(AN316&lt;='组合输入'!$L9,"AA",IF(AN316&lt;='组合输入'!$M9,"A",IF(AN316&lt;='组合输入'!$N9,"BBB",IF(AN316&lt;='组合输入'!$O9,"BB",IF(AN316&lt;='组合输入'!$P9,"B",IF(AN316&lt;='组合输入'!$Q9,"CCC","D")))))))</f>
        <v/>
      </c>
      <c r="AP316" s="12">
        <f>IF(AO316="","",INDEX('状态价值'!$D9:$K9,MATCH(AO316,'状态价值'!$D$1:$K$1,0)))</f>
        <v/>
      </c>
      <c r="AQ316" s="15">
        <f>NORM.S.INV(RAND())</f>
        <v/>
      </c>
      <c r="AR316" s="15">
        <f>IF('组合输入'!$C10="","",'组合输入'!$H10*$B316+SQRT(1-'组合输入'!$H10^2)*AQ316)</f>
        <v/>
      </c>
      <c r="AS316" s="7">
        <f>IF(AR316="","",NORM.S.DIST(AR316,TRUE))</f>
        <v/>
      </c>
      <c r="AT316" s="13">
        <f>IF(AS316="","",IF(AS316&lt;='组合输入'!$K10,"AAA",IF(AS316&lt;='组合输入'!$L10,"AA",IF(AS316&lt;='组合输入'!$M10,"A",IF(AS316&lt;='组合输入'!$N10,"BBB",IF(AS316&lt;='组合输入'!$O10,"BB",IF(AS316&lt;='组合输入'!$P10,"B",IF(AS316&lt;='组合输入'!$Q10,"CCC","D")))))))</f>
        <v/>
      </c>
      <c r="AU316" s="12">
        <f>IF(AT316="","",INDEX('状态价值'!$D10:$K10,MATCH(AT316,'状态价值'!$D$1:$K$1,0)))</f>
        <v/>
      </c>
      <c r="AV316" s="15">
        <f>NORM.S.INV(RAND())</f>
        <v/>
      </c>
      <c r="AW316" s="15">
        <f>IF('组合输入'!$C11="","",'组合输入'!$H11*$B316+SQRT(1-'组合输入'!$H11^2)*AV316)</f>
        <v/>
      </c>
      <c r="AX316" s="7">
        <f>IF(AW316="","",NORM.S.DIST(AW316,TRUE))</f>
        <v/>
      </c>
      <c r="AY316" s="13">
        <f>IF(AX316="","",IF(AX316&lt;='组合输入'!$K11,"AAA",IF(AX316&lt;='组合输入'!$L11,"AA",IF(AX316&lt;='组合输入'!$M11,"A",IF(AX316&lt;='组合输入'!$N11,"BBB",IF(AX316&lt;='组合输入'!$O11,"BB",IF(AX316&lt;='组合输入'!$P11,"B",IF(AX316&lt;='组合输入'!$Q11,"CCC","D")))))))</f>
        <v/>
      </c>
      <c r="AZ316" s="12">
        <f>IF(AY316="","",INDEX('状态价值'!$D11:$K11,MATCH(AY316,'状态价值'!$D$1:$K$1,0)))</f>
        <v/>
      </c>
      <c r="BA316" s="12">
        <f>G316+L316+Q316+V316+AA316+AF316+AK316+AP316+AU316+AZ316</f>
        <v/>
      </c>
      <c r="BB316" s="12">
        <f>SUM('组合输入'!$J$2:$J$11)-BA316</f>
        <v/>
      </c>
    </row>
    <row r="317">
      <c r="A317" s="11" t="n">
        <v>316</v>
      </c>
      <c r="B317" s="14">
        <f>NORM.S.INV(RAND())</f>
        <v/>
      </c>
      <c r="C317" s="14">
        <f>NORM.S.INV(RAND())</f>
        <v/>
      </c>
      <c r="D317" s="15">
        <f>IF('组合输入'!$C2="","",'组合输入'!$H2*$B317+SQRT(1-'组合输入'!$H2^2)*C317)</f>
        <v/>
      </c>
      <c r="E317" s="7">
        <f>IF(D317="","",NORM.S.DIST(D317,TRUE))</f>
        <v/>
      </c>
      <c r="F317" s="13">
        <f>IF(E317="","",IF(E317&lt;='组合输入'!$K2,"AAA",IF(E317&lt;='组合输入'!$L2,"AA",IF(E317&lt;='组合输入'!$M2,"A",IF(E317&lt;='组合输入'!$N2,"BBB",IF(E317&lt;='组合输入'!$O2,"BB",IF(E317&lt;='组合输入'!$P2,"B",IF(E317&lt;='组合输入'!$Q2,"CCC","D")))))))</f>
        <v/>
      </c>
      <c r="G317" s="12">
        <f>IF(F317="","",INDEX('状态价值'!$D2:$K2,MATCH(F317,'状态价值'!$D$1:$K$1,0)))</f>
        <v/>
      </c>
      <c r="H317" s="15">
        <f>NORM.S.INV(RAND())</f>
        <v/>
      </c>
      <c r="I317" s="15">
        <f>IF('组合输入'!$C3="","",'组合输入'!$H3*$B317+SQRT(1-'组合输入'!$H3^2)*H317)</f>
        <v/>
      </c>
      <c r="J317" s="7">
        <f>IF(I317="","",NORM.S.DIST(I317,TRUE))</f>
        <v/>
      </c>
      <c r="K317" s="13">
        <f>IF(J317="","",IF(J317&lt;='组合输入'!$K3,"AAA",IF(J317&lt;='组合输入'!$L3,"AA",IF(J317&lt;='组合输入'!$M3,"A",IF(J317&lt;='组合输入'!$N3,"BBB",IF(J317&lt;='组合输入'!$O3,"BB",IF(J317&lt;='组合输入'!$P3,"B",IF(J317&lt;='组合输入'!$Q3,"CCC","D")))))))</f>
        <v/>
      </c>
      <c r="L317" s="12">
        <f>IF(K317="","",INDEX('状态价值'!$D3:$K3,MATCH(K317,'状态价值'!$D$1:$K$1,0)))</f>
        <v/>
      </c>
      <c r="M317" s="15">
        <f>NORM.S.INV(RAND())</f>
        <v/>
      </c>
      <c r="N317" s="15">
        <f>IF('组合输入'!$C4="","",'组合输入'!$H4*$B317+SQRT(1-'组合输入'!$H4^2)*M317)</f>
        <v/>
      </c>
      <c r="O317" s="7">
        <f>IF(N317="","",NORM.S.DIST(N317,TRUE))</f>
        <v/>
      </c>
      <c r="P317" s="13">
        <f>IF(O317="","",IF(O317&lt;='组合输入'!$K4,"AAA",IF(O317&lt;='组合输入'!$L4,"AA",IF(O317&lt;='组合输入'!$M4,"A",IF(O317&lt;='组合输入'!$N4,"BBB",IF(O317&lt;='组合输入'!$O4,"BB",IF(O317&lt;='组合输入'!$P4,"B",IF(O317&lt;='组合输入'!$Q4,"CCC","D")))))))</f>
        <v/>
      </c>
      <c r="Q317" s="12">
        <f>IF(P317="","",INDEX('状态价值'!$D4:$K4,MATCH(P317,'状态价值'!$D$1:$K$1,0)))</f>
        <v/>
      </c>
      <c r="R317" s="15">
        <f>NORM.S.INV(RAND())</f>
        <v/>
      </c>
      <c r="S317" s="15">
        <f>IF('组合输入'!$C5="","",'组合输入'!$H5*$B317+SQRT(1-'组合输入'!$H5^2)*R317)</f>
        <v/>
      </c>
      <c r="T317" s="7">
        <f>IF(S317="","",NORM.S.DIST(S317,TRUE))</f>
        <v/>
      </c>
      <c r="U317" s="13">
        <f>IF(T317="","",IF(T317&lt;='组合输入'!$K5,"AAA",IF(T317&lt;='组合输入'!$L5,"AA",IF(T317&lt;='组合输入'!$M5,"A",IF(T317&lt;='组合输入'!$N5,"BBB",IF(T317&lt;='组合输入'!$O5,"BB",IF(T317&lt;='组合输入'!$P5,"B",IF(T317&lt;='组合输入'!$Q5,"CCC","D")))))))</f>
        <v/>
      </c>
      <c r="V317" s="12">
        <f>IF(U317="","",INDEX('状态价值'!$D5:$K5,MATCH(U317,'状态价值'!$D$1:$K$1,0)))</f>
        <v/>
      </c>
      <c r="W317" s="15">
        <f>NORM.S.INV(RAND())</f>
        <v/>
      </c>
      <c r="X317" s="15">
        <f>IF('组合输入'!$C6="","",'组合输入'!$H6*$B317+SQRT(1-'组合输入'!$H6^2)*W317)</f>
        <v/>
      </c>
      <c r="Y317" s="7">
        <f>IF(X317="","",NORM.S.DIST(X317,TRUE))</f>
        <v/>
      </c>
      <c r="Z317" s="13">
        <f>IF(Y317="","",IF(Y317&lt;='组合输入'!$K6,"AAA",IF(Y317&lt;='组合输入'!$L6,"AA",IF(Y317&lt;='组合输入'!$M6,"A",IF(Y317&lt;='组合输入'!$N6,"BBB",IF(Y317&lt;='组合输入'!$O6,"BB",IF(Y317&lt;='组合输入'!$P6,"B",IF(Y317&lt;='组合输入'!$Q6,"CCC","D")))))))</f>
        <v/>
      </c>
      <c r="AA317" s="12">
        <f>IF(Z317="","",INDEX('状态价值'!$D6:$K6,MATCH(Z317,'状态价值'!$D$1:$K$1,0)))</f>
        <v/>
      </c>
      <c r="AB317" s="15">
        <f>NORM.S.INV(RAND())</f>
        <v/>
      </c>
      <c r="AC317" s="15">
        <f>IF('组合输入'!$C7="","",'组合输入'!$H7*$B317+SQRT(1-'组合输入'!$H7^2)*AB317)</f>
        <v/>
      </c>
      <c r="AD317" s="7">
        <f>IF(AC317="","",NORM.S.DIST(AC317,TRUE))</f>
        <v/>
      </c>
      <c r="AE317" s="13">
        <f>IF(AD317="","",IF(AD317&lt;='组合输入'!$K7,"AAA",IF(AD317&lt;='组合输入'!$L7,"AA",IF(AD317&lt;='组合输入'!$M7,"A",IF(AD317&lt;='组合输入'!$N7,"BBB",IF(AD317&lt;='组合输入'!$O7,"BB",IF(AD317&lt;='组合输入'!$P7,"B",IF(AD317&lt;='组合输入'!$Q7,"CCC","D")))))))</f>
        <v/>
      </c>
      <c r="AF317" s="12">
        <f>IF(AE317="","",INDEX('状态价值'!$D7:$K7,MATCH(AE317,'状态价值'!$D$1:$K$1,0)))</f>
        <v/>
      </c>
      <c r="AG317" s="15">
        <f>NORM.S.INV(RAND())</f>
        <v/>
      </c>
      <c r="AH317" s="15">
        <f>IF('组合输入'!$C8="","",'组合输入'!$H8*$B317+SQRT(1-'组合输入'!$H8^2)*AG317)</f>
        <v/>
      </c>
      <c r="AI317" s="7">
        <f>IF(AH317="","",NORM.S.DIST(AH317,TRUE))</f>
        <v/>
      </c>
      <c r="AJ317" s="13">
        <f>IF(AI317="","",IF(AI317&lt;='组合输入'!$K8,"AAA",IF(AI317&lt;='组合输入'!$L8,"AA",IF(AI317&lt;='组合输入'!$M8,"A",IF(AI317&lt;='组合输入'!$N8,"BBB",IF(AI317&lt;='组合输入'!$O8,"BB",IF(AI317&lt;='组合输入'!$P8,"B",IF(AI317&lt;='组合输入'!$Q8,"CCC","D")))))))</f>
        <v/>
      </c>
      <c r="AK317" s="12">
        <f>IF(AJ317="","",INDEX('状态价值'!$D8:$K8,MATCH(AJ317,'状态价值'!$D$1:$K$1,0)))</f>
        <v/>
      </c>
      <c r="AL317" s="15">
        <f>NORM.S.INV(RAND())</f>
        <v/>
      </c>
      <c r="AM317" s="15">
        <f>IF('组合输入'!$C9="","",'组合输入'!$H9*$B317+SQRT(1-'组合输入'!$H9^2)*AL317)</f>
        <v/>
      </c>
      <c r="AN317" s="7">
        <f>IF(AM317="","",NORM.S.DIST(AM317,TRUE))</f>
        <v/>
      </c>
      <c r="AO317" s="13">
        <f>IF(AN317="","",IF(AN317&lt;='组合输入'!$K9,"AAA",IF(AN317&lt;='组合输入'!$L9,"AA",IF(AN317&lt;='组合输入'!$M9,"A",IF(AN317&lt;='组合输入'!$N9,"BBB",IF(AN317&lt;='组合输入'!$O9,"BB",IF(AN317&lt;='组合输入'!$P9,"B",IF(AN317&lt;='组合输入'!$Q9,"CCC","D")))))))</f>
        <v/>
      </c>
      <c r="AP317" s="12">
        <f>IF(AO317="","",INDEX('状态价值'!$D9:$K9,MATCH(AO317,'状态价值'!$D$1:$K$1,0)))</f>
        <v/>
      </c>
      <c r="AQ317" s="15">
        <f>NORM.S.INV(RAND())</f>
        <v/>
      </c>
      <c r="AR317" s="15">
        <f>IF('组合输入'!$C10="","",'组合输入'!$H10*$B317+SQRT(1-'组合输入'!$H10^2)*AQ317)</f>
        <v/>
      </c>
      <c r="AS317" s="7">
        <f>IF(AR317="","",NORM.S.DIST(AR317,TRUE))</f>
        <v/>
      </c>
      <c r="AT317" s="13">
        <f>IF(AS317="","",IF(AS317&lt;='组合输入'!$K10,"AAA",IF(AS317&lt;='组合输入'!$L10,"AA",IF(AS317&lt;='组合输入'!$M10,"A",IF(AS317&lt;='组合输入'!$N10,"BBB",IF(AS317&lt;='组合输入'!$O10,"BB",IF(AS317&lt;='组合输入'!$P10,"B",IF(AS317&lt;='组合输入'!$Q10,"CCC","D")))))))</f>
        <v/>
      </c>
      <c r="AU317" s="12">
        <f>IF(AT317="","",INDEX('状态价值'!$D10:$K10,MATCH(AT317,'状态价值'!$D$1:$K$1,0)))</f>
        <v/>
      </c>
      <c r="AV317" s="15">
        <f>NORM.S.INV(RAND())</f>
        <v/>
      </c>
      <c r="AW317" s="15">
        <f>IF('组合输入'!$C11="","",'组合输入'!$H11*$B317+SQRT(1-'组合输入'!$H11^2)*AV317)</f>
        <v/>
      </c>
      <c r="AX317" s="7">
        <f>IF(AW317="","",NORM.S.DIST(AW317,TRUE))</f>
        <v/>
      </c>
      <c r="AY317" s="13">
        <f>IF(AX317="","",IF(AX317&lt;='组合输入'!$K11,"AAA",IF(AX317&lt;='组合输入'!$L11,"AA",IF(AX317&lt;='组合输入'!$M11,"A",IF(AX317&lt;='组合输入'!$N11,"BBB",IF(AX317&lt;='组合输入'!$O11,"BB",IF(AX317&lt;='组合输入'!$P11,"B",IF(AX317&lt;='组合输入'!$Q11,"CCC","D")))))))</f>
        <v/>
      </c>
      <c r="AZ317" s="12">
        <f>IF(AY317="","",INDEX('状态价值'!$D11:$K11,MATCH(AY317,'状态价值'!$D$1:$K$1,0)))</f>
        <v/>
      </c>
      <c r="BA317" s="12">
        <f>G317+L317+Q317+V317+AA317+AF317+AK317+AP317+AU317+AZ317</f>
        <v/>
      </c>
      <c r="BB317" s="12">
        <f>SUM('组合输入'!$J$2:$J$11)-BA317</f>
        <v/>
      </c>
    </row>
    <row r="318">
      <c r="A318" s="11" t="n">
        <v>317</v>
      </c>
      <c r="B318" s="14">
        <f>NORM.S.INV(RAND())</f>
        <v/>
      </c>
      <c r="C318" s="14">
        <f>NORM.S.INV(RAND())</f>
        <v/>
      </c>
      <c r="D318" s="15">
        <f>IF('组合输入'!$C2="","",'组合输入'!$H2*$B318+SQRT(1-'组合输入'!$H2^2)*C318)</f>
        <v/>
      </c>
      <c r="E318" s="7">
        <f>IF(D318="","",NORM.S.DIST(D318,TRUE))</f>
        <v/>
      </c>
      <c r="F318" s="13">
        <f>IF(E318="","",IF(E318&lt;='组合输入'!$K2,"AAA",IF(E318&lt;='组合输入'!$L2,"AA",IF(E318&lt;='组合输入'!$M2,"A",IF(E318&lt;='组合输入'!$N2,"BBB",IF(E318&lt;='组合输入'!$O2,"BB",IF(E318&lt;='组合输入'!$P2,"B",IF(E318&lt;='组合输入'!$Q2,"CCC","D")))))))</f>
        <v/>
      </c>
      <c r="G318" s="12">
        <f>IF(F318="","",INDEX('状态价值'!$D2:$K2,MATCH(F318,'状态价值'!$D$1:$K$1,0)))</f>
        <v/>
      </c>
      <c r="H318" s="15">
        <f>NORM.S.INV(RAND())</f>
        <v/>
      </c>
      <c r="I318" s="15">
        <f>IF('组合输入'!$C3="","",'组合输入'!$H3*$B318+SQRT(1-'组合输入'!$H3^2)*H318)</f>
        <v/>
      </c>
      <c r="J318" s="7">
        <f>IF(I318="","",NORM.S.DIST(I318,TRUE))</f>
        <v/>
      </c>
      <c r="K318" s="13">
        <f>IF(J318="","",IF(J318&lt;='组合输入'!$K3,"AAA",IF(J318&lt;='组合输入'!$L3,"AA",IF(J318&lt;='组合输入'!$M3,"A",IF(J318&lt;='组合输入'!$N3,"BBB",IF(J318&lt;='组合输入'!$O3,"BB",IF(J318&lt;='组合输入'!$P3,"B",IF(J318&lt;='组合输入'!$Q3,"CCC","D")))))))</f>
        <v/>
      </c>
      <c r="L318" s="12">
        <f>IF(K318="","",INDEX('状态价值'!$D3:$K3,MATCH(K318,'状态价值'!$D$1:$K$1,0)))</f>
        <v/>
      </c>
      <c r="M318" s="15">
        <f>NORM.S.INV(RAND())</f>
        <v/>
      </c>
      <c r="N318" s="15">
        <f>IF('组合输入'!$C4="","",'组合输入'!$H4*$B318+SQRT(1-'组合输入'!$H4^2)*M318)</f>
        <v/>
      </c>
      <c r="O318" s="7">
        <f>IF(N318="","",NORM.S.DIST(N318,TRUE))</f>
        <v/>
      </c>
      <c r="P318" s="13">
        <f>IF(O318="","",IF(O318&lt;='组合输入'!$K4,"AAA",IF(O318&lt;='组合输入'!$L4,"AA",IF(O318&lt;='组合输入'!$M4,"A",IF(O318&lt;='组合输入'!$N4,"BBB",IF(O318&lt;='组合输入'!$O4,"BB",IF(O318&lt;='组合输入'!$P4,"B",IF(O318&lt;='组合输入'!$Q4,"CCC","D")))))))</f>
        <v/>
      </c>
      <c r="Q318" s="12">
        <f>IF(P318="","",INDEX('状态价值'!$D4:$K4,MATCH(P318,'状态价值'!$D$1:$K$1,0)))</f>
        <v/>
      </c>
      <c r="R318" s="15">
        <f>NORM.S.INV(RAND())</f>
        <v/>
      </c>
      <c r="S318" s="15">
        <f>IF('组合输入'!$C5="","",'组合输入'!$H5*$B318+SQRT(1-'组合输入'!$H5^2)*R318)</f>
        <v/>
      </c>
      <c r="T318" s="7">
        <f>IF(S318="","",NORM.S.DIST(S318,TRUE))</f>
        <v/>
      </c>
      <c r="U318" s="13">
        <f>IF(T318="","",IF(T318&lt;='组合输入'!$K5,"AAA",IF(T318&lt;='组合输入'!$L5,"AA",IF(T318&lt;='组合输入'!$M5,"A",IF(T318&lt;='组合输入'!$N5,"BBB",IF(T318&lt;='组合输入'!$O5,"BB",IF(T318&lt;='组合输入'!$P5,"B",IF(T318&lt;='组合输入'!$Q5,"CCC","D")))))))</f>
        <v/>
      </c>
      <c r="V318" s="12">
        <f>IF(U318="","",INDEX('状态价值'!$D5:$K5,MATCH(U318,'状态价值'!$D$1:$K$1,0)))</f>
        <v/>
      </c>
      <c r="W318" s="15">
        <f>NORM.S.INV(RAND())</f>
        <v/>
      </c>
      <c r="X318" s="15">
        <f>IF('组合输入'!$C6="","",'组合输入'!$H6*$B318+SQRT(1-'组合输入'!$H6^2)*W318)</f>
        <v/>
      </c>
      <c r="Y318" s="7">
        <f>IF(X318="","",NORM.S.DIST(X318,TRUE))</f>
        <v/>
      </c>
      <c r="Z318" s="13">
        <f>IF(Y318="","",IF(Y318&lt;='组合输入'!$K6,"AAA",IF(Y318&lt;='组合输入'!$L6,"AA",IF(Y318&lt;='组合输入'!$M6,"A",IF(Y318&lt;='组合输入'!$N6,"BBB",IF(Y318&lt;='组合输入'!$O6,"BB",IF(Y318&lt;='组合输入'!$P6,"B",IF(Y318&lt;='组合输入'!$Q6,"CCC","D")))))))</f>
        <v/>
      </c>
      <c r="AA318" s="12">
        <f>IF(Z318="","",INDEX('状态价值'!$D6:$K6,MATCH(Z318,'状态价值'!$D$1:$K$1,0)))</f>
        <v/>
      </c>
      <c r="AB318" s="15">
        <f>NORM.S.INV(RAND())</f>
        <v/>
      </c>
      <c r="AC318" s="15">
        <f>IF('组合输入'!$C7="","",'组合输入'!$H7*$B318+SQRT(1-'组合输入'!$H7^2)*AB318)</f>
        <v/>
      </c>
      <c r="AD318" s="7">
        <f>IF(AC318="","",NORM.S.DIST(AC318,TRUE))</f>
        <v/>
      </c>
      <c r="AE318" s="13">
        <f>IF(AD318="","",IF(AD318&lt;='组合输入'!$K7,"AAA",IF(AD318&lt;='组合输入'!$L7,"AA",IF(AD318&lt;='组合输入'!$M7,"A",IF(AD318&lt;='组合输入'!$N7,"BBB",IF(AD318&lt;='组合输入'!$O7,"BB",IF(AD318&lt;='组合输入'!$P7,"B",IF(AD318&lt;='组合输入'!$Q7,"CCC","D")))))))</f>
        <v/>
      </c>
      <c r="AF318" s="12">
        <f>IF(AE318="","",INDEX('状态价值'!$D7:$K7,MATCH(AE318,'状态价值'!$D$1:$K$1,0)))</f>
        <v/>
      </c>
      <c r="AG318" s="15">
        <f>NORM.S.INV(RAND())</f>
        <v/>
      </c>
      <c r="AH318" s="15">
        <f>IF('组合输入'!$C8="","",'组合输入'!$H8*$B318+SQRT(1-'组合输入'!$H8^2)*AG318)</f>
        <v/>
      </c>
      <c r="AI318" s="7">
        <f>IF(AH318="","",NORM.S.DIST(AH318,TRUE))</f>
        <v/>
      </c>
      <c r="AJ318" s="13">
        <f>IF(AI318="","",IF(AI318&lt;='组合输入'!$K8,"AAA",IF(AI318&lt;='组合输入'!$L8,"AA",IF(AI318&lt;='组合输入'!$M8,"A",IF(AI318&lt;='组合输入'!$N8,"BBB",IF(AI318&lt;='组合输入'!$O8,"BB",IF(AI318&lt;='组合输入'!$P8,"B",IF(AI318&lt;='组合输入'!$Q8,"CCC","D")))))))</f>
        <v/>
      </c>
      <c r="AK318" s="12">
        <f>IF(AJ318="","",INDEX('状态价值'!$D8:$K8,MATCH(AJ318,'状态价值'!$D$1:$K$1,0)))</f>
        <v/>
      </c>
      <c r="AL318" s="15">
        <f>NORM.S.INV(RAND())</f>
        <v/>
      </c>
      <c r="AM318" s="15">
        <f>IF('组合输入'!$C9="","",'组合输入'!$H9*$B318+SQRT(1-'组合输入'!$H9^2)*AL318)</f>
        <v/>
      </c>
      <c r="AN318" s="7">
        <f>IF(AM318="","",NORM.S.DIST(AM318,TRUE))</f>
        <v/>
      </c>
      <c r="AO318" s="13">
        <f>IF(AN318="","",IF(AN318&lt;='组合输入'!$K9,"AAA",IF(AN318&lt;='组合输入'!$L9,"AA",IF(AN318&lt;='组合输入'!$M9,"A",IF(AN318&lt;='组合输入'!$N9,"BBB",IF(AN318&lt;='组合输入'!$O9,"BB",IF(AN318&lt;='组合输入'!$P9,"B",IF(AN318&lt;='组合输入'!$Q9,"CCC","D")))))))</f>
        <v/>
      </c>
      <c r="AP318" s="12">
        <f>IF(AO318="","",INDEX('状态价值'!$D9:$K9,MATCH(AO318,'状态价值'!$D$1:$K$1,0)))</f>
        <v/>
      </c>
      <c r="AQ318" s="15">
        <f>NORM.S.INV(RAND())</f>
        <v/>
      </c>
      <c r="AR318" s="15">
        <f>IF('组合输入'!$C10="","",'组合输入'!$H10*$B318+SQRT(1-'组合输入'!$H10^2)*AQ318)</f>
        <v/>
      </c>
      <c r="AS318" s="7">
        <f>IF(AR318="","",NORM.S.DIST(AR318,TRUE))</f>
        <v/>
      </c>
      <c r="AT318" s="13">
        <f>IF(AS318="","",IF(AS318&lt;='组合输入'!$K10,"AAA",IF(AS318&lt;='组合输入'!$L10,"AA",IF(AS318&lt;='组合输入'!$M10,"A",IF(AS318&lt;='组合输入'!$N10,"BBB",IF(AS318&lt;='组合输入'!$O10,"BB",IF(AS318&lt;='组合输入'!$P10,"B",IF(AS318&lt;='组合输入'!$Q10,"CCC","D")))))))</f>
        <v/>
      </c>
      <c r="AU318" s="12">
        <f>IF(AT318="","",INDEX('状态价值'!$D10:$K10,MATCH(AT318,'状态价值'!$D$1:$K$1,0)))</f>
        <v/>
      </c>
      <c r="AV318" s="15">
        <f>NORM.S.INV(RAND())</f>
        <v/>
      </c>
      <c r="AW318" s="15">
        <f>IF('组合输入'!$C11="","",'组合输入'!$H11*$B318+SQRT(1-'组合输入'!$H11^2)*AV318)</f>
        <v/>
      </c>
      <c r="AX318" s="7">
        <f>IF(AW318="","",NORM.S.DIST(AW318,TRUE))</f>
        <v/>
      </c>
      <c r="AY318" s="13">
        <f>IF(AX318="","",IF(AX318&lt;='组合输入'!$K11,"AAA",IF(AX318&lt;='组合输入'!$L11,"AA",IF(AX318&lt;='组合输入'!$M11,"A",IF(AX318&lt;='组合输入'!$N11,"BBB",IF(AX318&lt;='组合输入'!$O11,"BB",IF(AX318&lt;='组合输入'!$P11,"B",IF(AX318&lt;='组合输入'!$Q11,"CCC","D")))))))</f>
        <v/>
      </c>
      <c r="AZ318" s="12">
        <f>IF(AY318="","",INDEX('状态价值'!$D11:$K11,MATCH(AY318,'状态价值'!$D$1:$K$1,0)))</f>
        <v/>
      </c>
      <c r="BA318" s="12">
        <f>G318+L318+Q318+V318+AA318+AF318+AK318+AP318+AU318+AZ318</f>
        <v/>
      </c>
      <c r="BB318" s="12">
        <f>SUM('组合输入'!$J$2:$J$11)-BA318</f>
        <v/>
      </c>
    </row>
    <row r="319">
      <c r="A319" s="11" t="n">
        <v>318</v>
      </c>
      <c r="B319" s="14">
        <f>NORM.S.INV(RAND())</f>
        <v/>
      </c>
      <c r="C319" s="14">
        <f>NORM.S.INV(RAND())</f>
        <v/>
      </c>
      <c r="D319" s="15">
        <f>IF('组合输入'!$C2="","",'组合输入'!$H2*$B319+SQRT(1-'组合输入'!$H2^2)*C319)</f>
        <v/>
      </c>
      <c r="E319" s="7">
        <f>IF(D319="","",NORM.S.DIST(D319,TRUE))</f>
        <v/>
      </c>
      <c r="F319" s="13">
        <f>IF(E319="","",IF(E319&lt;='组合输入'!$K2,"AAA",IF(E319&lt;='组合输入'!$L2,"AA",IF(E319&lt;='组合输入'!$M2,"A",IF(E319&lt;='组合输入'!$N2,"BBB",IF(E319&lt;='组合输入'!$O2,"BB",IF(E319&lt;='组合输入'!$P2,"B",IF(E319&lt;='组合输入'!$Q2,"CCC","D")))))))</f>
        <v/>
      </c>
      <c r="G319" s="12">
        <f>IF(F319="","",INDEX('状态价值'!$D2:$K2,MATCH(F319,'状态价值'!$D$1:$K$1,0)))</f>
        <v/>
      </c>
      <c r="H319" s="15">
        <f>NORM.S.INV(RAND())</f>
        <v/>
      </c>
      <c r="I319" s="15">
        <f>IF('组合输入'!$C3="","",'组合输入'!$H3*$B319+SQRT(1-'组合输入'!$H3^2)*H319)</f>
        <v/>
      </c>
      <c r="J319" s="7">
        <f>IF(I319="","",NORM.S.DIST(I319,TRUE))</f>
        <v/>
      </c>
      <c r="K319" s="13">
        <f>IF(J319="","",IF(J319&lt;='组合输入'!$K3,"AAA",IF(J319&lt;='组合输入'!$L3,"AA",IF(J319&lt;='组合输入'!$M3,"A",IF(J319&lt;='组合输入'!$N3,"BBB",IF(J319&lt;='组合输入'!$O3,"BB",IF(J319&lt;='组合输入'!$P3,"B",IF(J319&lt;='组合输入'!$Q3,"CCC","D")))))))</f>
        <v/>
      </c>
      <c r="L319" s="12">
        <f>IF(K319="","",INDEX('状态价值'!$D3:$K3,MATCH(K319,'状态价值'!$D$1:$K$1,0)))</f>
        <v/>
      </c>
      <c r="M319" s="15">
        <f>NORM.S.INV(RAND())</f>
        <v/>
      </c>
      <c r="N319" s="15">
        <f>IF('组合输入'!$C4="","",'组合输入'!$H4*$B319+SQRT(1-'组合输入'!$H4^2)*M319)</f>
        <v/>
      </c>
      <c r="O319" s="7">
        <f>IF(N319="","",NORM.S.DIST(N319,TRUE))</f>
        <v/>
      </c>
      <c r="P319" s="13">
        <f>IF(O319="","",IF(O319&lt;='组合输入'!$K4,"AAA",IF(O319&lt;='组合输入'!$L4,"AA",IF(O319&lt;='组合输入'!$M4,"A",IF(O319&lt;='组合输入'!$N4,"BBB",IF(O319&lt;='组合输入'!$O4,"BB",IF(O319&lt;='组合输入'!$P4,"B",IF(O319&lt;='组合输入'!$Q4,"CCC","D")))))))</f>
        <v/>
      </c>
      <c r="Q319" s="12">
        <f>IF(P319="","",INDEX('状态价值'!$D4:$K4,MATCH(P319,'状态价值'!$D$1:$K$1,0)))</f>
        <v/>
      </c>
      <c r="R319" s="15">
        <f>NORM.S.INV(RAND())</f>
        <v/>
      </c>
      <c r="S319" s="15">
        <f>IF('组合输入'!$C5="","",'组合输入'!$H5*$B319+SQRT(1-'组合输入'!$H5^2)*R319)</f>
        <v/>
      </c>
      <c r="T319" s="7">
        <f>IF(S319="","",NORM.S.DIST(S319,TRUE))</f>
        <v/>
      </c>
      <c r="U319" s="13">
        <f>IF(T319="","",IF(T319&lt;='组合输入'!$K5,"AAA",IF(T319&lt;='组合输入'!$L5,"AA",IF(T319&lt;='组合输入'!$M5,"A",IF(T319&lt;='组合输入'!$N5,"BBB",IF(T319&lt;='组合输入'!$O5,"BB",IF(T319&lt;='组合输入'!$P5,"B",IF(T319&lt;='组合输入'!$Q5,"CCC","D")))))))</f>
        <v/>
      </c>
      <c r="V319" s="12">
        <f>IF(U319="","",INDEX('状态价值'!$D5:$K5,MATCH(U319,'状态价值'!$D$1:$K$1,0)))</f>
        <v/>
      </c>
      <c r="W319" s="15">
        <f>NORM.S.INV(RAND())</f>
        <v/>
      </c>
      <c r="X319" s="15">
        <f>IF('组合输入'!$C6="","",'组合输入'!$H6*$B319+SQRT(1-'组合输入'!$H6^2)*W319)</f>
        <v/>
      </c>
      <c r="Y319" s="7">
        <f>IF(X319="","",NORM.S.DIST(X319,TRUE))</f>
        <v/>
      </c>
      <c r="Z319" s="13">
        <f>IF(Y319="","",IF(Y319&lt;='组合输入'!$K6,"AAA",IF(Y319&lt;='组合输入'!$L6,"AA",IF(Y319&lt;='组合输入'!$M6,"A",IF(Y319&lt;='组合输入'!$N6,"BBB",IF(Y319&lt;='组合输入'!$O6,"BB",IF(Y319&lt;='组合输入'!$P6,"B",IF(Y319&lt;='组合输入'!$Q6,"CCC","D")))))))</f>
        <v/>
      </c>
      <c r="AA319" s="12">
        <f>IF(Z319="","",INDEX('状态价值'!$D6:$K6,MATCH(Z319,'状态价值'!$D$1:$K$1,0)))</f>
        <v/>
      </c>
      <c r="AB319" s="15">
        <f>NORM.S.INV(RAND())</f>
        <v/>
      </c>
      <c r="AC319" s="15">
        <f>IF('组合输入'!$C7="","",'组合输入'!$H7*$B319+SQRT(1-'组合输入'!$H7^2)*AB319)</f>
        <v/>
      </c>
      <c r="AD319" s="7">
        <f>IF(AC319="","",NORM.S.DIST(AC319,TRUE))</f>
        <v/>
      </c>
      <c r="AE319" s="13">
        <f>IF(AD319="","",IF(AD319&lt;='组合输入'!$K7,"AAA",IF(AD319&lt;='组合输入'!$L7,"AA",IF(AD319&lt;='组合输入'!$M7,"A",IF(AD319&lt;='组合输入'!$N7,"BBB",IF(AD319&lt;='组合输入'!$O7,"BB",IF(AD319&lt;='组合输入'!$P7,"B",IF(AD319&lt;='组合输入'!$Q7,"CCC","D")))))))</f>
        <v/>
      </c>
      <c r="AF319" s="12">
        <f>IF(AE319="","",INDEX('状态价值'!$D7:$K7,MATCH(AE319,'状态价值'!$D$1:$K$1,0)))</f>
        <v/>
      </c>
      <c r="AG319" s="15">
        <f>NORM.S.INV(RAND())</f>
        <v/>
      </c>
      <c r="AH319" s="15">
        <f>IF('组合输入'!$C8="","",'组合输入'!$H8*$B319+SQRT(1-'组合输入'!$H8^2)*AG319)</f>
        <v/>
      </c>
      <c r="AI319" s="7">
        <f>IF(AH319="","",NORM.S.DIST(AH319,TRUE))</f>
        <v/>
      </c>
      <c r="AJ319" s="13">
        <f>IF(AI319="","",IF(AI319&lt;='组合输入'!$K8,"AAA",IF(AI319&lt;='组合输入'!$L8,"AA",IF(AI319&lt;='组合输入'!$M8,"A",IF(AI319&lt;='组合输入'!$N8,"BBB",IF(AI319&lt;='组合输入'!$O8,"BB",IF(AI319&lt;='组合输入'!$P8,"B",IF(AI319&lt;='组合输入'!$Q8,"CCC","D")))))))</f>
        <v/>
      </c>
      <c r="AK319" s="12">
        <f>IF(AJ319="","",INDEX('状态价值'!$D8:$K8,MATCH(AJ319,'状态价值'!$D$1:$K$1,0)))</f>
        <v/>
      </c>
      <c r="AL319" s="15">
        <f>NORM.S.INV(RAND())</f>
        <v/>
      </c>
      <c r="AM319" s="15">
        <f>IF('组合输入'!$C9="","",'组合输入'!$H9*$B319+SQRT(1-'组合输入'!$H9^2)*AL319)</f>
        <v/>
      </c>
      <c r="AN319" s="7">
        <f>IF(AM319="","",NORM.S.DIST(AM319,TRUE))</f>
        <v/>
      </c>
      <c r="AO319" s="13">
        <f>IF(AN319="","",IF(AN319&lt;='组合输入'!$K9,"AAA",IF(AN319&lt;='组合输入'!$L9,"AA",IF(AN319&lt;='组合输入'!$M9,"A",IF(AN319&lt;='组合输入'!$N9,"BBB",IF(AN319&lt;='组合输入'!$O9,"BB",IF(AN319&lt;='组合输入'!$P9,"B",IF(AN319&lt;='组合输入'!$Q9,"CCC","D")))))))</f>
        <v/>
      </c>
      <c r="AP319" s="12">
        <f>IF(AO319="","",INDEX('状态价值'!$D9:$K9,MATCH(AO319,'状态价值'!$D$1:$K$1,0)))</f>
        <v/>
      </c>
      <c r="AQ319" s="15">
        <f>NORM.S.INV(RAND())</f>
        <v/>
      </c>
      <c r="AR319" s="15">
        <f>IF('组合输入'!$C10="","",'组合输入'!$H10*$B319+SQRT(1-'组合输入'!$H10^2)*AQ319)</f>
        <v/>
      </c>
      <c r="AS319" s="7">
        <f>IF(AR319="","",NORM.S.DIST(AR319,TRUE))</f>
        <v/>
      </c>
      <c r="AT319" s="13">
        <f>IF(AS319="","",IF(AS319&lt;='组合输入'!$K10,"AAA",IF(AS319&lt;='组合输入'!$L10,"AA",IF(AS319&lt;='组合输入'!$M10,"A",IF(AS319&lt;='组合输入'!$N10,"BBB",IF(AS319&lt;='组合输入'!$O10,"BB",IF(AS319&lt;='组合输入'!$P10,"B",IF(AS319&lt;='组合输入'!$Q10,"CCC","D")))))))</f>
        <v/>
      </c>
      <c r="AU319" s="12">
        <f>IF(AT319="","",INDEX('状态价值'!$D10:$K10,MATCH(AT319,'状态价值'!$D$1:$K$1,0)))</f>
        <v/>
      </c>
      <c r="AV319" s="15">
        <f>NORM.S.INV(RAND())</f>
        <v/>
      </c>
      <c r="AW319" s="15">
        <f>IF('组合输入'!$C11="","",'组合输入'!$H11*$B319+SQRT(1-'组合输入'!$H11^2)*AV319)</f>
        <v/>
      </c>
      <c r="AX319" s="7">
        <f>IF(AW319="","",NORM.S.DIST(AW319,TRUE))</f>
        <v/>
      </c>
      <c r="AY319" s="13">
        <f>IF(AX319="","",IF(AX319&lt;='组合输入'!$K11,"AAA",IF(AX319&lt;='组合输入'!$L11,"AA",IF(AX319&lt;='组合输入'!$M11,"A",IF(AX319&lt;='组合输入'!$N11,"BBB",IF(AX319&lt;='组合输入'!$O11,"BB",IF(AX319&lt;='组合输入'!$P11,"B",IF(AX319&lt;='组合输入'!$Q11,"CCC","D")))))))</f>
        <v/>
      </c>
      <c r="AZ319" s="12">
        <f>IF(AY319="","",INDEX('状态价值'!$D11:$K11,MATCH(AY319,'状态价值'!$D$1:$K$1,0)))</f>
        <v/>
      </c>
      <c r="BA319" s="12">
        <f>G319+L319+Q319+V319+AA319+AF319+AK319+AP319+AU319+AZ319</f>
        <v/>
      </c>
      <c r="BB319" s="12">
        <f>SUM('组合输入'!$J$2:$J$11)-BA319</f>
        <v/>
      </c>
    </row>
    <row r="320">
      <c r="A320" s="11" t="n">
        <v>319</v>
      </c>
      <c r="B320" s="14">
        <f>NORM.S.INV(RAND())</f>
        <v/>
      </c>
      <c r="C320" s="14">
        <f>NORM.S.INV(RAND())</f>
        <v/>
      </c>
      <c r="D320" s="15">
        <f>IF('组合输入'!$C2="","",'组合输入'!$H2*$B320+SQRT(1-'组合输入'!$H2^2)*C320)</f>
        <v/>
      </c>
      <c r="E320" s="7">
        <f>IF(D320="","",NORM.S.DIST(D320,TRUE))</f>
        <v/>
      </c>
      <c r="F320" s="13">
        <f>IF(E320="","",IF(E320&lt;='组合输入'!$K2,"AAA",IF(E320&lt;='组合输入'!$L2,"AA",IF(E320&lt;='组合输入'!$M2,"A",IF(E320&lt;='组合输入'!$N2,"BBB",IF(E320&lt;='组合输入'!$O2,"BB",IF(E320&lt;='组合输入'!$P2,"B",IF(E320&lt;='组合输入'!$Q2,"CCC","D")))))))</f>
        <v/>
      </c>
      <c r="G320" s="12">
        <f>IF(F320="","",INDEX('状态价值'!$D2:$K2,MATCH(F320,'状态价值'!$D$1:$K$1,0)))</f>
        <v/>
      </c>
      <c r="H320" s="15">
        <f>NORM.S.INV(RAND())</f>
        <v/>
      </c>
      <c r="I320" s="15">
        <f>IF('组合输入'!$C3="","",'组合输入'!$H3*$B320+SQRT(1-'组合输入'!$H3^2)*H320)</f>
        <v/>
      </c>
      <c r="J320" s="7">
        <f>IF(I320="","",NORM.S.DIST(I320,TRUE))</f>
        <v/>
      </c>
      <c r="K320" s="13">
        <f>IF(J320="","",IF(J320&lt;='组合输入'!$K3,"AAA",IF(J320&lt;='组合输入'!$L3,"AA",IF(J320&lt;='组合输入'!$M3,"A",IF(J320&lt;='组合输入'!$N3,"BBB",IF(J320&lt;='组合输入'!$O3,"BB",IF(J320&lt;='组合输入'!$P3,"B",IF(J320&lt;='组合输入'!$Q3,"CCC","D")))))))</f>
        <v/>
      </c>
      <c r="L320" s="12">
        <f>IF(K320="","",INDEX('状态价值'!$D3:$K3,MATCH(K320,'状态价值'!$D$1:$K$1,0)))</f>
        <v/>
      </c>
      <c r="M320" s="15">
        <f>NORM.S.INV(RAND())</f>
        <v/>
      </c>
      <c r="N320" s="15">
        <f>IF('组合输入'!$C4="","",'组合输入'!$H4*$B320+SQRT(1-'组合输入'!$H4^2)*M320)</f>
        <v/>
      </c>
      <c r="O320" s="7">
        <f>IF(N320="","",NORM.S.DIST(N320,TRUE))</f>
        <v/>
      </c>
      <c r="P320" s="13">
        <f>IF(O320="","",IF(O320&lt;='组合输入'!$K4,"AAA",IF(O320&lt;='组合输入'!$L4,"AA",IF(O320&lt;='组合输入'!$M4,"A",IF(O320&lt;='组合输入'!$N4,"BBB",IF(O320&lt;='组合输入'!$O4,"BB",IF(O320&lt;='组合输入'!$P4,"B",IF(O320&lt;='组合输入'!$Q4,"CCC","D")))))))</f>
        <v/>
      </c>
      <c r="Q320" s="12">
        <f>IF(P320="","",INDEX('状态价值'!$D4:$K4,MATCH(P320,'状态价值'!$D$1:$K$1,0)))</f>
        <v/>
      </c>
      <c r="R320" s="15">
        <f>NORM.S.INV(RAND())</f>
        <v/>
      </c>
      <c r="S320" s="15">
        <f>IF('组合输入'!$C5="","",'组合输入'!$H5*$B320+SQRT(1-'组合输入'!$H5^2)*R320)</f>
        <v/>
      </c>
      <c r="T320" s="7">
        <f>IF(S320="","",NORM.S.DIST(S320,TRUE))</f>
        <v/>
      </c>
      <c r="U320" s="13">
        <f>IF(T320="","",IF(T320&lt;='组合输入'!$K5,"AAA",IF(T320&lt;='组合输入'!$L5,"AA",IF(T320&lt;='组合输入'!$M5,"A",IF(T320&lt;='组合输入'!$N5,"BBB",IF(T320&lt;='组合输入'!$O5,"BB",IF(T320&lt;='组合输入'!$P5,"B",IF(T320&lt;='组合输入'!$Q5,"CCC","D")))))))</f>
        <v/>
      </c>
      <c r="V320" s="12">
        <f>IF(U320="","",INDEX('状态价值'!$D5:$K5,MATCH(U320,'状态价值'!$D$1:$K$1,0)))</f>
        <v/>
      </c>
      <c r="W320" s="15">
        <f>NORM.S.INV(RAND())</f>
        <v/>
      </c>
      <c r="X320" s="15">
        <f>IF('组合输入'!$C6="","",'组合输入'!$H6*$B320+SQRT(1-'组合输入'!$H6^2)*W320)</f>
        <v/>
      </c>
      <c r="Y320" s="7">
        <f>IF(X320="","",NORM.S.DIST(X320,TRUE))</f>
        <v/>
      </c>
      <c r="Z320" s="13">
        <f>IF(Y320="","",IF(Y320&lt;='组合输入'!$K6,"AAA",IF(Y320&lt;='组合输入'!$L6,"AA",IF(Y320&lt;='组合输入'!$M6,"A",IF(Y320&lt;='组合输入'!$N6,"BBB",IF(Y320&lt;='组合输入'!$O6,"BB",IF(Y320&lt;='组合输入'!$P6,"B",IF(Y320&lt;='组合输入'!$Q6,"CCC","D")))))))</f>
        <v/>
      </c>
      <c r="AA320" s="12">
        <f>IF(Z320="","",INDEX('状态价值'!$D6:$K6,MATCH(Z320,'状态价值'!$D$1:$K$1,0)))</f>
        <v/>
      </c>
      <c r="AB320" s="15">
        <f>NORM.S.INV(RAND())</f>
        <v/>
      </c>
      <c r="AC320" s="15">
        <f>IF('组合输入'!$C7="","",'组合输入'!$H7*$B320+SQRT(1-'组合输入'!$H7^2)*AB320)</f>
        <v/>
      </c>
      <c r="AD320" s="7">
        <f>IF(AC320="","",NORM.S.DIST(AC320,TRUE))</f>
        <v/>
      </c>
      <c r="AE320" s="13">
        <f>IF(AD320="","",IF(AD320&lt;='组合输入'!$K7,"AAA",IF(AD320&lt;='组合输入'!$L7,"AA",IF(AD320&lt;='组合输入'!$M7,"A",IF(AD320&lt;='组合输入'!$N7,"BBB",IF(AD320&lt;='组合输入'!$O7,"BB",IF(AD320&lt;='组合输入'!$P7,"B",IF(AD320&lt;='组合输入'!$Q7,"CCC","D")))))))</f>
        <v/>
      </c>
      <c r="AF320" s="12">
        <f>IF(AE320="","",INDEX('状态价值'!$D7:$K7,MATCH(AE320,'状态价值'!$D$1:$K$1,0)))</f>
        <v/>
      </c>
      <c r="AG320" s="15">
        <f>NORM.S.INV(RAND())</f>
        <v/>
      </c>
      <c r="AH320" s="15">
        <f>IF('组合输入'!$C8="","",'组合输入'!$H8*$B320+SQRT(1-'组合输入'!$H8^2)*AG320)</f>
        <v/>
      </c>
      <c r="AI320" s="7">
        <f>IF(AH320="","",NORM.S.DIST(AH320,TRUE))</f>
        <v/>
      </c>
      <c r="AJ320" s="13">
        <f>IF(AI320="","",IF(AI320&lt;='组合输入'!$K8,"AAA",IF(AI320&lt;='组合输入'!$L8,"AA",IF(AI320&lt;='组合输入'!$M8,"A",IF(AI320&lt;='组合输入'!$N8,"BBB",IF(AI320&lt;='组合输入'!$O8,"BB",IF(AI320&lt;='组合输入'!$P8,"B",IF(AI320&lt;='组合输入'!$Q8,"CCC","D")))))))</f>
        <v/>
      </c>
      <c r="AK320" s="12">
        <f>IF(AJ320="","",INDEX('状态价值'!$D8:$K8,MATCH(AJ320,'状态价值'!$D$1:$K$1,0)))</f>
        <v/>
      </c>
      <c r="AL320" s="15">
        <f>NORM.S.INV(RAND())</f>
        <v/>
      </c>
      <c r="AM320" s="15">
        <f>IF('组合输入'!$C9="","",'组合输入'!$H9*$B320+SQRT(1-'组合输入'!$H9^2)*AL320)</f>
        <v/>
      </c>
      <c r="AN320" s="7">
        <f>IF(AM320="","",NORM.S.DIST(AM320,TRUE))</f>
        <v/>
      </c>
      <c r="AO320" s="13">
        <f>IF(AN320="","",IF(AN320&lt;='组合输入'!$K9,"AAA",IF(AN320&lt;='组合输入'!$L9,"AA",IF(AN320&lt;='组合输入'!$M9,"A",IF(AN320&lt;='组合输入'!$N9,"BBB",IF(AN320&lt;='组合输入'!$O9,"BB",IF(AN320&lt;='组合输入'!$P9,"B",IF(AN320&lt;='组合输入'!$Q9,"CCC","D")))))))</f>
        <v/>
      </c>
      <c r="AP320" s="12">
        <f>IF(AO320="","",INDEX('状态价值'!$D9:$K9,MATCH(AO320,'状态价值'!$D$1:$K$1,0)))</f>
        <v/>
      </c>
      <c r="AQ320" s="15">
        <f>NORM.S.INV(RAND())</f>
        <v/>
      </c>
      <c r="AR320" s="15">
        <f>IF('组合输入'!$C10="","",'组合输入'!$H10*$B320+SQRT(1-'组合输入'!$H10^2)*AQ320)</f>
        <v/>
      </c>
      <c r="AS320" s="7">
        <f>IF(AR320="","",NORM.S.DIST(AR320,TRUE))</f>
        <v/>
      </c>
      <c r="AT320" s="13">
        <f>IF(AS320="","",IF(AS320&lt;='组合输入'!$K10,"AAA",IF(AS320&lt;='组合输入'!$L10,"AA",IF(AS320&lt;='组合输入'!$M10,"A",IF(AS320&lt;='组合输入'!$N10,"BBB",IF(AS320&lt;='组合输入'!$O10,"BB",IF(AS320&lt;='组合输入'!$P10,"B",IF(AS320&lt;='组合输入'!$Q10,"CCC","D")))))))</f>
        <v/>
      </c>
      <c r="AU320" s="12">
        <f>IF(AT320="","",INDEX('状态价值'!$D10:$K10,MATCH(AT320,'状态价值'!$D$1:$K$1,0)))</f>
        <v/>
      </c>
      <c r="AV320" s="15">
        <f>NORM.S.INV(RAND())</f>
        <v/>
      </c>
      <c r="AW320" s="15">
        <f>IF('组合输入'!$C11="","",'组合输入'!$H11*$B320+SQRT(1-'组合输入'!$H11^2)*AV320)</f>
        <v/>
      </c>
      <c r="AX320" s="7">
        <f>IF(AW320="","",NORM.S.DIST(AW320,TRUE))</f>
        <v/>
      </c>
      <c r="AY320" s="13">
        <f>IF(AX320="","",IF(AX320&lt;='组合输入'!$K11,"AAA",IF(AX320&lt;='组合输入'!$L11,"AA",IF(AX320&lt;='组合输入'!$M11,"A",IF(AX320&lt;='组合输入'!$N11,"BBB",IF(AX320&lt;='组合输入'!$O11,"BB",IF(AX320&lt;='组合输入'!$P11,"B",IF(AX320&lt;='组合输入'!$Q11,"CCC","D")))))))</f>
        <v/>
      </c>
      <c r="AZ320" s="12">
        <f>IF(AY320="","",INDEX('状态价值'!$D11:$K11,MATCH(AY320,'状态价值'!$D$1:$K$1,0)))</f>
        <v/>
      </c>
      <c r="BA320" s="12">
        <f>G320+L320+Q320+V320+AA320+AF320+AK320+AP320+AU320+AZ320</f>
        <v/>
      </c>
      <c r="BB320" s="12">
        <f>SUM('组合输入'!$J$2:$J$11)-BA320</f>
        <v/>
      </c>
    </row>
    <row r="321">
      <c r="A321" s="11" t="n">
        <v>320</v>
      </c>
      <c r="B321" s="14">
        <f>NORM.S.INV(RAND())</f>
        <v/>
      </c>
      <c r="C321" s="14">
        <f>NORM.S.INV(RAND())</f>
        <v/>
      </c>
      <c r="D321" s="15">
        <f>IF('组合输入'!$C2="","",'组合输入'!$H2*$B321+SQRT(1-'组合输入'!$H2^2)*C321)</f>
        <v/>
      </c>
      <c r="E321" s="7">
        <f>IF(D321="","",NORM.S.DIST(D321,TRUE))</f>
        <v/>
      </c>
      <c r="F321" s="13">
        <f>IF(E321="","",IF(E321&lt;='组合输入'!$K2,"AAA",IF(E321&lt;='组合输入'!$L2,"AA",IF(E321&lt;='组合输入'!$M2,"A",IF(E321&lt;='组合输入'!$N2,"BBB",IF(E321&lt;='组合输入'!$O2,"BB",IF(E321&lt;='组合输入'!$P2,"B",IF(E321&lt;='组合输入'!$Q2,"CCC","D")))))))</f>
        <v/>
      </c>
      <c r="G321" s="12">
        <f>IF(F321="","",INDEX('状态价值'!$D2:$K2,MATCH(F321,'状态价值'!$D$1:$K$1,0)))</f>
        <v/>
      </c>
      <c r="H321" s="15">
        <f>NORM.S.INV(RAND())</f>
        <v/>
      </c>
      <c r="I321" s="15">
        <f>IF('组合输入'!$C3="","",'组合输入'!$H3*$B321+SQRT(1-'组合输入'!$H3^2)*H321)</f>
        <v/>
      </c>
      <c r="J321" s="7">
        <f>IF(I321="","",NORM.S.DIST(I321,TRUE))</f>
        <v/>
      </c>
      <c r="K321" s="13">
        <f>IF(J321="","",IF(J321&lt;='组合输入'!$K3,"AAA",IF(J321&lt;='组合输入'!$L3,"AA",IF(J321&lt;='组合输入'!$M3,"A",IF(J321&lt;='组合输入'!$N3,"BBB",IF(J321&lt;='组合输入'!$O3,"BB",IF(J321&lt;='组合输入'!$P3,"B",IF(J321&lt;='组合输入'!$Q3,"CCC","D")))))))</f>
        <v/>
      </c>
      <c r="L321" s="12">
        <f>IF(K321="","",INDEX('状态价值'!$D3:$K3,MATCH(K321,'状态价值'!$D$1:$K$1,0)))</f>
        <v/>
      </c>
      <c r="M321" s="15">
        <f>NORM.S.INV(RAND())</f>
        <v/>
      </c>
      <c r="N321" s="15">
        <f>IF('组合输入'!$C4="","",'组合输入'!$H4*$B321+SQRT(1-'组合输入'!$H4^2)*M321)</f>
        <v/>
      </c>
      <c r="O321" s="7">
        <f>IF(N321="","",NORM.S.DIST(N321,TRUE))</f>
        <v/>
      </c>
      <c r="P321" s="13">
        <f>IF(O321="","",IF(O321&lt;='组合输入'!$K4,"AAA",IF(O321&lt;='组合输入'!$L4,"AA",IF(O321&lt;='组合输入'!$M4,"A",IF(O321&lt;='组合输入'!$N4,"BBB",IF(O321&lt;='组合输入'!$O4,"BB",IF(O321&lt;='组合输入'!$P4,"B",IF(O321&lt;='组合输入'!$Q4,"CCC","D")))))))</f>
        <v/>
      </c>
      <c r="Q321" s="12">
        <f>IF(P321="","",INDEX('状态价值'!$D4:$K4,MATCH(P321,'状态价值'!$D$1:$K$1,0)))</f>
        <v/>
      </c>
      <c r="R321" s="15">
        <f>NORM.S.INV(RAND())</f>
        <v/>
      </c>
      <c r="S321" s="15">
        <f>IF('组合输入'!$C5="","",'组合输入'!$H5*$B321+SQRT(1-'组合输入'!$H5^2)*R321)</f>
        <v/>
      </c>
      <c r="T321" s="7">
        <f>IF(S321="","",NORM.S.DIST(S321,TRUE))</f>
        <v/>
      </c>
      <c r="U321" s="13">
        <f>IF(T321="","",IF(T321&lt;='组合输入'!$K5,"AAA",IF(T321&lt;='组合输入'!$L5,"AA",IF(T321&lt;='组合输入'!$M5,"A",IF(T321&lt;='组合输入'!$N5,"BBB",IF(T321&lt;='组合输入'!$O5,"BB",IF(T321&lt;='组合输入'!$P5,"B",IF(T321&lt;='组合输入'!$Q5,"CCC","D")))))))</f>
        <v/>
      </c>
      <c r="V321" s="12">
        <f>IF(U321="","",INDEX('状态价值'!$D5:$K5,MATCH(U321,'状态价值'!$D$1:$K$1,0)))</f>
        <v/>
      </c>
      <c r="W321" s="15">
        <f>NORM.S.INV(RAND())</f>
        <v/>
      </c>
      <c r="X321" s="15">
        <f>IF('组合输入'!$C6="","",'组合输入'!$H6*$B321+SQRT(1-'组合输入'!$H6^2)*W321)</f>
        <v/>
      </c>
      <c r="Y321" s="7">
        <f>IF(X321="","",NORM.S.DIST(X321,TRUE))</f>
        <v/>
      </c>
      <c r="Z321" s="13">
        <f>IF(Y321="","",IF(Y321&lt;='组合输入'!$K6,"AAA",IF(Y321&lt;='组合输入'!$L6,"AA",IF(Y321&lt;='组合输入'!$M6,"A",IF(Y321&lt;='组合输入'!$N6,"BBB",IF(Y321&lt;='组合输入'!$O6,"BB",IF(Y321&lt;='组合输入'!$P6,"B",IF(Y321&lt;='组合输入'!$Q6,"CCC","D")))))))</f>
        <v/>
      </c>
      <c r="AA321" s="12">
        <f>IF(Z321="","",INDEX('状态价值'!$D6:$K6,MATCH(Z321,'状态价值'!$D$1:$K$1,0)))</f>
        <v/>
      </c>
      <c r="AB321" s="15">
        <f>NORM.S.INV(RAND())</f>
        <v/>
      </c>
      <c r="AC321" s="15">
        <f>IF('组合输入'!$C7="","",'组合输入'!$H7*$B321+SQRT(1-'组合输入'!$H7^2)*AB321)</f>
        <v/>
      </c>
      <c r="AD321" s="7">
        <f>IF(AC321="","",NORM.S.DIST(AC321,TRUE))</f>
        <v/>
      </c>
      <c r="AE321" s="13">
        <f>IF(AD321="","",IF(AD321&lt;='组合输入'!$K7,"AAA",IF(AD321&lt;='组合输入'!$L7,"AA",IF(AD321&lt;='组合输入'!$M7,"A",IF(AD321&lt;='组合输入'!$N7,"BBB",IF(AD321&lt;='组合输入'!$O7,"BB",IF(AD321&lt;='组合输入'!$P7,"B",IF(AD321&lt;='组合输入'!$Q7,"CCC","D")))))))</f>
        <v/>
      </c>
      <c r="AF321" s="12">
        <f>IF(AE321="","",INDEX('状态价值'!$D7:$K7,MATCH(AE321,'状态价值'!$D$1:$K$1,0)))</f>
        <v/>
      </c>
      <c r="AG321" s="15">
        <f>NORM.S.INV(RAND())</f>
        <v/>
      </c>
      <c r="AH321" s="15">
        <f>IF('组合输入'!$C8="","",'组合输入'!$H8*$B321+SQRT(1-'组合输入'!$H8^2)*AG321)</f>
        <v/>
      </c>
      <c r="AI321" s="7">
        <f>IF(AH321="","",NORM.S.DIST(AH321,TRUE))</f>
        <v/>
      </c>
      <c r="AJ321" s="13">
        <f>IF(AI321="","",IF(AI321&lt;='组合输入'!$K8,"AAA",IF(AI321&lt;='组合输入'!$L8,"AA",IF(AI321&lt;='组合输入'!$M8,"A",IF(AI321&lt;='组合输入'!$N8,"BBB",IF(AI321&lt;='组合输入'!$O8,"BB",IF(AI321&lt;='组合输入'!$P8,"B",IF(AI321&lt;='组合输入'!$Q8,"CCC","D")))))))</f>
        <v/>
      </c>
      <c r="AK321" s="12">
        <f>IF(AJ321="","",INDEX('状态价值'!$D8:$K8,MATCH(AJ321,'状态价值'!$D$1:$K$1,0)))</f>
        <v/>
      </c>
      <c r="AL321" s="15">
        <f>NORM.S.INV(RAND())</f>
        <v/>
      </c>
      <c r="AM321" s="15">
        <f>IF('组合输入'!$C9="","",'组合输入'!$H9*$B321+SQRT(1-'组合输入'!$H9^2)*AL321)</f>
        <v/>
      </c>
      <c r="AN321" s="7">
        <f>IF(AM321="","",NORM.S.DIST(AM321,TRUE))</f>
        <v/>
      </c>
      <c r="AO321" s="13">
        <f>IF(AN321="","",IF(AN321&lt;='组合输入'!$K9,"AAA",IF(AN321&lt;='组合输入'!$L9,"AA",IF(AN321&lt;='组合输入'!$M9,"A",IF(AN321&lt;='组合输入'!$N9,"BBB",IF(AN321&lt;='组合输入'!$O9,"BB",IF(AN321&lt;='组合输入'!$P9,"B",IF(AN321&lt;='组合输入'!$Q9,"CCC","D")))))))</f>
        <v/>
      </c>
      <c r="AP321" s="12">
        <f>IF(AO321="","",INDEX('状态价值'!$D9:$K9,MATCH(AO321,'状态价值'!$D$1:$K$1,0)))</f>
        <v/>
      </c>
      <c r="AQ321" s="15">
        <f>NORM.S.INV(RAND())</f>
        <v/>
      </c>
      <c r="AR321" s="15">
        <f>IF('组合输入'!$C10="","",'组合输入'!$H10*$B321+SQRT(1-'组合输入'!$H10^2)*AQ321)</f>
        <v/>
      </c>
      <c r="AS321" s="7">
        <f>IF(AR321="","",NORM.S.DIST(AR321,TRUE))</f>
        <v/>
      </c>
      <c r="AT321" s="13">
        <f>IF(AS321="","",IF(AS321&lt;='组合输入'!$K10,"AAA",IF(AS321&lt;='组合输入'!$L10,"AA",IF(AS321&lt;='组合输入'!$M10,"A",IF(AS321&lt;='组合输入'!$N10,"BBB",IF(AS321&lt;='组合输入'!$O10,"BB",IF(AS321&lt;='组合输入'!$P10,"B",IF(AS321&lt;='组合输入'!$Q10,"CCC","D")))))))</f>
        <v/>
      </c>
      <c r="AU321" s="12">
        <f>IF(AT321="","",INDEX('状态价值'!$D10:$K10,MATCH(AT321,'状态价值'!$D$1:$K$1,0)))</f>
        <v/>
      </c>
      <c r="AV321" s="15">
        <f>NORM.S.INV(RAND())</f>
        <v/>
      </c>
      <c r="AW321" s="15">
        <f>IF('组合输入'!$C11="","",'组合输入'!$H11*$B321+SQRT(1-'组合输入'!$H11^2)*AV321)</f>
        <v/>
      </c>
      <c r="AX321" s="7">
        <f>IF(AW321="","",NORM.S.DIST(AW321,TRUE))</f>
        <v/>
      </c>
      <c r="AY321" s="13">
        <f>IF(AX321="","",IF(AX321&lt;='组合输入'!$K11,"AAA",IF(AX321&lt;='组合输入'!$L11,"AA",IF(AX321&lt;='组合输入'!$M11,"A",IF(AX321&lt;='组合输入'!$N11,"BBB",IF(AX321&lt;='组合输入'!$O11,"BB",IF(AX321&lt;='组合输入'!$P11,"B",IF(AX321&lt;='组合输入'!$Q11,"CCC","D")))))))</f>
        <v/>
      </c>
      <c r="AZ321" s="12">
        <f>IF(AY321="","",INDEX('状态价值'!$D11:$K11,MATCH(AY321,'状态价值'!$D$1:$K$1,0)))</f>
        <v/>
      </c>
      <c r="BA321" s="12">
        <f>G321+L321+Q321+V321+AA321+AF321+AK321+AP321+AU321+AZ321</f>
        <v/>
      </c>
      <c r="BB321" s="12">
        <f>SUM('组合输入'!$J$2:$J$11)-BA321</f>
        <v/>
      </c>
    </row>
    <row r="322">
      <c r="A322" s="11" t="n">
        <v>321</v>
      </c>
      <c r="B322" s="14">
        <f>NORM.S.INV(RAND())</f>
        <v/>
      </c>
      <c r="C322" s="14">
        <f>NORM.S.INV(RAND())</f>
        <v/>
      </c>
      <c r="D322" s="15">
        <f>IF('组合输入'!$C2="","",'组合输入'!$H2*$B322+SQRT(1-'组合输入'!$H2^2)*C322)</f>
        <v/>
      </c>
      <c r="E322" s="7">
        <f>IF(D322="","",NORM.S.DIST(D322,TRUE))</f>
        <v/>
      </c>
      <c r="F322" s="13">
        <f>IF(E322="","",IF(E322&lt;='组合输入'!$K2,"AAA",IF(E322&lt;='组合输入'!$L2,"AA",IF(E322&lt;='组合输入'!$M2,"A",IF(E322&lt;='组合输入'!$N2,"BBB",IF(E322&lt;='组合输入'!$O2,"BB",IF(E322&lt;='组合输入'!$P2,"B",IF(E322&lt;='组合输入'!$Q2,"CCC","D")))))))</f>
        <v/>
      </c>
      <c r="G322" s="12">
        <f>IF(F322="","",INDEX('状态价值'!$D2:$K2,MATCH(F322,'状态价值'!$D$1:$K$1,0)))</f>
        <v/>
      </c>
      <c r="H322" s="15">
        <f>NORM.S.INV(RAND())</f>
        <v/>
      </c>
      <c r="I322" s="15">
        <f>IF('组合输入'!$C3="","",'组合输入'!$H3*$B322+SQRT(1-'组合输入'!$H3^2)*H322)</f>
        <v/>
      </c>
      <c r="J322" s="7">
        <f>IF(I322="","",NORM.S.DIST(I322,TRUE))</f>
        <v/>
      </c>
      <c r="K322" s="13">
        <f>IF(J322="","",IF(J322&lt;='组合输入'!$K3,"AAA",IF(J322&lt;='组合输入'!$L3,"AA",IF(J322&lt;='组合输入'!$M3,"A",IF(J322&lt;='组合输入'!$N3,"BBB",IF(J322&lt;='组合输入'!$O3,"BB",IF(J322&lt;='组合输入'!$P3,"B",IF(J322&lt;='组合输入'!$Q3,"CCC","D")))))))</f>
        <v/>
      </c>
      <c r="L322" s="12">
        <f>IF(K322="","",INDEX('状态价值'!$D3:$K3,MATCH(K322,'状态价值'!$D$1:$K$1,0)))</f>
        <v/>
      </c>
      <c r="M322" s="15">
        <f>NORM.S.INV(RAND())</f>
        <v/>
      </c>
      <c r="N322" s="15">
        <f>IF('组合输入'!$C4="","",'组合输入'!$H4*$B322+SQRT(1-'组合输入'!$H4^2)*M322)</f>
        <v/>
      </c>
      <c r="O322" s="7">
        <f>IF(N322="","",NORM.S.DIST(N322,TRUE))</f>
        <v/>
      </c>
      <c r="P322" s="13">
        <f>IF(O322="","",IF(O322&lt;='组合输入'!$K4,"AAA",IF(O322&lt;='组合输入'!$L4,"AA",IF(O322&lt;='组合输入'!$M4,"A",IF(O322&lt;='组合输入'!$N4,"BBB",IF(O322&lt;='组合输入'!$O4,"BB",IF(O322&lt;='组合输入'!$P4,"B",IF(O322&lt;='组合输入'!$Q4,"CCC","D")))))))</f>
        <v/>
      </c>
      <c r="Q322" s="12">
        <f>IF(P322="","",INDEX('状态价值'!$D4:$K4,MATCH(P322,'状态价值'!$D$1:$K$1,0)))</f>
        <v/>
      </c>
      <c r="R322" s="15">
        <f>NORM.S.INV(RAND())</f>
        <v/>
      </c>
      <c r="S322" s="15">
        <f>IF('组合输入'!$C5="","",'组合输入'!$H5*$B322+SQRT(1-'组合输入'!$H5^2)*R322)</f>
        <v/>
      </c>
      <c r="T322" s="7">
        <f>IF(S322="","",NORM.S.DIST(S322,TRUE))</f>
        <v/>
      </c>
      <c r="U322" s="13">
        <f>IF(T322="","",IF(T322&lt;='组合输入'!$K5,"AAA",IF(T322&lt;='组合输入'!$L5,"AA",IF(T322&lt;='组合输入'!$M5,"A",IF(T322&lt;='组合输入'!$N5,"BBB",IF(T322&lt;='组合输入'!$O5,"BB",IF(T322&lt;='组合输入'!$P5,"B",IF(T322&lt;='组合输入'!$Q5,"CCC","D")))))))</f>
        <v/>
      </c>
      <c r="V322" s="12">
        <f>IF(U322="","",INDEX('状态价值'!$D5:$K5,MATCH(U322,'状态价值'!$D$1:$K$1,0)))</f>
        <v/>
      </c>
      <c r="W322" s="15">
        <f>NORM.S.INV(RAND())</f>
        <v/>
      </c>
      <c r="X322" s="15">
        <f>IF('组合输入'!$C6="","",'组合输入'!$H6*$B322+SQRT(1-'组合输入'!$H6^2)*W322)</f>
        <v/>
      </c>
      <c r="Y322" s="7">
        <f>IF(X322="","",NORM.S.DIST(X322,TRUE))</f>
        <v/>
      </c>
      <c r="Z322" s="13">
        <f>IF(Y322="","",IF(Y322&lt;='组合输入'!$K6,"AAA",IF(Y322&lt;='组合输入'!$L6,"AA",IF(Y322&lt;='组合输入'!$M6,"A",IF(Y322&lt;='组合输入'!$N6,"BBB",IF(Y322&lt;='组合输入'!$O6,"BB",IF(Y322&lt;='组合输入'!$P6,"B",IF(Y322&lt;='组合输入'!$Q6,"CCC","D")))))))</f>
        <v/>
      </c>
      <c r="AA322" s="12">
        <f>IF(Z322="","",INDEX('状态价值'!$D6:$K6,MATCH(Z322,'状态价值'!$D$1:$K$1,0)))</f>
        <v/>
      </c>
      <c r="AB322" s="15">
        <f>NORM.S.INV(RAND())</f>
        <v/>
      </c>
      <c r="AC322" s="15">
        <f>IF('组合输入'!$C7="","",'组合输入'!$H7*$B322+SQRT(1-'组合输入'!$H7^2)*AB322)</f>
        <v/>
      </c>
      <c r="AD322" s="7">
        <f>IF(AC322="","",NORM.S.DIST(AC322,TRUE))</f>
        <v/>
      </c>
      <c r="AE322" s="13">
        <f>IF(AD322="","",IF(AD322&lt;='组合输入'!$K7,"AAA",IF(AD322&lt;='组合输入'!$L7,"AA",IF(AD322&lt;='组合输入'!$M7,"A",IF(AD322&lt;='组合输入'!$N7,"BBB",IF(AD322&lt;='组合输入'!$O7,"BB",IF(AD322&lt;='组合输入'!$P7,"B",IF(AD322&lt;='组合输入'!$Q7,"CCC","D")))))))</f>
        <v/>
      </c>
      <c r="AF322" s="12">
        <f>IF(AE322="","",INDEX('状态价值'!$D7:$K7,MATCH(AE322,'状态价值'!$D$1:$K$1,0)))</f>
        <v/>
      </c>
      <c r="AG322" s="15">
        <f>NORM.S.INV(RAND())</f>
        <v/>
      </c>
      <c r="AH322" s="15">
        <f>IF('组合输入'!$C8="","",'组合输入'!$H8*$B322+SQRT(1-'组合输入'!$H8^2)*AG322)</f>
        <v/>
      </c>
      <c r="AI322" s="7">
        <f>IF(AH322="","",NORM.S.DIST(AH322,TRUE))</f>
        <v/>
      </c>
      <c r="AJ322" s="13">
        <f>IF(AI322="","",IF(AI322&lt;='组合输入'!$K8,"AAA",IF(AI322&lt;='组合输入'!$L8,"AA",IF(AI322&lt;='组合输入'!$M8,"A",IF(AI322&lt;='组合输入'!$N8,"BBB",IF(AI322&lt;='组合输入'!$O8,"BB",IF(AI322&lt;='组合输入'!$P8,"B",IF(AI322&lt;='组合输入'!$Q8,"CCC","D")))))))</f>
        <v/>
      </c>
      <c r="AK322" s="12">
        <f>IF(AJ322="","",INDEX('状态价值'!$D8:$K8,MATCH(AJ322,'状态价值'!$D$1:$K$1,0)))</f>
        <v/>
      </c>
      <c r="AL322" s="15">
        <f>NORM.S.INV(RAND())</f>
        <v/>
      </c>
      <c r="AM322" s="15">
        <f>IF('组合输入'!$C9="","",'组合输入'!$H9*$B322+SQRT(1-'组合输入'!$H9^2)*AL322)</f>
        <v/>
      </c>
      <c r="AN322" s="7">
        <f>IF(AM322="","",NORM.S.DIST(AM322,TRUE))</f>
        <v/>
      </c>
      <c r="AO322" s="13">
        <f>IF(AN322="","",IF(AN322&lt;='组合输入'!$K9,"AAA",IF(AN322&lt;='组合输入'!$L9,"AA",IF(AN322&lt;='组合输入'!$M9,"A",IF(AN322&lt;='组合输入'!$N9,"BBB",IF(AN322&lt;='组合输入'!$O9,"BB",IF(AN322&lt;='组合输入'!$P9,"B",IF(AN322&lt;='组合输入'!$Q9,"CCC","D")))))))</f>
        <v/>
      </c>
      <c r="AP322" s="12">
        <f>IF(AO322="","",INDEX('状态价值'!$D9:$K9,MATCH(AO322,'状态价值'!$D$1:$K$1,0)))</f>
        <v/>
      </c>
      <c r="AQ322" s="15">
        <f>NORM.S.INV(RAND())</f>
        <v/>
      </c>
      <c r="AR322" s="15">
        <f>IF('组合输入'!$C10="","",'组合输入'!$H10*$B322+SQRT(1-'组合输入'!$H10^2)*AQ322)</f>
        <v/>
      </c>
      <c r="AS322" s="7">
        <f>IF(AR322="","",NORM.S.DIST(AR322,TRUE))</f>
        <v/>
      </c>
      <c r="AT322" s="13">
        <f>IF(AS322="","",IF(AS322&lt;='组合输入'!$K10,"AAA",IF(AS322&lt;='组合输入'!$L10,"AA",IF(AS322&lt;='组合输入'!$M10,"A",IF(AS322&lt;='组合输入'!$N10,"BBB",IF(AS322&lt;='组合输入'!$O10,"BB",IF(AS322&lt;='组合输入'!$P10,"B",IF(AS322&lt;='组合输入'!$Q10,"CCC","D")))))))</f>
        <v/>
      </c>
      <c r="AU322" s="12">
        <f>IF(AT322="","",INDEX('状态价值'!$D10:$K10,MATCH(AT322,'状态价值'!$D$1:$K$1,0)))</f>
        <v/>
      </c>
      <c r="AV322" s="15">
        <f>NORM.S.INV(RAND())</f>
        <v/>
      </c>
      <c r="AW322" s="15">
        <f>IF('组合输入'!$C11="","",'组合输入'!$H11*$B322+SQRT(1-'组合输入'!$H11^2)*AV322)</f>
        <v/>
      </c>
      <c r="AX322" s="7">
        <f>IF(AW322="","",NORM.S.DIST(AW322,TRUE))</f>
        <v/>
      </c>
      <c r="AY322" s="13">
        <f>IF(AX322="","",IF(AX322&lt;='组合输入'!$K11,"AAA",IF(AX322&lt;='组合输入'!$L11,"AA",IF(AX322&lt;='组合输入'!$M11,"A",IF(AX322&lt;='组合输入'!$N11,"BBB",IF(AX322&lt;='组合输入'!$O11,"BB",IF(AX322&lt;='组合输入'!$P11,"B",IF(AX322&lt;='组合输入'!$Q11,"CCC","D")))))))</f>
        <v/>
      </c>
      <c r="AZ322" s="12">
        <f>IF(AY322="","",INDEX('状态价值'!$D11:$K11,MATCH(AY322,'状态价值'!$D$1:$K$1,0)))</f>
        <v/>
      </c>
      <c r="BA322" s="12">
        <f>G322+L322+Q322+V322+AA322+AF322+AK322+AP322+AU322+AZ322</f>
        <v/>
      </c>
      <c r="BB322" s="12">
        <f>SUM('组合输入'!$J$2:$J$11)-BA322</f>
        <v/>
      </c>
    </row>
    <row r="323">
      <c r="A323" s="11" t="n">
        <v>322</v>
      </c>
      <c r="B323" s="14">
        <f>NORM.S.INV(RAND())</f>
        <v/>
      </c>
      <c r="C323" s="14">
        <f>NORM.S.INV(RAND())</f>
        <v/>
      </c>
      <c r="D323" s="15">
        <f>IF('组合输入'!$C2="","",'组合输入'!$H2*$B323+SQRT(1-'组合输入'!$H2^2)*C323)</f>
        <v/>
      </c>
      <c r="E323" s="7">
        <f>IF(D323="","",NORM.S.DIST(D323,TRUE))</f>
        <v/>
      </c>
      <c r="F323" s="13">
        <f>IF(E323="","",IF(E323&lt;='组合输入'!$K2,"AAA",IF(E323&lt;='组合输入'!$L2,"AA",IF(E323&lt;='组合输入'!$M2,"A",IF(E323&lt;='组合输入'!$N2,"BBB",IF(E323&lt;='组合输入'!$O2,"BB",IF(E323&lt;='组合输入'!$P2,"B",IF(E323&lt;='组合输入'!$Q2,"CCC","D")))))))</f>
        <v/>
      </c>
      <c r="G323" s="12">
        <f>IF(F323="","",INDEX('状态价值'!$D2:$K2,MATCH(F323,'状态价值'!$D$1:$K$1,0)))</f>
        <v/>
      </c>
      <c r="H323" s="15">
        <f>NORM.S.INV(RAND())</f>
        <v/>
      </c>
      <c r="I323" s="15">
        <f>IF('组合输入'!$C3="","",'组合输入'!$H3*$B323+SQRT(1-'组合输入'!$H3^2)*H323)</f>
        <v/>
      </c>
      <c r="J323" s="7">
        <f>IF(I323="","",NORM.S.DIST(I323,TRUE))</f>
        <v/>
      </c>
      <c r="K323" s="13">
        <f>IF(J323="","",IF(J323&lt;='组合输入'!$K3,"AAA",IF(J323&lt;='组合输入'!$L3,"AA",IF(J323&lt;='组合输入'!$M3,"A",IF(J323&lt;='组合输入'!$N3,"BBB",IF(J323&lt;='组合输入'!$O3,"BB",IF(J323&lt;='组合输入'!$P3,"B",IF(J323&lt;='组合输入'!$Q3,"CCC","D")))))))</f>
        <v/>
      </c>
      <c r="L323" s="12">
        <f>IF(K323="","",INDEX('状态价值'!$D3:$K3,MATCH(K323,'状态价值'!$D$1:$K$1,0)))</f>
        <v/>
      </c>
      <c r="M323" s="15">
        <f>NORM.S.INV(RAND())</f>
        <v/>
      </c>
      <c r="N323" s="15">
        <f>IF('组合输入'!$C4="","",'组合输入'!$H4*$B323+SQRT(1-'组合输入'!$H4^2)*M323)</f>
        <v/>
      </c>
      <c r="O323" s="7">
        <f>IF(N323="","",NORM.S.DIST(N323,TRUE))</f>
        <v/>
      </c>
      <c r="P323" s="13">
        <f>IF(O323="","",IF(O323&lt;='组合输入'!$K4,"AAA",IF(O323&lt;='组合输入'!$L4,"AA",IF(O323&lt;='组合输入'!$M4,"A",IF(O323&lt;='组合输入'!$N4,"BBB",IF(O323&lt;='组合输入'!$O4,"BB",IF(O323&lt;='组合输入'!$P4,"B",IF(O323&lt;='组合输入'!$Q4,"CCC","D")))))))</f>
        <v/>
      </c>
      <c r="Q323" s="12">
        <f>IF(P323="","",INDEX('状态价值'!$D4:$K4,MATCH(P323,'状态价值'!$D$1:$K$1,0)))</f>
        <v/>
      </c>
      <c r="R323" s="15">
        <f>NORM.S.INV(RAND())</f>
        <v/>
      </c>
      <c r="S323" s="15">
        <f>IF('组合输入'!$C5="","",'组合输入'!$H5*$B323+SQRT(1-'组合输入'!$H5^2)*R323)</f>
        <v/>
      </c>
      <c r="T323" s="7">
        <f>IF(S323="","",NORM.S.DIST(S323,TRUE))</f>
        <v/>
      </c>
      <c r="U323" s="13">
        <f>IF(T323="","",IF(T323&lt;='组合输入'!$K5,"AAA",IF(T323&lt;='组合输入'!$L5,"AA",IF(T323&lt;='组合输入'!$M5,"A",IF(T323&lt;='组合输入'!$N5,"BBB",IF(T323&lt;='组合输入'!$O5,"BB",IF(T323&lt;='组合输入'!$P5,"B",IF(T323&lt;='组合输入'!$Q5,"CCC","D")))))))</f>
        <v/>
      </c>
      <c r="V323" s="12">
        <f>IF(U323="","",INDEX('状态价值'!$D5:$K5,MATCH(U323,'状态价值'!$D$1:$K$1,0)))</f>
        <v/>
      </c>
      <c r="W323" s="15">
        <f>NORM.S.INV(RAND())</f>
        <v/>
      </c>
      <c r="X323" s="15">
        <f>IF('组合输入'!$C6="","",'组合输入'!$H6*$B323+SQRT(1-'组合输入'!$H6^2)*W323)</f>
        <v/>
      </c>
      <c r="Y323" s="7">
        <f>IF(X323="","",NORM.S.DIST(X323,TRUE))</f>
        <v/>
      </c>
      <c r="Z323" s="13">
        <f>IF(Y323="","",IF(Y323&lt;='组合输入'!$K6,"AAA",IF(Y323&lt;='组合输入'!$L6,"AA",IF(Y323&lt;='组合输入'!$M6,"A",IF(Y323&lt;='组合输入'!$N6,"BBB",IF(Y323&lt;='组合输入'!$O6,"BB",IF(Y323&lt;='组合输入'!$P6,"B",IF(Y323&lt;='组合输入'!$Q6,"CCC","D")))))))</f>
        <v/>
      </c>
      <c r="AA323" s="12">
        <f>IF(Z323="","",INDEX('状态价值'!$D6:$K6,MATCH(Z323,'状态价值'!$D$1:$K$1,0)))</f>
        <v/>
      </c>
      <c r="AB323" s="15">
        <f>NORM.S.INV(RAND())</f>
        <v/>
      </c>
      <c r="AC323" s="15">
        <f>IF('组合输入'!$C7="","",'组合输入'!$H7*$B323+SQRT(1-'组合输入'!$H7^2)*AB323)</f>
        <v/>
      </c>
      <c r="AD323" s="7">
        <f>IF(AC323="","",NORM.S.DIST(AC323,TRUE))</f>
        <v/>
      </c>
      <c r="AE323" s="13">
        <f>IF(AD323="","",IF(AD323&lt;='组合输入'!$K7,"AAA",IF(AD323&lt;='组合输入'!$L7,"AA",IF(AD323&lt;='组合输入'!$M7,"A",IF(AD323&lt;='组合输入'!$N7,"BBB",IF(AD323&lt;='组合输入'!$O7,"BB",IF(AD323&lt;='组合输入'!$P7,"B",IF(AD323&lt;='组合输入'!$Q7,"CCC","D")))))))</f>
        <v/>
      </c>
      <c r="AF323" s="12">
        <f>IF(AE323="","",INDEX('状态价值'!$D7:$K7,MATCH(AE323,'状态价值'!$D$1:$K$1,0)))</f>
        <v/>
      </c>
      <c r="AG323" s="15">
        <f>NORM.S.INV(RAND())</f>
        <v/>
      </c>
      <c r="AH323" s="15">
        <f>IF('组合输入'!$C8="","",'组合输入'!$H8*$B323+SQRT(1-'组合输入'!$H8^2)*AG323)</f>
        <v/>
      </c>
      <c r="AI323" s="7">
        <f>IF(AH323="","",NORM.S.DIST(AH323,TRUE))</f>
        <v/>
      </c>
      <c r="AJ323" s="13">
        <f>IF(AI323="","",IF(AI323&lt;='组合输入'!$K8,"AAA",IF(AI323&lt;='组合输入'!$L8,"AA",IF(AI323&lt;='组合输入'!$M8,"A",IF(AI323&lt;='组合输入'!$N8,"BBB",IF(AI323&lt;='组合输入'!$O8,"BB",IF(AI323&lt;='组合输入'!$P8,"B",IF(AI323&lt;='组合输入'!$Q8,"CCC","D")))))))</f>
        <v/>
      </c>
      <c r="AK323" s="12">
        <f>IF(AJ323="","",INDEX('状态价值'!$D8:$K8,MATCH(AJ323,'状态价值'!$D$1:$K$1,0)))</f>
        <v/>
      </c>
      <c r="AL323" s="15">
        <f>NORM.S.INV(RAND())</f>
        <v/>
      </c>
      <c r="AM323" s="15">
        <f>IF('组合输入'!$C9="","",'组合输入'!$H9*$B323+SQRT(1-'组合输入'!$H9^2)*AL323)</f>
        <v/>
      </c>
      <c r="AN323" s="7">
        <f>IF(AM323="","",NORM.S.DIST(AM323,TRUE))</f>
        <v/>
      </c>
      <c r="AO323" s="13">
        <f>IF(AN323="","",IF(AN323&lt;='组合输入'!$K9,"AAA",IF(AN323&lt;='组合输入'!$L9,"AA",IF(AN323&lt;='组合输入'!$M9,"A",IF(AN323&lt;='组合输入'!$N9,"BBB",IF(AN323&lt;='组合输入'!$O9,"BB",IF(AN323&lt;='组合输入'!$P9,"B",IF(AN323&lt;='组合输入'!$Q9,"CCC","D")))))))</f>
        <v/>
      </c>
      <c r="AP323" s="12">
        <f>IF(AO323="","",INDEX('状态价值'!$D9:$K9,MATCH(AO323,'状态价值'!$D$1:$K$1,0)))</f>
        <v/>
      </c>
      <c r="AQ323" s="15">
        <f>NORM.S.INV(RAND())</f>
        <v/>
      </c>
      <c r="AR323" s="15">
        <f>IF('组合输入'!$C10="","",'组合输入'!$H10*$B323+SQRT(1-'组合输入'!$H10^2)*AQ323)</f>
        <v/>
      </c>
      <c r="AS323" s="7">
        <f>IF(AR323="","",NORM.S.DIST(AR323,TRUE))</f>
        <v/>
      </c>
      <c r="AT323" s="13">
        <f>IF(AS323="","",IF(AS323&lt;='组合输入'!$K10,"AAA",IF(AS323&lt;='组合输入'!$L10,"AA",IF(AS323&lt;='组合输入'!$M10,"A",IF(AS323&lt;='组合输入'!$N10,"BBB",IF(AS323&lt;='组合输入'!$O10,"BB",IF(AS323&lt;='组合输入'!$P10,"B",IF(AS323&lt;='组合输入'!$Q10,"CCC","D")))))))</f>
        <v/>
      </c>
      <c r="AU323" s="12">
        <f>IF(AT323="","",INDEX('状态价值'!$D10:$K10,MATCH(AT323,'状态价值'!$D$1:$K$1,0)))</f>
        <v/>
      </c>
      <c r="AV323" s="15">
        <f>NORM.S.INV(RAND())</f>
        <v/>
      </c>
      <c r="AW323" s="15">
        <f>IF('组合输入'!$C11="","",'组合输入'!$H11*$B323+SQRT(1-'组合输入'!$H11^2)*AV323)</f>
        <v/>
      </c>
      <c r="AX323" s="7">
        <f>IF(AW323="","",NORM.S.DIST(AW323,TRUE))</f>
        <v/>
      </c>
      <c r="AY323" s="13">
        <f>IF(AX323="","",IF(AX323&lt;='组合输入'!$K11,"AAA",IF(AX323&lt;='组合输入'!$L11,"AA",IF(AX323&lt;='组合输入'!$M11,"A",IF(AX323&lt;='组合输入'!$N11,"BBB",IF(AX323&lt;='组合输入'!$O11,"BB",IF(AX323&lt;='组合输入'!$P11,"B",IF(AX323&lt;='组合输入'!$Q11,"CCC","D")))))))</f>
        <v/>
      </c>
      <c r="AZ323" s="12">
        <f>IF(AY323="","",INDEX('状态价值'!$D11:$K11,MATCH(AY323,'状态价值'!$D$1:$K$1,0)))</f>
        <v/>
      </c>
      <c r="BA323" s="12">
        <f>G323+L323+Q323+V323+AA323+AF323+AK323+AP323+AU323+AZ323</f>
        <v/>
      </c>
      <c r="BB323" s="12">
        <f>SUM('组合输入'!$J$2:$J$11)-BA323</f>
        <v/>
      </c>
    </row>
    <row r="324">
      <c r="A324" s="11" t="n">
        <v>323</v>
      </c>
      <c r="B324" s="14">
        <f>NORM.S.INV(RAND())</f>
        <v/>
      </c>
      <c r="C324" s="14">
        <f>NORM.S.INV(RAND())</f>
        <v/>
      </c>
      <c r="D324" s="15">
        <f>IF('组合输入'!$C2="","",'组合输入'!$H2*$B324+SQRT(1-'组合输入'!$H2^2)*C324)</f>
        <v/>
      </c>
      <c r="E324" s="7">
        <f>IF(D324="","",NORM.S.DIST(D324,TRUE))</f>
        <v/>
      </c>
      <c r="F324" s="13">
        <f>IF(E324="","",IF(E324&lt;='组合输入'!$K2,"AAA",IF(E324&lt;='组合输入'!$L2,"AA",IF(E324&lt;='组合输入'!$M2,"A",IF(E324&lt;='组合输入'!$N2,"BBB",IF(E324&lt;='组合输入'!$O2,"BB",IF(E324&lt;='组合输入'!$P2,"B",IF(E324&lt;='组合输入'!$Q2,"CCC","D")))))))</f>
        <v/>
      </c>
      <c r="G324" s="12">
        <f>IF(F324="","",INDEX('状态价值'!$D2:$K2,MATCH(F324,'状态价值'!$D$1:$K$1,0)))</f>
        <v/>
      </c>
      <c r="H324" s="15">
        <f>NORM.S.INV(RAND())</f>
        <v/>
      </c>
      <c r="I324" s="15">
        <f>IF('组合输入'!$C3="","",'组合输入'!$H3*$B324+SQRT(1-'组合输入'!$H3^2)*H324)</f>
        <v/>
      </c>
      <c r="J324" s="7">
        <f>IF(I324="","",NORM.S.DIST(I324,TRUE))</f>
        <v/>
      </c>
      <c r="K324" s="13">
        <f>IF(J324="","",IF(J324&lt;='组合输入'!$K3,"AAA",IF(J324&lt;='组合输入'!$L3,"AA",IF(J324&lt;='组合输入'!$M3,"A",IF(J324&lt;='组合输入'!$N3,"BBB",IF(J324&lt;='组合输入'!$O3,"BB",IF(J324&lt;='组合输入'!$P3,"B",IF(J324&lt;='组合输入'!$Q3,"CCC","D")))))))</f>
        <v/>
      </c>
      <c r="L324" s="12">
        <f>IF(K324="","",INDEX('状态价值'!$D3:$K3,MATCH(K324,'状态价值'!$D$1:$K$1,0)))</f>
        <v/>
      </c>
      <c r="M324" s="15">
        <f>NORM.S.INV(RAND())</f>
        <v/>
      </c>
      <c r="N324" s="15">
        <f>IF('组合输入'!$C4="","",'组合输入'!$H4*$B324+SQRT(1-'组合输入'!$H4^2)*M324)</f>
        <v/>
      </c>
      <c r="O324" s="7">
        <f>IF(N324="","",NORM.S.DIST(N324,TRUE))</f>
        <v/>
      </c>
      <c r="P324" s="13">
        <f>IF(O324="","",IF(O324&lt;='组合输入'!$K4,"AAA",IF(O324&lt;='组合输入'!$L4,"AA",IF(O324&lt;='组合输入'!$M4,"A",IF(O324&lt;='组合输入'!$N4,"BBB",IF(O324&lt;='组合输入'!$O4,"BB",IF(O324&lt;='组合输入'!$P4,"B",IF(O324&lt;='组合输入'!$Q4,"CCC","D")))))))</f>
        <v/>
      </c>
      <c r="Q324" s="12">
        <f>IF(P324="","",INDEX('状态价值'!$D4:$K4,MATCH(P324,'状态价值'!$D$1:$K$1,0)))</f>
        <v/>
      </c>
      <c r="R324" s="15">
        <f>NORM.S.INV(RAND())</f>
        <v/>
      </c>
      <c r="S324" s="15">
        <f>IF('组合输入'!$C5="","",'组合输入'!$H5*$B324+SQRT(1-'组合输入'!$H5^2)*R324)</f>
        <v/>
      </c>
      <c r="T324" s="7">
        <f>IF(S324="","",NORM.S.DIST(S324,TRUE))</f>
        <v/>
      </c>
      <c r="U324" s="13">
        <f>IF(T324="","",IF(T324&lt;='组合输入'!$K5,"AAA",IF(T324&lt;='组合输入'!$L5,"AA",IF(T324&lt;='组合输入'!$M5,"A",IF(T324&lt;='组合输入'!$N5,"BBB",IF(T324&lt;='组合输入'!$O5,"BB",IF(T324&lt;='组合输入'!$P5,"B",IF(T324&lt;='组合输入'!$Q5,"CCC","D")))))))</f>
        <v/>
      </c>
      <c r="V324" s="12">
        <f>IF(U324="","",INDEX('状态价值'!$D5:$K5,MATCH(U324,'状态价值'!$D$1:$K$1,0)))</f>
        <v/>
      </c>
      <c r="W324" s="15">
        <f>NORM.S.INV(RAND())</f>
        <v/>
      </c>
      <c r="X324" s="15">
        <f>IF('组合输入'!$C6="","",'组合输入'!$H6*$B324+SQRT(1-'组合输入'!$H6^2)*W324)</f>
        <v/>
      </c>
      <c r="Y324" s="7">
        <f>IF(X324="","",NORM.S.DIST(X324,TRUE))</f>
        <v/>
      </c>
      <c r="Z324" s="13">
        <f>IF(Y324="","",IF(Y324&lt;='组合输入'!$K6,"AAA",IF(Y324&lt;='组合输入'!$L6,"AA",IF(Y324&lt;='组合输入'!$M6,"A",IF(Y324&lt;='组合输入'!$N6,"BBB",IF(Y324&lt;='组合输入'!$O6,"BB",IF(Y324&lt;='组合输入'!$P6,"B",IF(Y324&lt;='组合输入'!$Q6,"CCC","D")))))))</f>
        <v/>
      </c>
      <c r="AA324" s="12">
        <f>IF(Z324="","",INDEX('状态价值'!$D6:$K6,MATCH(Z324,'状态价值'!$D$1:$K$1,0)))</f>
        <v/>
      </c>
      <c r="AB324" s="15">
        <f>NORM.S.INV(RAND())</f>
        <v/>
      </c>
      <c r="AC324" s="15">
        <f>IF('组合输入'!$C7="","",'组合输入'!$H7*$B324+SQRT(1-'组合输入'!$H7^2)*AB324)</f>
        <v/>
      </c>
      <c r="AD324" s="7">
        <f>IF(AC324="","",NORM.S.DIST(AC324,TRUE))</f>
        <v/>
      </c>
      <c r="AE324" s="13">
        <f>IF(AD324="","",IF(AD324&lt;='组合输入'!$K7,"AAA",IF(AD324&lt;='组合输入'!$L7,"AA",IF(AD324&lt;='组合输入'!$M7,"A",IF(AD324&lt;='组合输入'!$N7,"BBB",IF(AD324&lt;='组合输入'!$O7,"BB",IF(AD324&lt;='组合输入'!$P7,"B",IF(AD324&lt;='组合输入'!$Q7,"CCC","D")))))))</f>
        <v/>
      </c>
      <c r="AF324" s="12">
        <f>IF(AE324="","",INDEX('状态价值'!$D7:$K7,MATCH(AE324,'状态价值'!$D$1:$K$1,0)))</f>
        <v/>
      </c>
      <c r="AG324" s="15">
        <f>NORM.S.INV(RAND())</f>
        <v/>
      </c>
      <c r="AH324" s="15">
        <f>IF('组合输入'!$C8="","",'组合输入'!$H8*$B324+SQRT(1-'组合输入'!$H8^2)*AG324)</f>
        <v/>
      </c>
      <c r="AI324" s="7">
        <f>IF(AH324="","",NORM.S.DIST(AH324,TRUE))</f>
        <v/>
      </c>
      <c r="AJ324" s="13">
        <f>IF(AI324="","",IF(AI324&lt;='组合输入'!$K8,"AAA",IF(AI324&lt;='组合输入'!$L8,"AA",IF(AI324&lt;='组合输入'!$M8,"A",IF(AI324&lt;='组合输入'!$N8,"BBB",IF(AI324&lt;='组合输入'!$O8,"BB",IF(AI324&lt;='组合输入'!$P8,"B",IF(AI324&lt;='组合输入'!$Q8,"CCC","D")))))))</f>
        <v/>
      </c>
      <c r="AK324" s="12">
        <f>IF(AJ324="","",INDEX('状态价值'!$D8:$K8,MATCH(AJ324,'状态价值'!$D$1:$K$1,0)))</f>
        <v/>
      </c>
      <c r="AL324" s="15">
        <f>NORM.S.INV(RAND())</f>
        <v/>
      </c>
      <c r="AM324" s="15">
        <f>IF('组合输入'!$C9="","",'组合输入'!$H9*$B324+SQRT(1-'组合输入'!$H9^2)*AL324)</f>
        <v/>
      </c>
      <c r="AN324" s="7">
        <f>IF(AM324="","",NORM.S.DIST(AM324,TRUE))</f>
        <v/>
      </c>
      <c r="AO324" s="13">
        <f>IF(AN324="","",IF(AN324&lt;='组合输入'!$K9,"AAA",IF(AN324&lt;='组合输入'!$L9,"AA",IF(AN324&lt;='组合输入'!$M9,"A",IF(AN324&lt;='组合输入'!$N9,"BBB",IF(AN324&lt;='组合输入'!$O9,"BB",IF(AN324&lt;='组合输入'!$P9,"B",IF(AN324&lt;='组合输入'!$Q9,"CCC","D")))))))</f>
        <v/>
      </c>
      <c r="AP324" s="12">
        <f>IF(AO324="","",INDEX('状态价值'!$D9:$K9,MATCH(AO324,'状态价值'!$D$1:$K$1,0)))</f>
        <v/>
      </c>
      <c r="AQ324" s="15">
        <f>NORM.S.INV(RAND())</f>
        <v/>
      </c>
      <c r="AR324" s="15">
        <f>IF('组合输入'!$C10="","",'组合输入'!$H10*$B324+SQRT(1-'组合输入'!$H10^2)*AQ324)</f>
        <v/>
      </c>
      <c r="AS324" s="7">
        <f>IF(AR324="","",NORM.S.DIST(AR324,TRUE))</f>
        <v/>
      </c>
      <c r="AT324" s="13">
        <f>IF(AS324="","",IF(AS324&lt;='组合输入'!$K10,"AAA",IF(AS324&lt;='组合输入'!$L10,"AA",IF(AS324&lt;='组合输入'!$M10,"A",IF(AS324&lt;='组合输入'!$N10,"BBB",IF(AS324&lt;='组合输入'!$O10,"BB",IF(AS324&lt;='组合输入'!$P10,"B",IF(AS324&lt;='组合输入'!$Q10,"CCC","D")))))))</f>
        <v/>
      </c>
      <c r="AU324" s="12">
        <f>IF(AT324="","",INDEX('状态价值'!$D10:$K10,MATCH(AT324,'状态价值'!$D$1:$K$1,0)))</f>
        <v/>
      </c>
      <c r="AV324" s="15">
        <f>NORM.S.INV(RAND())</f>
        <v/>
      </c>
      <c r="AW324" s="15">
        <f>IF('组合输入'!$C11="","",'组合输入'!$H11*$B324+SQRT(1-'组合输入'!$H11^2)*AV324)</f>
        <v/>
      </c>
      <c r="AX324" s="7">
        <f>IF(AW324="","",NORM.S.DIST(AW324,TRUE))</f>
        <v/>
      </c>
      <c r="AY324" s="13">
        <f>IF(AX324="","",IF(AX324&lt;='组合输入'!$K11,"AAA",IF(AX324&lt;='组合输入'!$L11,"AA",IF(AX324&lt;='组合输入'!$M11,"A",IF(AX324&lt;='组合输入'!$N11,"BBB",IF(AX324&lt;='组合输入'!$O11,"BB",IF(AX324&lt;='组合输入'!$P11,"B",IF(AX324&lt;='组合输入'!$Q11,"CCC","D")))))))</f>
        <v/>
      </c>
      <c r="AZ324" s="12">
        <f>IF(AY324="","",INDEX('状态价值'!$D11:$K11,MATCH(AY324,'状态价值'!$D$1:$K$1,0)))</f>
        <v/>
      </c>
      <c r="BA324" s="12">
        <f>G324+L324+Q324+V324+AA324+AF324+AK324+AP324+AU324+AZ324</f>
        <v/>
      </c>
      <c r="BB324" s="12">
        <f>SUM('组合输入'!$J$2:$J$11)-BA324</f>
        <v/>
      </c>
    </row>
    <row r="325">
      <c r="A325" s="11" t="n">
        <v>324</v>
      </c>
      <c r="B325" s="14">
        <f>NORM.S.INV(RAND())</f>
        <v/>
      </c>
      <c r="C325" s="14">
        <f>NORM.S.INV(RAND())</f>
        <v/>
      </c>
      <c r="D325" s="15">
        <f>IF('组合输入'!$C2="","",'组合输入'!$H2*$B325+SQRT(1-'组合输入'!$H2^2)*C325)</f>
        <v/>
      </c>
      <c r="E325" s="7">
        <f>IF(D325="","",NORM.S.DIST(D325,TRUE))</f>
        <v/>
      </c>
      <c r="F325" s="13">
        <f>IF(E325="","",IF(E325&lt;='组合输入'!$K2,"AAA",IF(E325&lt;='组合输入'!$L2,"AA",IF(E325&lt;='组合输入'!$M2,"A",IF(E325&lt;='组合输入'!$N2,"BBB",IF(E325&lt;='组合输入'!$O2,"BB",IF(E325&lt;='组合输入'!$P2,"B",IF(E325&lt;='组合输入'!$Q2,"CCC","D")))))))</f>
        <v/>
      </c>
      <c r="G325" s="12">
        <f>IF(F325="","",INDEX('状态价值'!$D2:$K2,MATCH(F325,'状态价值'!$D$1:$K$1,0)))</f>
        <v/>
      </c>
      <c r="H325" s="15">
        <f>NORM.S.INV(RAND())</f>
        <v/>
      </c>
      <c r="I325" s="15">
        <f>IF('组合输入'!$C3="","",'组合输入'!$H3*$B325+SQRT(1-'组合输入'!$H3^2)*H325)</f>
        <v/>
      </c>
      <c r="J325" s="7">
        <f>IF(I325="","",NORM.S.DIST(I325,TRUE))</f>
        <v/>
      </c>
      <c r="K325" s="13">
        <f>IF(J325="","",IF(J325&lt;='组合输入'!$K3,"AAA",IF(J325&lt;='组合输入'!$L3,"AA",IF(J325&lt;='组合输入'!$M3,"A",IF(J325&lt;='组合输入'!$N3,"BBB",IF(J325&lt;='组合输入'!$O3,"BB",IF(J325&lt;='组合输入'!$P3,"B",IF(J325&lt;='组合输入'!$Q3,"CCC","D")))))))</f>
        <v/>
      </c>
      <c r="L325" s="12">
        <f>IF(K325="","",INDEX('状态价值'!$D3:$K3,MATCH(K325,'状态价值'!$D$1:$K$1,0)))</f>
        <v/>
      </c>
      <c r="M325" s="15">
        <f>NORM.S.INV(RAND())</f>
        <v/>
      </c>
      <c r="N325" s="15">
        <f>IF('组合输入'!$C4="","",'组合输入'!$H4*$B325+SQRT(1-'组合输入'!$H4^2)*M325)</f>
        <v/>
      </c>
      <c r="O325" s="7">
        <f>IF(N325="","",NORM.S.DIST(N325,TRUE))</f>
        <v/>
      </c>
      <c r="P325" s="13">
        <f>IF(O325="","",IF(O325&lt;='组合输入'!$K4,"AAA",IF(O325&lt;='组合输入'!$L4,"AA",IF(O325&lt;='组合输入'!$M4,"A",IF(O325&lt;='组合输入'!$N4,"BBB",IF(O325&lt;='组合输入'!$O4,"BB",IF(O325&lt;='组合输入'!$P4,"B",IF(O325&lt;='组合输入'!$Q4,"CCC","D")))))))</f>
        <v/>
      </c>
      <c r="Q325" s="12">
        <f>IF(P325="","",INDEX('状态价值'!$D4:$K4,MATCH(P325,'状态价值'!$D$1:$K$1,0)))</f>
        <v/>
      </c>
      <c r="R325" s="15">
        <f>NORM.S.INV(RAND())</f>
        <v/>
      </c>
      <c r="S325" s="15">
        <f>IF('组合输入'!$C5="","",'组合输入'!$H5*$B325+SQRT(1-'组合输入'!$H5^2)*R325)</f>
        <v/>
      </c>
      <c r="T325" s="7">
        <f>IF(S325="","",NORM.S.DIST(S325,TRUE))</f>
        <v/>
      </c>
      <c r="U325" s="13">
        <f>IF(T325="","",IF(T325&lt;='组合输入'!$K5,"AAA",IF(T325&lt;='组合输入'!$L5,"AA",IF(T325&lt;='组合输入'!$M5,"A",IF(T325&lt;='组合输入'!$N5,"BBB",IF(T325&lt;='组合输入'!$O5,"BB",IF(T325&lt;='组合输入'!$P5,"B",IF(T325&lt;='组合输入'!$Q5,"CCC","D")))))))</f>
        <v/>
      </c>
      <c r="V325" s="12">
        <f>IF(U325="","",INDEX('状态价值'!$D5:$K5,MATCH(U325,'状态价值'!$D$1:$K$1,0)))</f>
        <v/>
      </c>
      <c r="W325" s="15">
        <f>NORM.S.INV(RAND())</f>
        <v/>
      </c>
      <c r="X325" s="15">
        <f>IF('组合输入'!$C6="","",'组合输入'!$H6*$B325+SQRT(1-'组合输入'!$H6^2)*W325)</f>
        <v/>
      </c>
      <c r="Y325" s="7">
        <f>IF(X325="","",NORM.S.DIST(X325,TRUE))</f>
        <v/>
      </c>
      <c r="Z325" s="13">
        <f>IF(Y325="","",IF(Y325&lt;='组合输入'!$K6,"AAA",IF(Y325&lt;='组合输入'!$L6,"AA",IF(Y325&lt;='组合输入'!$M6,"A",IF(Y325&lt;='组合输入'!$N6,"BBB",IF(Y325&lt;='组合输入'!$O6,"BB",IF(Y325&lt;='组合输入'!$P6,"B",IF(Y325&lt;='组合输入'!$Q6,"CCC","D")))))))</f>
        <v/>
      </c>
      <c r="AA325" s="12">
        <f>IF(Z325="","",INDEX('状态价值'!$D6:$K6,MATCH(Z325,'状态价值'!$D$1:$K$1,0)))</f>
        <v/>
      </c>
      <c r="AB325" s="15">
        <f>NORM.S.INV(RAND())</f>
        <v/>
      </c>
      <c r="AC325" s="15">
        <f>IF('组合输入'!$C7="","",'组合输入'!$H7*$B325+SQRT(1-'组合输入'!$H7^2)*AB325)</f>
        <v/>
      </c>
      <c r="AD325" s="7">
        <f>IF(AC325="","",NORM.S.DIST(AC325,TRUE))</f>
        <v/>
      </c>
      <c r="AE325" s="13">
        <f>IF(AD325="","",IF(AD325&lt;='组合输入'!$K7,"AAA",IF(AD325&lt;='组合输入'!$L7,"AA",IF(AD325&lt;='组合输入'!$M7,"A",IF(AD325&lt;='组合输入'!$N7,"BBB",IF(AD325&lt;='组合输入'!$O7,"BB",IF(AD325&lt;='组合输入'!$P7,"B",IF(AD325&lt;='组合输入'!$Q7,"CCC","D")))))))</f>
        <v/>
      </c>
      <c r="AF325" s="12">
        <f>IF(AE325="","",INDEX('状态价值'!$D7:$K7,MATCH(AE325,'状态价值'!$D$1:$K$1,0)))</f>
        <v/>
      </c>
      <c r="AG325" s="15">
        <f>NORM.S.INV(RAND())</f>
        <v/>
      </c>
      <c r="AH325" s="15">
        <f>IF('组合输入'!$C8="","",'组合输入'!$H8*$B325+SQRT(1-'组合输入'!$H8^2)*AG325)</f>
        <v/>
      </c>
      <c r="AI325" s="7">
        <f>IF(AH325="","",NORM.S.DIST(AH325,TRUE))</f>
        <v/>
      </c>
      <c r="AJ325" s="13">
        <f>IF(AI325="","",IF(AI325&lt;='组合输入'!$K8,"AAA",IF(AI325&lt;='组合输入'!$L8,"AA",IF(AI325&lt;='组合输入'!$M8,"A",IF(AI325&lt;='组合输入'!$N8,"BBB",IF(AI325&lt;='组合输入'!$O8,"BB",IF(AI325&lt;='组合输入'!$P8,"B",IF(AI325&lt;='组合输入'!$Q8,"CCC","D")))))))</f>
        <v/>
      </c>
      <c r="AK325" s="12">
        <f>IF(AJ325="","",INDEX('状态价值'!$D8:$K8,MATCH(AJ325,'状态价值'!$D$1:$K$1,0)))</f>
        <v/>
      </c>
      <c r="AL325" s="15">
        <f>NORM.S.INV(RAND())</f>
        <v/>
      </c>
      <c r="AM325" s="15">
        <f>IF('组合输入'!$C9="","",'组合输入'!$H9*$B325+SQRT(1-'组合输入'!$H9^2)*AL325)</f>
        <v/>
      </c>
      <c r="AN325" s="7">
        <f>IF(AM325="","",NORM.S.DIST(AM325,TRUE))</f>
        <v/>
      </c>
      <c r="AO325" s="13">
        <f>IF(AN325="","",IF(AN325&lt;='组合输入'!$K9,"AAA",IF(AN325&lt;='组合输入'!$L9,"AA",IF(AN325&lt;='组合输入'!$M9,"A",IF(AN325&lt;='组合输入'!$N9,"BBB",IF(AN325&lt;='组合输入'!$O9,"BB",IF(AN325&lt;='组合输入'!$P9,"B",IF(AN325&lt;='组合输入'!$Q9,"CCC","D")))))))</f>
        <v/>
      </c>
      <c r="AP325" s="12">
        <f>IF(AO325="","",INDEX('状态价值'!$D9:$K9,MATCH(AO325,'状态价值'!$D$1:$K$1,0)))</f>
        <v/>
      </c>
      <c r="AQ325" s="15">
        <f>NORM.S.INV(RAND())</f>
        <v/>
      </c>
      <c r="AR325" s="15">
        <f>IF('组合输入'!$C10="","",'组合输入'!$H10*$B325+SQRT(1-'组合输入'!$H10^2)*AQ325)</f>
        <v/>
      </c>
      <c r="AS325" s="7">
        <f>IF(AR325="","",NORM.S.DIST(AR325,TRUE))</f>
        <v/>
      </c>
      <c r="AT325" s="13">
        <f>IF(AS325="","",IF(AS325&lt;='组合输入'!$K10,"AAA",IF(AS325&lt;='组合输入'!$L10,"AA",IF(AS325&lt;='组合输入'!$M10,"A",IF(AS325&lt;='组合输入'!$N10,"BBB",IF(AS325&lt;='组合输入'!$O10,"BB",IF(AS325&lt;='组合输入'!$P10,"B",IF(AS325&lt;='组合输入'!$Q10,"CCC","D")))))))</f>
        <v/>
      </c>
      <c r="AU325" s="12">
        <f>IF(AT325="","",INDEX('状态价值'!$D10:$K10,MATCH(AT325,'状态价值'!$D$1:$K$1,0)))</f>
        <v/>
      </c>
      <c r="AV325" s="15">
        <f>NORM.S.INV(RAND())</f>
        <v/>
      </c>
      <c r="AW325" s="15">
        <f>IF('组合输入'!$C11="","",'组合输入'!$H11*$B325+SQRT(1-'组合输入'!$H11^2)*AV325)</f>
        <v/>
      </c>
      <c r="AX325" s="7">
        <f>IF(AW325="","",NORM.S.DIST(AW325,TRUE))</f>
        <v/>
      </c>
      <c r="AY325" s="13">
        <f>IF(AX325="","",IF(AX325&lt;='组合输入'!$K11,"AAA",IF(AX325&lt;='组合输入'!$L11,"AA",IF(AX325&lt;='组合输入'!$M11,"A",IF(AX325&lt;='组合输入'!$N11,"BBB",IF(AX325&lt;='组合输入'!$O11,"BB",IF(AX325&lt;='组合输入'!$P11,"B",IF(AX325&lt;='组合输入'!$Q11,"CCC","D")))))))</f>
        <v/>
      </c>
      <c r="AZ325" s="12">
        <f>IF(AY325="","",INDEX('状态价值'!$D11:$K11,MATCH(AY325,'状态价值'!$D$1:$K$1,0)))</f>
        <v/>
      </c>
      <c r="BA325" s="12">
        <f>G325+L325+Q325+V325+AA325+AF325+AK325+AP325+AU325+AZ325</f>
        <v/>
      </c>
      <c r="BB325" s="12">
        <f>SUM('组合输入'!$J$2:$J$11)-BA325</f>
        <v/>
      </c>
    </row>
    <row r="326">
      <c r="A326" s="11" t="n">
        <v>325</v>
      </c>
      <c r="B326" s="14">
        <f>NORM.S.INV(RAND())</f>
        <v/>
      </c>
      <c r="C326" s="14">
        <f>NORM.S.INV(RAND())</f>
        <v/>
      </c>
      <c r="D326" s="15">
        <f>IF('组合输入'!$C2="","",'组合输入'!$H2*$B326+SQRT(1-'组合输入'!$H2^2)*C326)</f>
        <v/>
      </c>
      <c r="E326" s="7">
        <f>IF(D326="","",NORM.S.DIST(D326,TRUE))</f>
        <v/>
      </c>
      <c r="F326" s="13">
        <f>IF(E326="","",IF(E326&lt;='组合输入'!$K2,"AAA",IF(E326&lt;='组合输入'!$L2,"AA",IF(E326&lt;='组合输入'!$M2,"A",IF(E326&lt;='组合输入'!$N2,"BBB",IF(E326&lt;='组合输入'!$O2,"BB",IF(E326&lt;='组合输入'!$P2,"B",IF(E326&lt;='组合输入'!$Q2,"CCC","D")))))))</f>
        <v/>
      </c>
      <c r="G326" s="12">
        <f>IF(F326="","",INDEX('状态价值'!$D2:$K2,MATCH(F326,'状态价值'!$D$1:$K$1,0)))</f>
        <v/>
      </c>
      <c r="H326" s="15">
        <f>NORM.S.INV(RAND())</f>
        <v/>
      </c>
      <c r="I326" s="15">
        <f>IF('组合输入'!$C3="","",'组合输入'!$H3*$B326+SQRT(1-'组合输入'!$H3^2)*H326)</f>
        <v/>
      </c>
      <c r="J326" s="7">
        <f>IF(I326="","",NORM.S.DIST(I326,TRUE))</f>
        <v/>
      </c>
      <c r="K326" s="13">
        <f>IF(J326="","",IF(J326&lt;='组合输入'!$K3,"AAA",IF(J326&lt;='组合输入'!$L3,"AA",IF(J326&lt;='组合输入'!$M3,"A",IF(J326&lt;='组合输入'!$N3,"BBB",IF(J326&lt;='组合输入'!$O3,"BB",IF(J326&lt;='组合输入'!$P3,"B",IF(J326&lt;='组合输入'!$Q3,"CCC","D")))))))</f>
        <v/>
      </c>
      <c r="L326" s="12">
        <f>IF(K326="","",INDEX('状态价值'!$D3:$K3,MATCH(K326,'状态价值'!$D$1:$K$1,0)))</f>
        <v/>
      </c>
      <c r="M326" s="15">
        <f>NORM.S.INV(RAND())</f>
        <v/>
      </c>
      <c r="N326" s="15">
        <f>IF('组合输入'!$C4="","",'组合输入'!$H4*$B326+SQRT(1-'组合输入'!$H4^2)*M326)</f>
        <v/>
      </c>
      <c r="O326" s="7">
        <f>IF(N326="","",NORM.S.DIST(N326,TRUE))</f>
        <v/>
      </c>
      <c r="P326" s="13">
        <f>IF(O326="","",IF(O326&lt;='组合输入'!$K4,"AAA",IF(O326&lt;='组合输入'!$L4,"AA",IF(O326&lt;='组合输入'!$M4,"A",IF(O326&lt;='组合输入'!$N4,"BBB",IF(O326&lt;='组合输入'!$O4,"BB",IF(O326&lt;='组合输入'!$P4,"B",IF(O326&lt;='组合输入'!$Q4,"CCC","D")))))))</f>
        <v/>
      </c>
      <c r="Q326" s="12">
        <f>IF(P326="","",INDEX('状态价值'!$D4:$K4,MATCH(P326,'状态价值'!$D$1:$K$1,0)))</f>
        <v/>
      </c>
      <c r="R326" s="15">
        <f>NORM.S.INV(RAND())</f>
        <v/>
      </c>
      <c r="S326" s="15">
        <f>IF('组合输入'!$C5="","",'组合输入'!$H5*$B326+SQRT(1-'组合输入'!$H5^2)*R326)</f>
        <v/>
      </c>
      <c r="T326" s="7">
        <f>IF(S326="","",NORM.S.DIST(S326,TRUE))</f>
        <v/>
      </c>
      <c r="U326" s="13">
        <f>IF(T326="","",IF(T326&lt;='组合输入'!$K5,"AAA",IF(T326&lt;='组合输入'!$L5,"AA",IF(T326&lt;='组合输入'!$M5,"A",IF(T326&lt;='组合输入'!$N5,"BBB",IF(T326&lt;='组合输入'!$O5,"BB",IF(T326&lt;='组合输入'!$P5,"B",IF(T326&lt;='组合输入'!$Q5,"CCC","D")))))))</f>
        <v/>
      </c>
      <c r="V326" s="12">
        <f>IF(U326="","",INDEX('状态价值'!$D5:$K5,MATCH(U326,'状态价值'!$D$1:$K$1,0)))</f>
        <v/>
      </c>
      <c r="W326" s="15">
        <f>NORM.S.INV(RAND())</f>
        <v/>
      </c>
      <c r="X326" s="15">
        <f>IF('组合输入'!$C6="","",'组合输入'!$H6*$B326+SQRT(1-'组合输入'!$H6^2)*W326)</f>
        <v/>
      </c>
      <c r="Y326" s="7">
        <f>IF(X326="","",NORM.S.DIST(X326,TRUE))</f>
        <v/>
      </c>
      <c r="Z326" s="13">
        <f>IF(Y326="","",IF(Y326&lt;='组合输入'!$K6,"AAA",IF(Y326&lt;='组合输入'!$L6,"AA",IF(Y326&lt;='组合输入'!$M6,"A",IF(Y326&lt;='组合输入'!$N6,"BBB",IF(Y326&lt;='组合输入'!$O6,"BB",IF(Y326&lt;='组合输入'!$P6,"B",IF(Y326&lt;='组合输入'!$Q6,"CCC","D")))))))</f>
        <v/>
      </c>
      <c r="AA326" s="12">
        <f>IF(Z326="","",INDEX('状态价值'!$D6:$K6,MATCH(Z326,'状态价值'!$D$1:$K$1,0)))</f>
        <v/>
      </c>
      <c r="AB326" s="15">
        <f>NORM.S.INV(RAND())</f>
        <v/>
      </c>
      <c r="AC326" s="15">
        <f>IF('组合输入'!$C7="","",'组合输入'!$H7*$B326+SQRT(1-'组合输入'!$H7^2)*AB326)</f>
        <v/>
      </c>
      <c r="AD326" s="7">
        <f>IF(AC326="","",NORM.S.DIST(AC326,TRUE))</f>
        <v/>
      </c>
      <c r="AE326" s="13">
        <f>IF(AD326="","",IF(AD326&lt;='组合输入'!$K7,"AAA",IF(AD326&lt;='组合输入'!$L7,"AA",IF(AD326&lt;='组合输入'!$M7,"A",IF(AD326&lt;='组合输入'!$N7,"BBB",IF(AD326&lt;='组合输入'!$O7,"BB",IF(AD326&lt;='组合输入'!$P7,"B",IF(AD326&lt;='组合输入'!$Q7,"CCC","D")))))))</f>
        <v/>
      </c>
      <c r="AF326" s="12">
        <f>IF(AE326="","",INDEX('状态价值'!$D7:$K7,MATCH(AE326,'状态价值'!$D$1:$K$1,0)))</f>
        <v/>
      </c>
      <c r="AG326" s="15">
        <f>NORM.S.INV(RAND())</f>
        <v/>
      </c>
      <c r="AH326" s="15">
        <f>IF('组合输入'!$C8="","",'组合输入'!$H8*$B326+SQRT(1-'组合输入'!$H8^2)*AG326)</f>
        <v/>
      </c>
      <c r="AI326" s="7">
        <f>IF(AH326="","",NORM.S.DIST(AH326,TRUE))</f>
        <v/>
      </c>
      <c r="AJ326" s="13">
        <f>IF(AI326="","",IF(AI326&lt;='组合输入'!$K8,"AAA",IF(AI326&lt;='组合输入'!$L8,"AA",IF(AI326&lt;='组合输入'!$M8,"A",IF(AI326&lt;='组合输入'!$N8,"BBB",IF(AI326&lt;='组合输入'!$O8,"BB",IF(AI326&lt;='组合输入'!$P8,"B",IF(AI326&lt;='组合输入'!$Q8,"CCC","D")))))))</f>
        <v/>
      </c>
      <c r="AK326" s="12">
        <f>IF(AJ326="","",INDEX('状态价值'!$D8:$K8,MATCH(AJ326,'状态价值'!$D$1:$K$1,0)))</f>
        <v/>
      </c>
      <c r="AL326" s="15">
        <f>NORM.S.INV(RAND())</f>
        <v/>
      </c>
      <c r="AM326" s="15">
        <f>IF('组合输入'!$C9="","",'组合输入'!$H9*$B326+SQRT(1-'组合输入'!$H9^2)*AL326)</f>
        <v/>
      </c>
      <c r="AN326" s="7">
        <f>IF(AM326="","",NORM.S.DIST(AM326,TRUE))</f>
        <v/>
      </c>
      <c r="AO326" s="13">
        <f>IF(AN326="","",IF(AN326&lt;='组合输入'!$K9,"AAA",IF(AN326&lt;='组合输入'!$L9,"AA",IF(AN326&lt;='组合输入'!$M9,"A",IF(AN326&lt;='组合输入'!$N9,"BBB",IF(AN326&lt;='组合输入'!$O9,"BB",IF(AN326&lt;='组合输入'!$P9,"B",IF(AN326&lt;='组合输入'!$Q9,"CCC","D")))))))</f>
        <v/>
      </c>
      <c r="AP326" s="12">
        <f>IF(AO326="","",INDEX('状态价值'!$D9:$K9,MATCH(AO326,'状态价值'!$D$1:$K$1,0)))</f>
        <v/>
      </c>
      <c r="AQ326" s="15">
        <f>NORM.S.INV(RAND())</f>
        <v/>
      </c>
      <c r="AR326" s="15">
        <f>IF('组合输入'!$C10="","",'组合输入'!$H10*$B326+SQRT(1-'组合输入'!$H10^2)*AQ326)</f>
        <v/>
      </c>
      <c r="AS326" s="7">
        <f>IF(AR326="","",NORM.S.DIST(AR326,TRUE))</f>
        <v/>
      </c>
      <c r="AT326" s="13">
        <f>IF(AS326="","",IF(AS326&lt;='组合输入'!$K10,"AAA",IF(AS326&lt;='组合输入'!$L10,"AA",IF(AS326&lt;='组合输入'!$M10,"A",IF(AS326&lt;='组合输入'!$N10,"BBB",IF(AS326&lt;='组合输入'!$O10,"BB",IF(AS326&lt;='组合输入'!$P10,"B",IF(AS326&lt;='组合输入'!$Q10,"CCC","D")))))))</f>
        <v/>
      </c>
      <c r="AU326" s="12">
        <f>IF(AT326="","",INDEX('状态价值'!$D10:$K10,MATCH(AT326,'状态价值'!$D$1:$K$1,0)))</f>
        <v/>
      </c>
      <c r="AV326" s="15">
        <f>NORM.S.INV(RAND())</f>
        <v/>
      </c>
      <c r="AW326" s="15">
        <f>IF('组合输入'!$C11="","",'组合输入'!$H11*$B326+SQRT(1-'组合输入'!$H11^2)*AV326)</f>
        <v/>
      </c>
      <c r="AX326" s="7">
        <f>IF(AW326="","",NORM.S.DIST(AW326,TRUE))</f>
        <v/>
      </c>
      <c r="AY326" s="13">
        <f>IF(AX326="","",IF(AX326&lt;='组合输入'!$K11,"AAA",IF(AX326&lt;='组合输入'!$L11,"AA",IF(AX326&lt;='组合输入'!$M11,"A",IF(AX326&lt;='组合输入'!$N11,"BBB",IF(AX326&lt;='组合输入'!$O11,"BB",IF(AX326&lt;='组合输入'!$P11,"B",IF(AX326&lt;='组合输入'!$Q11,"CCC","D")))))))</f>
        <v/>
      </c>
      <c r="AZ326" s="12">
        <f>IF(AY326="","",INDEX('状态价值'!$D11:$K11,MATCH(AY326,'状态价值'!$D$1:$K$1,0)))</f>
        <v/>
      </c>
      <c r="BA326" s="12">
        <f>G326+L326+Q326+V326+AA326+AF326+AK326+AP326+AU326+AZ326</f>
        <v/>
      </c>
      <c r="BB326" s="12">
        <f>SUM('组合输入'!$J$2:$J$11)-BA326</f>
        <v/>
      </c>
    </row>
    <row r="327">
      <c r="A327" s="11" t="n">
        <v>326</v>
      </c>
      <c r="B327" s="14">
        <f>NORM.S.INV(RAND())</f>
        <v/>
      </c>
      <c r="C327" s="14">
        <f>NORM.S.INV(RAND())</f>
        <v/>
      </c>
      <c r="D327" s="15">
        <f>IF('组合输入'!$C2="","",'组合输入'!$H2*$B327+SQRT(1-'组合输入'!$H2^2)*C327)</f>
        <v/>
      </c>
      <c r="E327" s="7">
        <f>IF(D327="","",NORM.S.DIST(D327,TRUE))</f>
        <v/>
      </c>
      <c r="F327" s="13">
        <f>IF(E327="","",IF(E327&lt;='组合输入'!$K2,"AAA",IF(E327&lt;='组合输入'!$L2,"AA",IF(E327&lt;='组合输入'!$M2,"A",IF(E327&lt;='组合输入'!$N2,"BBB",IF(E327&lt;='组合输入'!$O2,"BB",IF(E327&lt;='组合输入'!$P2,"B",IF(E327&lt;='组合输入'!$Q2,"CCC","D")))))))</f>
        <v/>
      </c>
      <c r="G327" s="12">
        <f>IF(F327="","",INDEX('状态价值'!$D2:$K2,MATCH(F327,'状态价值'!$D$1:$K$1,0)))</f>
        <v/>
      </c>
      <c r="H327" s="15">
        <f>NORM.S.INV(RAND())</f>
        <v/>
      </c>
      <c r="I327" s="15">
        <f>IF('组合输入'!$C3="","",'组合输入'!$H3*$B327+SQRT(1-'组合输入'!$H3^2)*H327)</f>
        <v/>
      </c>
      <c r="J327" s="7">
        <f>IF(I327="","",NORM.S.DIST(I327,TRUE))</f>
        <v/>
      </c>
      <c r="K327" s="13">
        <f>IF(J327="","",IF(J327&lt;='组合输入'!$K3,"AAA",IF(J327&lt;='组合输入'!$L3,"AA",IF(J327&lt;='组合输入'!$M3,"A",IF(J327&lt;='组合输入'!$N3,"BBB",IF(J327&lt;='组合输入'!$O3,"BB",IF(J327&lt;='组合输入'!$P3,"B",IF(J327&lt;='组合输入'!$Q3,"CCC","D")))))))</f>
        <v/>
      </c>
      <c r="L327" s="12">
        <f>IF(K327="","",INDEX('状态价值'!$D3:$K3,MATCH(K327,'状态价值'!$D$1:$K$1,0)))</f>
        <v/>
      </c>
      <c r="M327" s="15">
        <f>NORM.S.INV(RAND())</f>
        <v/>
      </c>
      <c r="N327" s="15">
        <f>IF('组合输入'!$C4="","",'组合输入'!$H4*$B327+SQRT(1-'组合输入'!$H4^2)*M327)</f>
        <v/>
      </c>
      <c r="O327" s="7">
        <f>IF(N327="","",NORM.S.DIST(N327,TRUE))</f>
        <v/>
      </c>
      <c r="P327" s="13">
        <f>IF(O327="","",IF(O327&lt;='组合输入'!$K4,"AAA",IF(O327&lt;='组合输入'!$L4,"AA",IF(O327&lt;='组合输入'!$M4,"A",IF(O327&lt;='组合输入'!$N4,"BBB",IF(O327&lt;='组合输入'!$O4,"BB",IF(O327&lt;='组合输入'!$P4,"B",IF(O327&lt;='组合输入'!$Q4,"CCC","D")))))))</f>
        <v/>
      </c>
      <c r="Q327" s="12">
        <f>IF(P327="","",INDEX('状态价值'!$D4:$K4,MATCH(P327,'状态价值'!$D$1:$K$1,0)))</f>
        <v/>
      </c>
      <c r="R327" s="15">
        <f>NORM.S.INV(RAND())</f>
        <v/>
      </c>
      <c r="S327" s="15">
        <f>IF('组合输入'!$C5="","",'组合输入'!$H5*$B327+SQRT(1-'组合输入'!$H5^2)*R327)</f>
        <v/>
      </c>
      <c r="T327" s="7">
        <f>IF(S327="","",NORM.S.DIST(S327,TRUE))</f>
        <v/>
      </c>
      <c r="U327" s="13">
        <f>IF(T327="","",IF(T327&lt;='组合输入'!$K5,"AAA",IF(T327&lt;='组合输入'!$L5,"AA",IF(T327&lt;='组合输入'!$M5,"A",IF(T327&lt;='组合输入'!$N5,"BBB",IF(T327&lt;='组合输入'!$O5,"BB",IF(T327&lt;='组合输入'!$P5,"B",IF(T327&lt;='组合输入'!$Q5,"CCC","D")))))))</f>
        <v/>
      </c>
      <c r="V327" s="12">
        <f>IF(U327="","",INDEX('状态价值'!$D5:$K5,MATCH(U327,'状态价值'!$D$1:$K$1,0)))</f>
        <v/>
      </c>
      <c r="W327" s="15">
        <f>NORM.S.INV(RAND())</f>
        <v/>
      </c>
      <c r="X327" s="15">
        <f>IF('组合输入'!$C6="","",'组合输入'!$H6*$B327+SQRT(1-'组合输入'!$H6^2)*W327)</f>
        <v/>
      </c>
      <c r="Y327" s="7">
        <f>IF(X327="","",NORM.S.DIST(X327,TRUE))</f>
        <v/>
      </c>
      <c r="Z327" s="13">
        <f>IF(Y327="","",IF(Y327&lt;='组合输入'!$K6,"AAA",IF(Y327&lt;='组合输入'!$L6,"AA",IF(Y327&lt;='组合输入'!$M6,"A",IF(Y327&lt;='组合输入'!$N6,"BBB",IF(Y327&lt;='组合输入'!$O6,"BB",IF(Y327&lt;='组合输入'!$P6,"B",IF(Y327&lt;='组合输入'!$Q6,"CCC","D")))))))</f>
        <v/>
      </c>
      <c r="AA327" s="12">
        <f>IF(Z327="","",INDEX('状态价值'!$D6:$K6,MATCH(Z327,'状态价值'!$D$1:$K$1,0)))</f>
        <v/>
      </c>
      <c r="AB327" s="15">
        <f>NORM.S.INV(RAND())</f>
        <v/>
      </c>
      <c r="AC327" s="15">
        <f>IF('组合输入'!$C7="","",'组合输入'!$H7*$B327+SQRT(1-'组合输入'!$H7^2)*AB327)</f>
        <v/>
      </c>
      <c r="AD327" s="7">
        <f>IF(AC327="","",NORM.S.DIST(AC327,TRUE))</f>
        <v/>
      </c>
      <c r="AE327" s="13">
        <f>IF(AD327="","",IF(AD327&lt;='组合输入'!$K7,"AAA",IF(AD327&lt;='组合输入'!$L7,"AA",IF(AD327&lt;='组合输入'!$M7,"A",IF(AD327&lt;='组合输入'!$N7,"BBB",IF(AD327&lt;='组合输入'!$O7,"BB",IF(AD327&lt;='组合输入'!$P7,"B",IF(AD327&lt;='组合输入'!$Q7,"CCC","D")))))))</f>
        <v/>
      </c>
      <c r="AF327" s="12">
        <f>IF(AE327="","",INDEX('状态价值'!$D7:$K7,MATCH(AE327,'状态价值'!$D$1:$K$1,0)))</f>
        <v/>
      </c>
      <c r="AG327" s="15">
        <f>NORM.S.INV(RAND())</f>
        <v/>
      </c>
      <c r="AH327" s="15">
        <f>IF('组合输入'!$C8="","",'组合输入'!$H8*$B327+SQRT(1-'组合输入'!$H8^2)*AG327)</f>
        <v/>
      </c>
      <c r="AI327" s="7">
        <f>IF(AH327="","",NORM.S.DIST(AH327,TRUE))</f>
        <v/>
      </c>
      <c r="AJ327" s="13">
        <f>IF(AI327="","",IF(AI327&lt;='组合输入'!$K8,"AAA",IF(AI327&lt;='组合输入'!$L8,"AA",IF(AI327&lt;='组合输入'!$M8,"A",IF(AI327&lt;='组合输入'!$N8,"BBB",IF(AI327&lt;='组合输入'!$O8,"BB",IF(AI327&lt;='组合输入'!$P8,"B",IF(AI327&lt;='组合输入'!$Q8,"CCC","D")))))))</f>
        <v/>
      </c>
      <c r="AK327" s="12">
        <f>IF(AJ327="","",INDEX('状态价值'!$D8:$K8,MATCH(AJ327,'状态价值'!$D$1:$K$1,0)))</f>
        <v/>
      </c>
      <c r="AL327" s="15">
        <f>NORM.S.INV(RAND())</f>
        <v/>
      </c>
      <c r="AM327" s="15">
        <f>IF('组合输入'!$C9="","",'组合输入'!$H9*$B327+SQRT(1-'组合输入'!$H9^2)*AL327)</f>
        <v/>
      </c>
      <c r="AN327" s="7">
        <f>IF(AM327="","",NORM.S.DIST(AM327,TRUE))</f>
        <v/>
      </c>
      <c r="AO327" s="13">
        <f>IF(AN327="","",IF(AN327&lt;='组合输入'!$K9,"AAA",IF(AN327&lt;='组合输入'!$L9,"AA",IF(AN327&lt;='组合输入'!$M9,"A",IF(AN327&lt;='组合输入'!$N9,"BBB",IF(AN327&lt;='组合输入'!$O9,"BB",IF(AN327&lt;='组合输入'!$P9,"B",IF(AN327&lt;='组合输入'!$Q9,"CCC","D")))))))</f>
        <v/>
      </c>
      <c r="AP327" s="12">
        <f>IF(AO327="","",INDEX('状态价值'!$D9:$K9,MATCH(AO327,'状态价值'!$D$1:$K$1,0)))</f>
        <v/>
      </c>
      <c r="AQ327" s="15">
        <f>NORM.S.INV(RAND())</f>
        <v/>
      </c>
      <c r="AR327" s="15">
        <f>IF('组合输入'!$C10="","",'组合输入'!$H10*$B327+SQRT(1-'组合输入'!$H10^2)*AQ327)</f>
        <v/>
      </c>
      <c r="AS327" s="7">
        <f>IF(AR327="","",NORM.S.DIST(AR327,TRUE))</f>
        <v/>
      </c>
      <c r="AT327" s="13">
        <f>IF(AS327="","",IF(AS327&lt;='组合输入'!$K10,"AAA",IF(AS327&lt;='组合输入'!$L10,"AA",IF(AS327&lt;='组合输入'!$M10,"A",IF(AS327&lt;='组合输入'!$N10,"BBB",IF(AS327&lt;='组合输入'!$O10,"BB",IF(AS327&lt;='组合输入'!$P10,"B",IF(AS327&lt;='组合输入'!$Q10,"CCC","D")))))))</f>
        <v/>
      </c>
      <c r="AU327" s="12">
        <f>IF(AT327="","",INDEX('状态价值'!$D10:$K10,MATCH(AT327,'状态价值'!$D$1:$K$1,0)))</f>
        <v/>
      </c>
      <c r="AV327" s="15">
        <f>NORM.S.INV(RAND())</f>
        <v/>
      </c>
      <c r="AW327" s="15">
        <f>IF('组合输入'!$C11="","",'组合输入'!$H11*$B327+SQRT(1-'组合输入'!$H11^2)*AV327)</f>
        <v/>
      </c>
      <c r="AX327" s="7">
        <f>IF(AW327="","",NORM.S.DIST(AW327,TRUE))</f>
        <v/>
      </c>
      <c r="AY327" s="13">
        <f>IF(AX327="","",IF(AX327&lt;='组合输入'!$K11,"AAA",IF(AX327&lt;='组合输入'!$L11,"AA",IF(AX327&lt;='组合输入'!$M11,"A",IF(AX327&lt;='组合输入'!$N11,"BBB",IF(AX327&lt;='组合输入'!$O11,"BB",IF(AX327&lt;='组合输入'!$P11,"B",IF(AX327&lt;='组合输入'!$Q11,"CCC","D")))))))</f>
        <v/>
      </c>
      <c r="AZ327" s="12">
        <f>IF(AY327="","",INDEX('状态价值'!$D11:$K11,MATCH(AY327,'状态价值'!$D$1:$K$1,0)))</f>
        <v/>
      </c>
      <c r="BA327" s="12">
        <f>G327+L327+Q327+V327+AA327+AF327+AK327+AP327+AU327+AZ327</f>
        <v/>
      </c>
      <c r="BB327" s="12">
        <f>SUM('组合输入'!$J$2:$J$11)-BA327</f>
        <v/>
      </c>
    </row>
    <row r="328">
      <c r="A328" s="11" t="n">
        <v>327</v>
      </c>
      <c r="B328" s="14">
        <f>NORM.S.INV(RAND())</f>
        <v/>
      </c>
      <c r="C328" s="14">
        <f>NORM.S.INV(RAND())</f>
        <v/>
      </c>
      <c r="D328" s="15">
        <f>IF('组合输入'!$C2="","",'组合输入'!$H2*$B328+SQRT(1-'组合输入'!$H2^2)*C328)</f>
        <v/>
      </c>
      <c r="E328" s="7">
        <f>IF(D328="","",NORM.S.DIST(D328,TRUE))</f>
        <v/>
      </c>
      <c r="F328" s="13">
        <f>IF(E328="","",IF(E328&lt;='组合输入'!$K2,"AAA",IF(E328&lt;='组合输入'!$L2,"AA",IF(E328&lt;='组合输入'!$M2,"A",IF(E328&lt;='组合输入'!$N2,"BBB",IF(E328&lt;='组合输入'!$O2,"BB",IF(E328&lt;='组合输入'!$P2,"B",IF(E328&lt;='组合输入'!$Q2,"CCC","D")))))))</f>
        <v/>
      </c>
      <c r="G328" s="12">
        <f>IF(F328="","",INDEX('状态价值'!$D2:$K2,MATCH(F328,'状态价值'!$D$1:$K$1,0)))</f>
        <v/>
      </c>
      <c r="H328" s="15">
        <f>NORM.S.INV(RAND())</f>
        <v/>
      </c>
      <c r="I328" s="15">
        <f>IF('组合输入'!$C3="","",'组合输入'!$H3*$B328+SQRT(1-'组合输入'!$H3^2)*H328)</f>
        <v/>
      </c>
      <c r="J328" s="7">
        <f>IF(I328="","",NORM.S.DIST(I328,TRUE))</f>
        <v/>
      </c>
      <c r="K328" s="13">
        <f>IF(J328="","",IF(J328&lt;='组合输入'!$K3,"AAA",IF(J328&lt;='组合输入'!$L3,"AA",IF(J328&lt;='组合输入'!$M3,"A",IF(J328&lt;='组合输入'!$N3,"BBB",IF(J328&lt;='组合输入'!$O3,"BB",IF(J328&lt;='组合输入'!$P3,"B",IF(J328&lt;='组合输入'!$Q3,"CCC","D")))))))</f>
        <v/>
      </c>
      <c r="L328" s="12">
        <f>IF(K328="","",INDEX('状态价值'!$D3:$K3,MATCH(K328,'状态价值'!$D$1:$K$1,0)))</f>
        <v/>
      </c>
      <c r="M328" s="15">
        <f>NORM.S.INV(RAND())</f>
        <v/>
      </c>
      <c r="N328" s="15">
        <f>IF('组合输入'!$C4="","",'组合输入'!$H4*$B328+SQRT(1-'组合输入'!$H4^2)*M328)</f>
        <v/>
      </c>
      <c r="O328" s="7">
        <f>IF(N328="","",NORM.S.DIST(N328,TRUE))</f>
        <v/>
      </c>
      <c r="P328" s="13">
        <f>IF(O328="","",IF(O328&lt;='组合输入'!$K4,"AAA",IF(O328&lt;='组合输入'!$L4,"AA",IF(O328&lt;='组合输入'!$M4,"A",IF(O328&lt;='组合输入'!$N4,"BBB",IF(O328&lt;='组合输入'!$O4,"BB",IF(O328&lt;='组合输入'!$P4,"B",IF(O328&lt;='组合输入'!$Q4,"CCC","D")))))))</f>
        <v/>
      </c>
      <c r="Q328" s="12">
        <f>IF(P328="","",INDEX('状态价值'!$D4:$K4,MATCH(P328,'状态价值'!$D$1:$K$1,0)))</f>
        <v/>
      </c>
      <c r="R328" s="15">
        <f>NORM.S.INV(RAND())</f>
        <v/>
      </c>
      <c r="S328" s="15">
        <f>IF('组合输入'!$C5="","",'组合输入'!$H5*$B328+SQRT(1-'组合输入'!$H5^2)*R328)</f>
        <v/>
      </c>
      <c r="T328" s="7">
        <f>IF(S328="","",NORM.S.DIST(S328,TRUE))</f>
        <v/>
      </c>
      <c r="U328" s="13">
        <f>IF(T328="","",IF(T328&lt;='组合输入'!$K5,"AAA",IF(T328&lt;='组合输入'!$L5,"AA",IF(T328&lt;='组合输入'!$M5,"A",IF(T328&lt;='组合输入'!$N5,"BBB",IF(T328&lt;='组合输入'!$O5,"BB",IF(T328&lt;='组合输入'!$P5,"B",IF(T328&lt;='组合输入'!$Q5,"CCC","D")))))))</f>
        <v/>
      </c>
      <c r="V328" s="12">
        <f>IF(U328="","",INDEX('状态价值'!$D5:$K5,MATCH(U328,'状态价值'!$D$1:$K$1,0)))</f>
        <v/>
      </c>
      <c r="W328" s="15">
        <f>NORM.S.INV(RAND())</f>
        <v/>
      </c>
      <c r="X328" s="15">
        <f>IF('组合输入'!$C6="","",'组合输入'!$H6*$B328+SQRT(1-'组合输入'!$H6^2)*W328)</f>
        <v/>
      </c>
      <c r="Y328" s="7">
        <f>IF(X328="","",NORM.S.DIST(X328,TRUE))</f>
        <v/>
      </c>
      <c r="Z328" s="13">
        <f>IF(Y328="","",IF(Y328&lt;='组合输入'!$K6,"AAA",IF(Y328&lt;='组合输入'!$L6,"AA",IF(Y328&lt;='组合输入'!$M6,"A",IF(Y328&lt;='组合输入'!$N6,"BBB",IF(Y328&lt;='组合输入'!$O6,"BB",IF(Y328&lt;='组合输入'!$P6,"B",IF(Y328&lt;='组合输入'!$Q6,"CCC","D")))))))</f>
        <v/>
      </c>
      <c r="AA328" s="12">
        <f>IF(Z328="","",INDEX('状态价值'!$D6:$K6,MATCH(Z328,'状态价值'!$D$1:$K$1,0)))</f>
        <v/>
      </c>
      <c r="AB328" s="15">
        <f>NORM.S.INV(RAND())</f>
        <v/>
      </c>
      <c r="AC328" s="15">
        <f>IF('组合输入'!$C7="","",'组合输入'!$H7*$B328+SQRT(1-'组合输入'!$H7^2)*AB328)</f>
        <v/>
      </c>
      <c r="AD328" s="7">
        <f>IF(AC328="","",NORM.S.DIST(AC328,TRUE))</f>
        <v/>
      </c>
      <c r="AE328" s="13">
        <f>IF(AD328="","",IF(AD328&lt;='组合输入'!$K7,"AAA",IF(AD328&lt;='组合输入'!$L7,"AA",IF(AD328&lt;='组合输入'!$M7,"A",IF(AD328&lt;='组合输入'!$N7,"BBB",IF(AD328&lt;='组合输入'!$O7,"BB",IF(AD328&lt;='组合输入'!$P7,"B",IF(AD328&lt;='组合输入'!$Q7,"CCC","D")))))))</f>
        <v/>
      </c>
      <c r="AF328" s="12">
        <f>IF(AE328="","",INDEX('状态价值'!$D7:$K7,MATCH(AE328,'状态价值'!$D$1:$K$1,0)))</f>
        <v/>
      </c>
      <c r="AG328" s="15">
        <f>NORM.S.INV(RAND())</f>
        <v/>
      </c>
      <c r="AH328" s="15">
        <f>IF('组合输入'!$C8="","",'组合输入'!$H8*$B328+SQRT(1-'组合输入'!$H8^2)*AG328)</f>
        <v/>
      </c>
      <c r="AI328" s="7">
        <f>IF(AH328="","",NORM.S.DIST(AH328,TRUE))</f>
        <v/>
      </c>
      <c r="AJ328" s="13">
        <f>IF(AI328="","",IF(AI328&lt;='组合输入'!$K8,"AAA",IF(AI328&lt;='组合输入'!$L8,"AA",IF(AI328&lt;='组合输入'!$M8,"A",IF(AI328&lt;='组合输入'!$N8,"BBB",IF(AI328&lt;='组合输入'!$O8,"BB",IF(AI328&lt;='组合输入'!$P8,"B",IF(AI328&lt;='组合输入'!$Q8,"CCC","D")))))))</f>
        <v/>
      </c>
      <c r="AK328" s="12">
        <f>IF(AJ328="","",INDEX('状态价值'!$D8:$K8,MATCH(AJ328,'状态价值'!$D$1:$K$1,0)))</f>
        <v/>
      </c>
      <c r="AL328" s="15">
        <f>NORM.S.INV(RAND())</f>
        <v/>
      </c>
      <c r="AM328" s="15">
        <f>IF('组合输入'!$C9="","",'组合输入'!$H9*$B328+SQRT(1-'组合输入'!$H9^2)*AL328)</f>
        <v/>
      </c>
      <c r="AN328" s="7">
        <f>IF(AM328="","",NORM.S.DIST(AM328,TRUE))</f>
        <v/>
      </c>
      <c r="AO328" s="13">
        <f>IF(AN328="","",IF(AN328&lt;='组合输入'!$K9,"AAA",IF(AN328&lt;='组合输入'!$L9,"AA",IF(AN328&lt;='组合输入'!$M9,"A",IF(AN328&lt;='组合输入'!$N9,"BBB",IF(AN328&lt;='组合输入'!$O9,"BB",IF(AN328&lt;='组合输入'!$P9,"B",IF(AN328&lt;='组合输入'!$Q9,"CCC","D")))))))</f>
        <v/>
      </c>
      <c r="AP328" s="12">
        <f>IF(AO328="","",INDEX('状态价值'!$D9:$K9,MATCH(AO328,'状态价值'!$D$1:$K$1,0)))</f>
        <v/>
      </c>
      <c r="AQ328" s="15">
        <f>NORM.S.INV(RAND())</f>
        <v/>
      </c>
      <c r="AR328" s="15">
        <f>IF('组合输入'!$C10="","",'组合输入'!$H10*$B328+SQRT(1-'组合输入'!$H10^2)*AQ328)</f>
        <v/>
      </c>
      <c r="AS328" s="7">
        <f>IF(AR328="","",NORM.S.DIST(AR328,TRUE))</f>
        <v/>
      </c>
      <c r="AT328" s="13">
        <f>IF(AS328="","",IF(AS328&lt;='组合输入'!$K10,"AAA",IF(AS328&lt;='组合输入'!$L10,"AA",IF(AS328&lt;='组合输入'!$M10,"A",IF(AS328&lt;='组合输入'!$N10,"BBB",IF(AS328&lt;='组合输入'!$O10,"BB",IF(AS328&lt;='组合输入'!$P10,"B",IF(AS328&lt;='组合输入'!$Q10,"CCC","D")))))))</f>
        <v/>
      </c>
      <c r="AU328" s="12">
        <f>IF(AT328="","",INDEX('状态价值'!$D10:$K10,MATCH(AT328,'状态价值'!$D$1:$K$1,0)))</f>
        <v/>
      </c>
      <c r="AV328" s="15">
        <f>NORM.S.INV(RAND())</f>
        <v/>
      </c>
      <c r="AW328" s="15">
        <f>IF('组合输入'!$C11="","",'组合输入'!$H11*$B328+SQRT(1-'组合输入'!$H11^2)*AV328)</f>
        <v/>
      </c>
      <c r="AX328" s="7">
        <f>IF(AW328="","",NORM.S.DIST(AW328,TRUE))</f>
        <v/>
      </c>
      <c r="AY328" s="13">
        <f>IF(AX328="","",IF(AX328&lt;='组合输入'!$K11,"AAA",IF(AX328&lt;='组合输入'!$L11,"AA",IF(AX328&lt;='组合输入'!$M11,"A",IF(AX328&lt;='组合输入'!$N11,"BBB",IF(AX328&lt;='组合输入'!$O11,"BB",IF(AX328&lt;='组合输入'!$P11,"B",IF(AX328&lt;='组合输入'!$Q11,"CCC","D")))))))</f>
        <v/>
      </c>
      <c r="AZ328" s="12">
        <f>IF(AY328="","",INDEX('状态价值'!$D11:$K11,MATCH(AY328,'状态价值'!$D$1:$K$1,0)))</f>
        <v/>
      </c>
      <c r="BA328" s="12">
        <f>G328+L328+Q328+V328+AA328+AF328+AK328+AP328+AU328+AZ328</f>
        <v/>
      </c>
      <c r="BB328" s="12">
        <f>SUM('组合输入'!$J$2:$J$11)-BA328</f>
        <v/>
      </c>
    </row>
    <row r="329">
      <c r="A329" s="11" t="n">
        <v>328</v>
      </c>
      <c r="B329" s="14">
        <f>NORM.S.INV(RAND())</f>
        <v/>
      </c>
      <c r="C329" s="14">
        <f>NORM.S.INV(RAND())</f>
        <v/>
      </c>
      <c r="D329" s="15">
        <f>IF('组合输入'!$C2="","",'组合输入'!$H2*$B329+SQRT(1-'组合输入'!$H2^2)*C329)</f>
        <v/>
      </c>
      <c r="E329" s="7">
        <f>IF(D329="","",NORM.S.DIST(D329,TRUE))</f>
        <v/>
      </c>
      <c r="F329" s="13">
        <f>IF(E329="","",IF(E329&lt;='组合输入'!$K2,"AAA",IF(E329&lt;='组合输入'!$L2,"AA",IF(E329&lt;='组合输入'!$M2,"A",IF(E329&lt;='组合输入'!$N2,"BBB",IF(E329&lt;='组合输入'!$O2,"BB",IF(E329&lt;='组合输入'!$P2,"B",IF(E329&lt;='组合输入'!$Q2,"CCC","D")))))))</f>
        <v/>
      </c>
      <c r="G329" s="12">
        <f>IF(F329="","",INDEX('状态价值'!$D2:$K2,MATCH(F329,'状态价值'!$D$1:$K$1,0)))</f>
        <v/>
      </c>
      <c r="H329" s="15">
        <f>NORM.S.INV(RAND())</f>
        <v/>
      </c>
      <c r="I329" s="15">
        <f>IF('组合输入'!$C3="","",'组合输入'!$H3*$B329+SQRT(1-'组合输入'!$H3^2)*H329)</f>
        <v/>
      </c>
      <c r="J329" s="7">
        <f>IF(I329="","",NORM.S.DIST(I329,TRUE))</f>
        <v/>
      </c>
      <c r="K329" s="13">
        <f>IF(J329="","",IF(J329&lt;='组合输入'!$K3,"AAA",IF(J329&lt;='组合输入'!$L3,"AA",IF(J329&lt;='组合输入'!$M3,"A",IF(J329&lt;='组合输入'!$N3,"BBB",IF(J329&lt;='组合输入'!$O3,"BB",IF(J329&lt;='组合输入'!$P3,"B",IF(J329&lt;='组合输入'!$Q3,"CCC","D")))))))</f>
        <v/>
      </c>
      <c r="L329" s="12">
        <f>IF(K329="","",INDEX('状态价值'!$D3:$K3,MATCH(K329,'状态价值'!$D$1:$K$1,0)))</f>
        <v/>
      </c>
      <c r="M329" s="15">
        <f>NORM.S.INV(RAND())</f>
        <v/>
      </c>
      <c r="N329" s="15">
        <f>IF('组合输入'!$C4="","",'组合输入'!$H4*$B329+SQRT(1-'组合输入'!$H4^2)*M329)</f>
        <v/>
      </c>
      <c r="O329" s="7">
        <f>IF(N329="","",NORM.S.DIST(N329,TRUE))</f>
        <v/>
      </c>
      <c r="P329" s="13">
        <f>IF(O329="","",IF(O329&lt;='组合输入'!$K4,"AAA",IF(O329&lt;='组合输入'!$L4,"AA",IF(O329&lt;='组合输入'!$M4,"A",IF(O329&lt;='组合输入'!$N4,"BBB",IF(O329&lt;='组合输入'!$O4,"BB",IF(O329&lt;='组合输入'!$P4,"B",IF(O329&lt;='组合输入'!$Q4,"CCC","D")))))))</f>
        <v/>
      </c>
      <c r="Q329" s="12">
        <f>IF(P329="","",INDEX('状态价值'!$D4:$K4,MATCH(P329,'状态价值'!$D$1:$K$1,0)))</f>
        <v/>
      </c>
      <c r="R329" s="15">
        <f>NORM.S.INV(RAND())</f>
        <v/>
      </c>
      <c r="S329" s="15">
        <f>IF('组合输入'!$C5="","",'组合输入'!$H5*$B329+SQRT(1-'组合输入'!$H5^2)*R329)</f>
        <v/>
      </c>
      <c r="T329" s="7">
        <f>IF(S329="","",NORM.S.DIST(S329,TRUE))</f>
        <v/>
      </c>
      <c r="U329" s="13">
        <f>IF(T329="","",IF(T329&lt;='组合输入'!$K5,"AAA",IF(T329&lt;='组合输入'!$L5,"AA",IF(T329&lt;='组合输入'!$M5,"A",IF(T329&lt;='组合输入'!$N5,"BBB",IF(T329&lt;='组合输入'!$O5,"BB",IF(T329&lt;='组合输入'!$P5,"B",IF(T329&lt;='组合输入'!$Q5,"CCC","D")))))))</f>
        <v/>
      </c>
      <c r="V329" s="12">
        <f>IF(U329="","",INDEX('状态价值'!$D5:$K5,MATCH(U329,'状态价值'!$D$1:$K$1,0)))</f>
        <v/>
      </c>
      <c r="W329" s="15">
        <f>NORM.S.INV(RAND())</f>
        <v/>
      </c>
      <c r="X329" s="15">
        <f>IF('组合输入'!$C6="","",'组合输入'!$H6*$B329+SQRT(1-'组合输入'!$H6^2)*W329)</f>
        <v/>
      </c>
      <c r="Y329" s="7">
        <f>IF(X329="","",NORM.S.DIST(X329,TRUE))</f>
        <v/>
      </c>
      <c r="Z329" s="13">
        <f>IF(Y329="","",IF(Y329&lt;='组合输入'!$K6,"AAA",IF(Y329&lt;='组合输入'!$L6,"AA",IF(Y329&lt;='组合输入'!$M6,"A",IF(Y329&lt;='组合输入'!$N6,"BBB",IF(Y329&lt;='组合输入'!$O6,"BB",IF(Y329&lt;='组合输入'!$P6,"B",IF(Y329&lt;='组合输入'!$Q6,"CCC","D")))))))</f>
        <v/>
      </c>
      <c r="AA329" s="12">
        <f>IF(Z329="","",INDEX('状态价值'!$D6:$K6,MATCH(Z329,'状态价值'!$D$1:$K$1,0)))</f>
        <v/>
      </c>
      <c r="AB329" s="15">
        <f>NORM.S.INV(RAND())</f>
        <v/>
      </c>
      <c r="AC329" s="15">
        <f>IF('组合输入'!$C7="","",'组合输入'!$H7*$B329+SQRT(1-'组合输入'!$H7^2)*AB329)</f>
        <v/>
      </c>
      <c r="AD329" s="7">
        <f>IF(AC329="","",NORM.S.DIST(AC329,TRUE))</f>
        <v/>
      </c>
      <c r="AE329" s="13">
        <f>IF(AD329="","",IF(AD329&lt;='组合输入'!$K7,"AAA",IF(AD329&lt;='组合输入'!$L7,"AA",IF(AD329&lt;='组合输入'!$M7,"A",IF(AD329&lt;='组合输入'!$N7,"BBB",IF(AD329&lt;='组合输入'!$O7,"BB",IF(AD329&lt;='组合输入'!$P7,"B",IF(AD329&lt;='组合输入'!$Q7,"CCC","D")))))))</f>
        <v/>
      </c>
      <c r="AF329" s="12">
        <f>IF(AE329="","",INDEX('状态价值'!$D7:$K7,MATCH(AE329,'状态价值'!$D$1:$K$1,0)))</f>
        <v/>
      </c>
      <c r="AG329" s="15">
        <f>NORM.S.INV(RAND())</f>
        <v/>
      </c>
      <c r="AH329" s="15">
        <f>IF('组合输入'!$C8="","",'组合输入'!$H8*$B329+SQRT(1-'组合输入'!$H8^2)*AG329)</f>
        <v/>
      </c>
      <c r="AI329" s="7">
        <f>IF(AH329="","",NORM.S.DIST(AH329,TRUE))</f>
        <v/>
      </c>
      <c r="AJ329" s="13">
        <f>IF(AI329="","",IF(AI329&lt;='组合输入'!$K8,"AAA",IF(AI329&lt;='组合输入'!$L8,"AA",IF(AI329&lt;='组合输入'!$M8,"A",IF(AI329&lt;='组合输入'!$N8,"BBB",IF(AI329&lt;='组合输入'!$O8,"BB",IF(AI329&lt;='组合输入'!$P8,"B",IF(AI329&lt;='组合输入'!$Q8,"CCC","D")))))))</f>
        <v/>
      </c>
      <c r="AK329" s="12">
        <f>IF(AJ329="","",INDEX('状态价值'!$D8:$K8,MATCH(AJ329,'状态价值'!$D$1:$K$1,0)))</f>
        <v/>
      </c>
      <c r="AL329" s="15">
        <f>NORM.S.INV(RAND())</f>
        <v/>
      </c>
      <c r="AM329" s="15">
        <f>IF('组合输入'!$C9="","",'组合输入'!$H9*$B329+SQRT(1-'组合输入'!$H9^2)*AL329)</f>
        <v/>
      </c>
      <c r="AN329" s="7">
        <f>IF(AM329="","",NORM.S.DIST(AM329,TRUE))</f>
        <v/>
      </c>
      <c r="AO329" s="13">
        <f>IF(AN329="","",IF(AN329&lt;='组合输入'!$K9,"AAA",IF(AN329&lt;='组合输入'!$L9,"AA",IF(AN329&lt;='组合输入'!$M9,"A",IF(AN329&lt;='组合输入'!$N9,"BBB",IF(AN329&lt;='组合输入'!$O9,"BB",IF(AN329&lt;='组合输入'!$P9,"B",IF(AN329&lt;='组合输入'!$Q9,"CCC","D")))))))</f>
        <v/>
      </c>
      <c r="AP329" s="12">
        <f>IF(AO329="","",INDEX('状态价值'!$D9:$K9,MATCH(AO329,'状态价值'!$D$1:$K$1,0)))</f>
        <v/>
      </c>
      <c r="AQ329" s="15">
        <f>NORM.S.INV(RAND())</f>
        <v/>
      </c>
      <c r="AR329" s="15">
        <f>IF('组合输入'!$C10="","",'组合输入'!$H10*$B329+SQRT(1-'组合输入'!$H10^2)*AQ329)</f>
        <v/>
      </c>
      <c r="AS329" s="7">
        <f>IF(AR329="","",NORM.S.DIST(AR329,TRUE))</f>
        <v/>
      </c>
      <c r="AT329" s="13">
        <f>IF(AS329="","",IF(AS329&lt;='组合输入'!$K10,"AAA",IF(AS329&lt;='组合输入'!$L10,"AA",IF(AS329&lt;='组合输入'!$M10,"A",IF(AS329&lt;='组合输入'!$N10,"BBB",IF(AS329&lt;='组合输入'!$O10,"BB",IF(AS329&lt;='组合输入'!$P10,"B",IF(AS329&lt;='组合输入'!$Q10,"CCC","D")))))))</f>
        <v/>
      </c>
      <c r="AU329" s="12">
        <f>IF(AT329="","",INDEX('状态价值'!$D10:$K10,MATCH(AT329,'状态价值'!$D$1:$K$1,0)))</f>
        <v/>
      </c>
      <c r="AV329" s="15">
        <f>NORM.S.INV(RAND())</f>
        <v/>
      </c>
      <c r="AW329" s="15">
        <f>IF('组合输入'!$C11="","",'组合输入'!$H11*$B329+SQRT(1-'组合输入'!$H11^2)*AV329)</f>
        <v/>
      </c>
      <c r="AX329" s="7">
        <f>IF(AW329="","",NORM.S.DIST(AW329,TRUE))</f>
        <v/>
      </c>
      <c r="AY329" s="13">
        <f>IF(AX329="","",IF(AX329&lt;='组合输入'!$K11,"AAA",IF(AX329&lt;='组合输入'!$L11,"AA",IF(AX329&lt;='组合输入'!$M11,"A",IF(AX329&lt;='组合输入'!$N11,"BBB",IF(AX329&lt;='组合输入'!$O11,"BB",IF(AX329&lt;='组合输入'!$P11,"B",IF(AX329&lt;='组合输入'!$Q11,"CCC","D")))))))</f>
        <v/>
      </c>
      <c r="AZ329" s="12">
        <f>IF(AY329="","",INDEX('状态价值'!$D11:$K11,MATCH(AY329,'状态价值'!$D$1:$K$1,0)))</f>
        <v/>
      </c>
      <c r="BA329" s="12">
        <f>G329+L329+Q329+V329+AA329+AF329+AK329+AP329+AU329+AZ329</f>
        <v/>
      </c>
      <c r="BB329" s="12">
        <f>SUM('组合输入'!$J$2:$J$11)-BA329</f>
        <v/>
      </c>
    </row>
    <row r="330">
      <c r="A330" s="11" t="n">
        <v>329</v>
      </c>
      <c r="B330" s="14">
        <f>NORM.S.INV(RAND())</f>
        <v/>
      </c>
      <c r="C330" s="14">
        <f>NORM.S.INV(RAND())</f>
        <v/>
      </c>
      <c r="D330" s="15">
        <f>IF('组合输入'!$C2="","",'组合输入'!$H2*$B330+SQRT(1-'组合输入'!$H2^2)*C330)</f>
        <v/>
      </c>
      <c r="E330" s="7">
        <f>IF(D330="","",NORM.S.DIST(D330,TRUE))</f>
        <v/>
      </c>
      <c r="F330" s="13">
        <f>IF(E330="","",IF(E330&lt;='组合输入'!$K2,"AAA",IF(E330&lt;='组合输入'!$L2,"AA",IF(E330&lt;='组合输入'!$M2,"A",IF(E330&lt;='组合输入'!$N2,"BBB",IF(E330&lt;='组合输入'!$O2,"BB",IF(E330&lt;='组合输入'!$P2,"B",IF(E330&lt;='组合输入'!$Q2,"CCC","D")))))))</f>
        <v/>
      </c>
      <c r="G330" s="12">
        <f>IF(F330="","",INDEX('状态价值'!$D2:$K2,MATCH(F330,'状态价值'!$D$1:$K$1,0)))</f>
        <v/>
      </c>
      <c r="H330" s="15">
        <f>NORM.S.INV(RAND())</f>
        <v/>
      </c>
      <c r="I330" s="15">
        <f>IF('组合输入'!$C3="","",'组合输入'!$H3*$B330+SQRT(1-'组合输入'!$H3^2)*H330)</f>
        <v/>
      </c>
      <c r="J330" s="7">
        <f>IF(I330="","",NORM.S.DIST(I330,TRUE))</f>
        <v/>
      </c>
      <c r="K330" s="13">
        <f>IF(J330="","",IF(J330&lt;='组合输入'!$K3,"AAA",IF(J330&lt;='组合输入'!$L3,"AA",IF(J330&lt;='组合输入'!$M3,"A",IF(J330&lt;='组合输入'!$N3,"BBB",IF(J330&lt;='组合输入'!$O3,"BB",IF(J330&lt;='组合输入'!$P3,"B",IF(J330&lt;='组合输入'!$Q3,"CCC","D")))))))</f>
        <v/>
      </c>
      <c r="L330" s="12">
        <f>IF(K330="","",INDEX('状态价值'!$D3:$K3,MATCH(K330,'状态价值'!$D$1:$K$1,0)))</f>
        <v/>
      </c>
      <c r="M330" s="15">
        <f>NORM.S.INV(RAND())</f>
        <v/>
      </c>
      <c r="N330" s="15">
        <f>IF('组合输入'!$C4="","",'组合输入'!$H4*$B330+SQRT(1-'组合输入'!$H4^2)*M330)</f>
        <v/>
      </c>
      <c r="O330" s="7">
        <f>IF(N330="","",NORM.S.DIST(N330,TRUE))</f>
        <v/>
      </c>
      <c r="P330" s="13">
        <f>IF(O330="","",IF(O330&lt;='组合输入'!$K4,"AAA",IF(O330&lt;='组合输入'!$L4,"AA",IF(O330&lt;='组合输入'!$M4,"A",IF(O330&lt;='组合输入'!$N4,"BBB",IF(O330&lt;='组合输入'!$O4,"BB",IF(O330&lt;='组合输入'!$P4,"B",IF(O330&lt;='组合输入'!$Q4,"CCC","D")))))))</f>
        <v/>
      </c>
      <c r="Q330" s="12">
        <f>IF(P330="","",INDEX('状态价值'!$D4:$K4,MATCH(P330,'状态价值'!$D$1:$K$1,0)))</f>
        <v/>
      </c>
      <c r="R330" s="15">
        <f>NORM.S.INV(RAND())</f>
        <v/>
      </c>
      <c r="S330" s="15">
        <f>IF('组合输入'!$C5="","",'组合输入'!$H5*$B330+SQRT(1-'组合输入'!$H5^2)*R330)</f>
        <v/>
      </c>
      <c r="T330" s="7">
        <f>IF(S330="","",NORM.S.DIST(S330,TRUE))</f>
        <v/>
      </c>
      <c r="U330" s="13">
        <f>IF(T330="","",IF(T330&lt;='组合输入'!$K5,"AAA",IF(T330&lt;='组合输入'!$L5,"AA",IF(T330&lt;='组合输入'!$M5,"A",IF(T330&lt;='组合输入'!$N5,"BBB",IF(T330&lt;='组合输入'!$O5,"BB",IF(T330&lt;='组合输入'!$P5,"B",IF(T330&lt;='组合输入'!$Q5,"CCC","D")))))))</f>
        <v/>
      </c>
      <c r="V330" s="12">
        <f>IF(U330="","",INDEX('状态价值'!$D5:$K5,MATCH(U330,'状态价值'!$D$1:$K$1,0)))</f>
        <v/>
      </c>
      <c r="W330" s="15">
        <f>NORM.S.INV(RAND())</f>
        <v/>
      </c>
      <c r="X330" s="15">
        <f>IF('组合输入'!$C6="","",'组合输入'!$H6*$B330+SQRT(1-'组合输入'!$H6^2)*W330)</f>
        <v/>
      </c>
      <c r="Y330" s="7">
        <f>IF(X330="","",NORM.S.DIST(X330,TRUE))</f>
        <v/>
      </c>
      <c r="Z330" s="13">
        <f>IF(Y330="","",IF(Y330&lt;='组合输入'!$K6,"AAA",IF(Y330&lt;='组合输入'!$L6,"AA",IF(Y330&lt;='组合输入'!$M6,"A",IF(Y330&lt;='组合输入'!$N6,"BBB",IF(Y330&lt;='组合输入'!$O6,"BB",IF(Y330&lt;='组合输入'!$P6,"B",IF(Y330&lt;='组合输入'!$Q6,"CCC","D")))))))</f>
        <v/>
      </c>
      <c r="AA330" s="12">
        <f>IF(Z330="","",INDEX('状态价值'!$D6:$K6,MATCH(Z330,'状态价值'!$D$1:$K$1,0)))</f>
        <v/>
      </c>
      <c r="AB330" s="15">
        <f>NORM.S.INV(RAND())</f>
        <v/>
      </c>
      <c r="AC330" s="15">
        <f>IF('组合输入'!$C7="","",'组合输入'!$H7*$B330+SQRT(1-'组合输入'!$H7^2)*AB330)</f>
        <v/>
      </c>
      <c r="AD330" s="7">
        <f>IF(AC330="","",NORM.S.DIST(AC330,TRUE))</f>
        <v/>
      </c>
      <c r="AE330" s="13">
        <f>IF(AD330="","",IF(AD330&lt;='组合输入'!$K7,"AAA",IF(AD330&lt;='组合输入'!$L7,"AA",IF(AD330&lt;='组合输入'!$M7,"A",IF(AD330&lt;='组合输入'!$N7,"BBB",IF(AD330&lt;='组合输入'!$O7,"BB",IF(AD330&lt;='组合输入'!$P7,"B",IF(AD330&lt;='组合输入'!$Q7,"CCC","D")))))))</f>
        <v/>
      </c>
      <c r="AF330" s="12">
        <f>IF(AE330="","",INDEX('状态价值'!$D7:$K7,MATCH(AE330,'状态价值'!$D$1:$K$1,0)))</f>
        <v/>
      </c>
      <c r="AG330" s="15">
        <f>NORM.S.INV(RAND())</f>
        <v/>
      </c>
      <c r="AH330" s="15">
        <f>IF('组合输入'!$C8="","",'组合输入'!$H8*$B330+SQRT(1-'组合输入'!$H8^2)*AG330)</f>
        <v/>
      </c>
      <c r="AI330" s="7">
        <f>IF(AH330="","",NORM.S.DIST(AH330,TRUE))</f>
        <v/>
      </c>
      <c r="AJ330" s="13">
        <f>IF(AI330="","",IF(AI330&lt;='组合输入'!$K8,"AAA",IF(AI330&lt;='组合输入'!$L8,"AA",IF(AI330&lt;='组合输入'!$M8,"A",IF(AI330&lt;='组合输入'!$N8,"BBB",IF(AI330&lt;='组合输入'!$O8,"BB",IF(AI330&lt;='组合输入'!$P8,"B",IF(AI330&lt;='组合输入'!$Q8,"CCC","D")))))))</f>
        <v/>
      </c>
      <c r="AK330" s="12">
        <f>IF(AJ330="","",INDEX('状态价值'!$D8:$K8,MATCH(AJ330,'状态价值'!$D$1:$K$1,0)))</f>
        <v/>
      </c>
      <c r="AL330" s="15">
        <f>NORM.S.INV(RAND())</f>
        <v/>
      </c>
      <c r="AM330" s="15">
        <f>IF('组合输入'!$C9="","",'组合输入'!$H9*$B330+SQRT(1-'组合输入'!$H9^2)*AL330)</f>
        <v/>
      </c>
      <c r="AN330" s="7">
        <f>IF(AM330="","",NORM.S.DIST(AM330,TRUE))</f>
        <v/>
      </c>
      <c r="AO330" s="13">
        <f>IF(AN330="","",IF(AN330&lt;='组合输入'!$K9,"AAA",IF(AN330&lt;='组合输入'!$L9,"AA",IF(AN330&lt;='组合输入'!$M9,"A",IF(AN330&lt;='组合输入'!$N9,"BBB",IF(AN330&lt;='组合输入'!$O9,"BB",IF(AN330&lt;='组合输入'!$P9,"B",IF(AN330&lt;='组合输入'!$Q9,"CCC","D")))))))</f>
        <v/>
      </c>
      <c r="AP330" s="12">
        <f>IF(AO330="","",INDEX('状态价值'!$D9:$K9,MATCH(AO330,'状态价值'!$D$1:$K$1,0)))</f>
        <v/>
      </c>
      <c r="AQ330" s="15">
        <f>NORM.S.INV(RAND())</f>
        <v/>
      </c>
      <c r="AR330" s="15">
        <f>IF('组合输入'!$C10="","",'组合输入'!$H10*$B330+SQRT(1-'组合输入'!$H10^2)*AQ330)</f>
        <v/>
      </c>
      <c r="AS330" s="7">
        <f>IF(AR330="","",NORM.S.DIST(AR330,TRUE))</f>
        <v/>
      </c>
      <c r="AT330" s="13">
        <f>IF(AS330="","",IF(AS330&lt;='组合输入'!$K10,"AAA",IF(AS330&lt;='组合输入'!$L10,"AA",IF(AS330&lt;='组合输入'!$M10,"A",IF(AS330&lt;='组合输入'!$N10,"BBB",IF(AS330&lt;='组合输入'!$O10,"BB",IF(AS330&lt;='组合输入'!$P10,"B",IF(AS330&lt;='组合输入'!$Q10,"CCC","D")))))))</f>
        <v/>
      </c>
      <c r="AU330" s="12">
        <f>IF(AT330="","",INDEX('状态价值'!$D10:$K10,MATCH(AT330,'状态价值'!$D$1:$K$1,0)))</f>
        <v/>
      </c>
      <c r="AV330" s="15">
        <f>NORM.S.INV(RAND())</f>
        <v/>
      </c>
      <c r="AW330" s="15">
        <f>IF('组合输入'!$C11="","",'组合输入'!$H11*$B330+SQRT(1-'组合输入'!$H11^2)*AV330)</f>
        <v/>
      </c>
      <c r="AX330" s="7">
        <f>IF(AW330="","",NORM.S.DIST(AW330,TRUE))</f>
        <v/>
      </c>
      <c r="AY330" s="13">
        <f>IF(AX330="","",IF(AX330&lt;='组合输入'!$K11,"AAA",IF(AX330&lt;='组合输入'!$L11,"AA",IF(AX330&lt;='组合输入'!$M11,"A",IF(AX330&lt;='组合输入'!$N11,"BBB",IF(AX330&lt;='组合输入'!$O11,"BB",IF(AX330&lt;='组合输入'!$P11,"B",IF(AX330&lt;='组合输入'!$Q11,"CCC","D")))))))</f>
        <v/>
      </c>
      <c r="AZ330" s="12">
        <f>IF(AY330="","",INDEX('状态价值'!$D11:$K11,MATCH(AY330,'状态价值'!$D$1:$K$1,0)))</f>
        <v/>
      </c>
      <c r="BA330" s="12">
        <f>G330+L330+Q330+V330+AA330+AF330+AK330+AP330+AU330+AZ330</f>
        <v/>
      </c>
      <c r="BB330" s="12">
        <f>SUM('组合输入'!$J$2:$J$11)-BA330</f>
        <v/>
      </c>
    </row>
    <row r="331">
      <c r="A331" s="11" t="n">
        <v>330</v>
      </c>
      <c r="B331" s="14">
        <f>NORM.S.INV(RAND())</f>
        <v/>
      </c>
      <c r="C331" s="14">
        <f>NORM.S.INV(RAND())</f>
        <v/>
      </c>
      <c r="D331" s="15">
        <f>IF('组合输入'!$C2="","",'组合输入'!$H2*$B331+SQRT(1-'组合输入'!$H2^2)*C331)</f>
        <v/>
      </c>
      <c r="E331" s="7">
        <f>IF(D331="","",NORM.S.DIST(D331,TRUE))</f>
        <v/>
      </c>
      <c r="F331" s="13">
        <f>IF(E331="","",IF(E331&lt;='组合输入'!$K2,"AAA",IF(E331&lt;='组合输入'!$L2,"AA",IF(E331&lt;='组合输入'!$M2,"A",IF(E331&lt;='组合输入'!$N2,"BBB",IF(E331&lt;='组合输入'!$O2,"BB",IF(E331&lt;='组合输入'!$P2,"B",IF(E331&lt;='组合输入'!$Q2,"CCC","D")))))))</f>
        <v/>
      </c>
      <c r="G331" s="12">
        <f>IF(F331="","",INDEX('状态价值'!$D2:$K2,MATCH(F331,'状态价值'!$D$1:$K$1,0)))</f>
        <v/>
      </c>
      <c r="H331" s="15">
        <f>NORM.S.INV(RAND())</f>
        <v/>
      </c>
      <c r="I331" s="15">
        <f>IF('组合输入'!$C3="","",'组合输入'!$H3*$B331+SQRT(1-'组合输入'!$H3^2)*H331)</f>
        <v/>
      </c>
      <c r="J331" s="7">
        <f>IF(I331="","",NORM.S.DIST(I331,TRUE))</f>
        <v/>
      </c>
      <c r="K331" s="13">
        <f>IF(J331="","",IF(J331&lt;='组合输入'!$K3,"AAA",IF(J331&lt;='组合输入'!$L3,"AA",IF(J331&lt;='组合输入'!$M3,"A",IF(J331&lt;='组合输入'!$N3,"BBB",IF(J331&lt;='组合输入'!$O3,"BB",IF(J331&lt;='组合输入'!$P3,"B",IF(J331&lt;='组合输入'!$Q3,"CCC","D")))))))</f>
        <v/>
      </c>
      <c r="L331" s="12">
        <f>IF(K331="","",INDEX('状态价值'!$D3:$K3,MATCH(K331,'状态价值'!$D$1:$K$1,0)))</f>
        <v/>
      </c>
      <c r="M331" s="15">
        <f>NORM.S.INV(RAND())</f>
        <v/>
      </c>
      <c r="N331" s="15">
        <f>IF('组合输入'!$C4="","",'组合输入'!$H4*$B331+SQRT(1-'组合输入'!$H4^2)*M331)</f>
        <v/>
      </c>
      <c r="O331" s="7">
        <f>IF(N331="","",NORM.S.DIST(N331,TRUE))</f>
        <v/>
      </c>
      <c r="P331" s="13">
        <f>IF(O331="","",IF(O331&lt;='组合输入'!$K4,"AAA",IF(O331&lt;='组合输入'!$L4,"AA",IF(O331&lt;='组合输入'!$M4,"A",IF(O331&lt;='组合输入'!$N4,"BBB",IF(O331&lt;='组合输入'!$O4,"BB",IF(O331&lt;='组合输入'!$P4,"B",IF(O331&lt;='组合输入'!$Q4,"CCC","D")))))))</f>
        <v/>
      </c>
      <c r="Q331" s="12">
        <f>IF(P331="","",INDEX('状态价值'!$D4:$K4,MATCH(P331,'状态价值'!$D$1:$K$1,0)))</f>
        <v/>
      </c>
      <c r="R331" s="15">
        <f>NORM.S.INV(RAND())</f>
        <v/>
      </c>
      <c r="S331" s="15">
        <f>IF('组合输入'!$C5="","",'组合输入'!$H5*$B331+SQRT(1-'组合输入'!$H5^2)*R331)</f>
        <v/>
      </c>
      <c r="T331" s="7">
        <f>IF(S331="","",NORM.S.DIST(S331,TRUE))</f>
        <v/>
      </c>
      <c r="U331" s="13">
        <f>IF(T331="","",IF(T331&lt;='组合输入'!$K5,"AAA",IF(T331&lt;='组合输入'!$L5,"AA",IF(T331&lt;='组合输入'!$M5,"A",IF(T331&lt;='组合输入'!$N5,"BBB",IF(T331&lt;='组合输入'!$O5,"BB",IF(T331&lt;='组合输入'!$P5,"B",IF(T331&lt;='组合输入'!$Q5,"CCC","D")))))))</f>
        <v/>
      </c>
      <c r="V331" s="12">
        <f>IF(U331="","",INDEX('状态价值'!$D5:$K5,MATCH(U331,'状态价值'!$D$1:$K$1,0)))</f>
        <v/>
      </c>
      <c r="W331" s="15">
        <f>NORM.S.INV(RAND())</f>
        <v/>
      </c>
      <c r="X331" s="15">
        <f>IF('组合输入'!$C6="","",'组合输入'!$H6*$B331+SQRT(1-'组合输入'!$H6^2)*W331)</f>
        <v/>
      </c>
      <c r="Y331" s="7">
        <f>IF(X331="","",NORM.S.DIST(X331,TRUE))</f>
        <v/>
      </c>
      <c r="Z331" s="13">
        <f>IF(Y331="","",IF(Y331&lt;='组合输入'!$K6,"AAA",IF(Y331&lt;='组合输入'!$L6,"AA",IF(Y331&lt;='组合输入'!$M6,"A",IF(Y331&lt;='组合输入'!$N6,"BBB",IF(Y331&lt;='组合输入'!$O6,"BB",IF(Y331&lt;='组合输入'!$P6,"B",IF(Y331&lt;='组合输入'!$Q6,"CCC","D")))))))</f>
        <v/>
      </c>
      <c r="AA331" s="12">
        <f>IF(Z331="","",INDEX('状态价值'!$D6:$K6,MATCH(Z331,'状态价值'!$D$1:$K$1,0)))</f>
        <v/>
      </c>
      <c r="AB331" s="15">
        <f>NORM.S.INV(RAND())</f>
        <v/>
      </c>
      <c r="AC331" s="15">
        <f>IF('组合输入'!$C7="","",'组合输入'!$H7*$B331+SQRT(1-'组合输入'!$H7^2)*AB331)</f>
        <v/>
      </c>
      <c r="AD331" s="7">
        <f>IF(AC331="","",NORM.S.DIST(AC331,TRUE))</f>
        <v/>
      </c>
      <c r="AE331" s="13">
        <f>IF(AD331="","",IF(AD331&lt;='组合输入'!$K7,"AAA",IF(AD331&lt;='组合输入'!$L7,"AA",IF(AD331&lt;='组合输入'!$M7,"A",IF(AD331&lt;='组合输入'!$N7,"BBB",IF(AD331&lt;='组合输入'!$O7,"BB",IF(AD331&lt;='组合输入'!$P7,"B",IF(AD331&lt;='组合输入'!$Q7,"CCC","D")))))))</f>
        <v/>
      </c>
      <c r="AF331" s="12">
        <f>IF(AE331="","",INDEX('状态价值'!$D7:$K7,MATCH(AE331,'状态价值'!$D$1:$K$1,0)))</f>
        <v/>
      </c>
      <c r="AG331" s="15">
        <f>NORM.S.INV(RAND())</f>
        <v/>
      </c>
      <c r="AH331" s="15">
        <f>IF('组合输入'!$C8="","",'组合输入'!$H8*$B331+SQRT(1-'组合输入'!$H8^2)*AG331)</f>
        <v/>
      </c>
      <c r="AI331" s="7">
        <f>IF(AH331="","",NORM.S.DIST(AH331,TRUE))</f>
        <v/>
      </c>
      <c r="AJ331" s="13">
        <f>IF(AI331="","",IF(AI331&lt;='组合输入'!$K8,"AAA",IF(AI331&lt;='组合输入'!$L8,"AA",IF(AI331&lt;='组合输入'!$M8,"A",IF(AI331&lt;='组合输入'!$N8,"BBB",IF(AI331&lt;='组合输入'!$O8,"BB",IF(AI331&lt;='组合输入'!$P8,"B",IF(AI331&lt;='组合输入'!$Q8,"CCC","D")))))))</f>
        <v/>
      </c>
      <c r="AK331" s="12">
        <f>IF(AJ331="","",INDEX('状态价值'!$D8:$K8,MATCH(AJ331,'状态价值'!$D$1:$K$1,0)))</f>
        <v/>
      </c>
      <c r="AL331" s="15">
        <f>NORM.S.INV(RAND())</f>
        <v/>
      </c>
      <c r="AM331" s="15">
        <f>IF('组合输入'!$C9="","",'组合输入'!$H9*$B331+SQRT(1-'组合输入'!$H9^2)*AL331)</f>
        <v/>
      </c>
      <c r="AN331" s="7">
        <f>IF(AM331="","",NORM.S.DIST(AM331,TRUE))</f>
        <v/>
      </c>
      <c r="AO331" s="13">
        <f>IF(AN331="","",IF(AN331&lt;='组合输入'!$K9,"AAA",IF(AN331&lt;='组合输入'!$L9,"AA",IF(AN331&lt;='组合输入'!$M9,"A",IF(AN331&lt;='组合输入'!$N9,"BBB",IF(AN331&lt;='组合输入'!$O9,"BB",IF(AN331&lt;='组合输入'!$P9,"B",IF(AN331&lt;='组合输入'!$Q9,"CCC","D")))))))</f>
        <v/>
      </c>
      <c r="AP331" s="12">
        <f>IF(AO331="","",INDEX('状态价值'!$D9:$K9,MATCH(AO331,'状态价值'!$D$1:$K$1,0)))</f>
        <v/>
      </c>
      <c r="AQ331" s="15">
        <f>NORM.S.INV(RAND())</f>
        <v/>
      </c>
      <c r="AR331" s="15">
        <f>IF('组合输入'!$C10="","",'组合输入'!$H10*$B331+SQRT(1-'组合输入'!$H10^2)*AQ331)</f>
        <v/>
      </c>
      <c r="AS331" s="7">
        <f>IF(AR331="","",NORM.S.DIST(AR331,TRUE))</f>
        <v/>
      </c>
      <c r="AT331" s="13">
        <f>IF(AS331="","",IF(AS331&lt;='组合输入'!$K10,"AAA",IF(AS331&lt;='组合输入'!$L10,"AA",IF(AS331&lt;='组合输入'!$M10,"A",IF(AS331&lt;='组合输入'!$N10,"BBB",IF(AS331&lt;='组合输入'!$O10,"BB",IF(AS331&lt;='组合输入'!$P10,"B",IF(AS331&lt;='组合输入'!$Q10,"CCC","D")))))))</f>
        <v/>
      </c>
      <c r="AU331" s="12">
        <f>IF(AT331="","",INDEX('状态价值'!$D10:$K10,MATCH(AT331,'状态价值'!$D$1:$K$1,0)))</f>
        <v/>
      </c>
      <c r="AV331" s="15">
        <f>NORM.S.INV(RAND())</f>
        <v/>
      </c>
      <c r="AW331" s="15">
        <f>IF('组合输入'!$C11="","",'组合输入'!$H11*$B331+SQRT(1-'组合输入'!$H11^2)*AV331)</f>
        <v/>
      </c>
      <c r="AX331" s="7">
        <f>IF(AW331="","",NORM.S.DIST(AW331,TRUE))</f>
        <v/>
      </c>
      <c r="AY331" s="13">
        <f>IF(AX331="","",IF(AX331&lt;='组合输入'!$K11,"AAA",IF(AX331&lt;='组合输入'!$L11,"AA",IF(AX331&lt;='组合输入'!$M11,"A",IF(AX331&lt;='组合输入'!$N11,"BBB",IF(AX331&lt;='组合输入'!$O11,"BB",IF(AX331&lt;='组合输入'!$P11,"B",IF(AX331&lt;='组合输入'!$Q11,"CCC","D")))))))</f>
        <v/>
      </c>
      <c r="AZ331" s="12">
        <f>IF(AY331="","",INDEX('状态价值'!$D11:$K11,MATCH(AY331,'状态价值'!$D$1:$K$1,0)))</f>
        <v/>
      </c>
      <c r="BA331" s="12">
        <f>G331+L331+Q331+V331+AA331+AF331+AK331+AP331+AU331+AZ331</f>
        <v/>
      </c>
      <c r="BB331" s="12">
        <f>SUM('组合输入'!$J$2:$J$11)-BA331</f>
        <v/>
      </c>
    </row>
    <row r="332">
      <c r="A332" s="11" t="n">
        <v>331</v>
      </c>
      <c r="B332" s="14">
        <f>NORM.S.INV(RAND())</f>
        <v/>
      </c>
      <c r="C332" s="14">
        <f>NORM.S.INV(RAND())</f>
        <v/>
      </c>
      <c r="D332" s="15">
        <f>IF('组合输入'!$C2="","",'组合输入'!$H2*$B332+SQRT(1-'组合输入'!$H2^2)*C332)</f>
        <v/>
      </c>
      <c r="E332" s="7">
        <f>IF(D332="","",NORM.S.DIST(D332,TRUE))</f>
        <v/>
      </c>
      <c r="F332" s="13">
        <f>IF(E332="","",IF(E332&lt;='组合输入'!$K2,"AAA",IF(E332&lt;='组合输入'!$L2,"AA",IF(E332&lt;='组合输入'!$M2,"A",IF(E332&lt;='组合输入'!$N2,"BBB",IF(E332&lt;='组合输入'!$O2,"BB",IF(E332&lt;='组合输入'!$P2,"B",IF(E332&lt;='组合输入'!$Q2,"CCC","D")))))))</f>
        <v/>
      </c>
      <c r="G332" s="12">
        <f>IF(F332="","",INDEX('状态价值'!$D2:$K2,MATCH(F332,'状态价值'!$D$1:$K$1,0)))</f>
        <v/>
      </c>
      <c r="H332" s="15">
        <f>NORM.S.INV(RAND())</f>
        <v/>
      </c>
      <c r="I332" s="15">
        <f>IF('组合输入'!$C3="","",'组合输入'!$H3*$B332+SQRT(1-'组合输入'!$H3^2)*H332)</f>
        <v/>
      </c>
      <c r="J332" s="7">
        <f>IF(I332="","",NORM.S.DIST(I332,TRUE))</f>
        <v/>
      </c>
      <c r="K332" s="13">
        <f>IF(J332="","",IF(J332&lt;='组合输入'!$K3,"AAA",IF(J332&lt;='组合输入'!$L3,"AA",IF(J332&lt;='组合输入'!$M3,"A",IF(J332&lt;='组合输入'!$N3,"BBB",IF(J332&lt;='组合输入'!$O3,"BB",IF(J332&lt;='组合输入'!$P3,"B",IF(J332&lt;='组合输入'!$Q3,"CCC","D")))))))</f>
        <v/>
      </c>
      <c r="L332" s="12">
        <f>IF(K332="","",INDEX('状态价值'!$D3:$K3,MATCH(K332,'状态价值'!$D$1:$K$1,0)))</f>
        <v/>
      </c>
      <c r="M332" s="15">
        <f>NORM.S.INV(RAND())</f>
        <v/>
      </c>
      <c r="N332" s="15">
        <f>IF('组合输入'!$C4="","",'组合输入'!$H4*$B332+SQRT(1-'组合输入'!$H4^2)*M332)</f>
        <v/>
      </c>
      <c r="O332" s="7">
        <f>IF(N332="","",NORM.S.DIST(N332,TRUE))</f>
        <v/>
      </c>
      <c r="P332" s="13">
        <f>IF(O332="","",IF(O332&lt;='组合输入'!$K4,"AAA",IF(O332&lt;='组合输入'!$L4,"AA",IF(O332&lt;='组合输入'!$M4,"A",IF(O332&lt;='组合输入'!$N4,"BBB",IF(O332&lt;='组合输入'!$O4,"BB",IF(O332&lt;='组合输入'!$P4,"B",IF(O332&lt;='组合输入'!$Q4,"CCC","D")))))))</f>
        <v/>
      </c>
      <c r="Q332" s="12">
        <f>IF(P332="","",INDEX('状态价值'!$D4:$K4,MATCH(P332,'状态价值'!$D$1:$K$1,0)))</f>
        <v/>
      </c>
      <c r="R332" s="15">
        <f>NORM.S.INV(RAND())</f>
        <v/>
      </c>
      <c r="S332" s="15">
        <f>IF('组合输入'!$C5="","",'组合输入'!$H5*$B332+SQRT(1-'组合输入'!$H5^2)*R332)</f>
        <v/>
      </c>
      <c r="T332" s="7">
        <f>IF(S332="","",NORM.S.DIST(S332,TRUE))</f>
        <v/>
      </c>
      <c r="U332" s="13">
        <f>IF(T332="","",IF(T332&lt;='组合输入'!$K5,"AAA",IF(T332&lt;='组合输入'!$L5,"AA",IF(T332&lt;='组合输入'!$M5,"A",IF(T332&lt;='组合输入'!$N5,"BBB",IF(T332&lt;='组合输入'!$O5,"BB",IF(T332&lt;='组合输入'!$P5,"B",IF(T332&lt;='组合输入'!$Q5,"CCC","D")))))))</f>
        <v/>
      </c>
      <c r="V332" s="12">
        <f>IF(U332="","",INDEX('状态价值'!$D5:$K5,MATCH(U332,'状态价值'!$D$1:$K$1,0)))</f>
        <v/>
      </c>
      <c r="W332" s="15">
        <f>NORM.S.INV(RAND())</f>
        <v/>
      </c>
      <c r="X332" s="15">
        <f>IF('组合输入'!$C6="","",'组合输入'!$H6*$B332+SQRT(1-'组合输入'!$H6^2)*W332)</f>
        <v/>
      </c>
      <c r="Y332" s="7">
        <f>IF(X332="","",NORM.S.DIST(X332,TRUE))</f>
        <v/>
      </c>
      <c r="Z332" s="13">
        <f>IF(Y332="","",IF(Y332&lt;='组合输入'!$K6,"AAA",IF(Y332&lt;='组合输入'!$L6,"AA",IF(Y332&lt;='组合输入'!$M6,"A",IF(Y332&lt;='组合输入'!$N6,"BBB",IF(Y332&lt;='组合输入'!$O6,"BB",IF(Y332&lt;='组合输入'!$P6,"B",IF(Y332&lt;='组合输入'!$Q6,"CCC","D")))))))</f>
        <v/>
      </c>
      <c r="AA332" s="12">
        <f>IF(Z332="","",INDEX('状态价值'!$D6:$K6,MATCH(Z332,'状态价值'!$D$1:$K$1,0)))</f>
        <v/>
      </c>
      <c r="AB332" s="15">
        <f>NORM.S.INV(RAND())</f>
        <v/>
      </c>
      <c r="AC332" s="15">
        <f>IF('组合输入'!$C7="","",'组合输入'!$H7*$B332+SQRT(1-'组合输入'!$H7^2)*AB332)</f>
        <v/>
      </c>
      <c r="AD332" s="7">
        <f>IF(AC332="","",NORM.S.DIST(AC332,TRUE))</f>
        <v/>
      </c>
      <c r="AE332" s="13">
        <f>IF(AD332="","",IF(AD332&lt;='组合输入'!$K7,"AAA",IF(AD332&lt;='组合输入'!$L7,"AA",IF(AD332&lt;='组合输入'!$M7,"A",IF(AD332&lt;='组合输入'!$N7,"BBB",IF(AD332&lt;='组合输入'!$O7,"BB",IF(AD332&lt;='组合输入'!$P7,"B",IF(AD332&lt;='组合输入'!$Q7,"CCC","D")))))))</f>
        <v/>
      </c>
      <c r="AF332" s="12">
        <f>IF(AE332="","",INDEX('状态价值'!$D7:$K7,MATCH(AE332,'状态价值'!$D$1:$K$1,0)))</f>
        <v/>
      </c>
      <c r="AG332" s="15">
        <f>NORM.S.INV(RAND())</f>
        <v/>
      </c>
      <c r="AH332" s="15">
        <f>IF('组合输入'!$C8="","",'组合输入'!$H8*$B332+SQRT(1-'组合输入'!$H8^2)*AG332)</f>
        <v/>
      </c>
      <c r="AI332" s="7">
        <f>IF(AH332="","",NORM.S.DIST(AH332,TRUE))</f>
        <v/>
      </c>
      <c r="AJ332" s="13">
        <f>IF(AI332="","",IF(AI332&lt;='组合输入'!$K8,"AAA",IF(AI332&lt;='组合输入'!$L8,"AA",IF(AI332&lt;='组合输入'!$M8,"A",IF(AI332&lt;='组合输入'!$N8,"BBB",IF(AI332&lt;='组合输入'!$O8,"BB",IF(AI332&lt;='组合输入'!$P8,"B",IF(AI332&lt;='组合输入'!$Q8,"CCC","D")))))))</f>
        <v/>
      </c>
      <c r="AK332" s="12">
        <f>IF(AJ332="","",INDEX('状态价值'!$D8:$K8,MATCH(AJ332,'状态价值'!$D$1:$K$1,0)))</f>
        <v/>
      </c>
      <c r="AL332" s="15">
        <f>NORM.S.INV(RAND())</f>
        <v/>
      </c>
      <c r="AM332" s="15">
        <f>IF('组合输入'!$C9="","",'组合输入'!$H9*$B332+SQRT(1-'组合输入'!$H9^2)*AL332)</f>
        <v/>
      </c>
      <c r="AN332" s="7">
        <f>IF(AM332="","",NORM.S.DIST(AM332,TRUE))</f>
        <v/>
      </c>
      <c r="AO332" s="13">
        <f>IF(AN332="","",IF(AN332&lt;='组合输入'!$K9,"AAA",IF(AN332&lt;='组合输入'!$L9,"AA",IF(AN332&lt;='组合输入'!$M9,"A",IF(AN332&lt;='组合输入'!$N9,"BBB",IF(AN332&lt;='组合输入'!$O9,"BB",IF(AN332&lt;='组合输入'!$P9,"B",IF(AN332&lt;='组合输入'!$Q9,"CCC","D")))))))</f>
        <v/>
      </c>
      <c r="AP332" s="12">
        <f>IF(AO332="","",INDEX('状态价值'!$D9:$K9,MATCH(AO332,'状态价值'!$D$1:$K$1,0)))</f>
        <v/>
      </c>
      <c r="AQ332" s="15">
        <f>NORM.S.INV(RAND())</f>
        <v/>
      </c>
      <c r="AR332" s="15">
        <f>IF('组合输入'!$C10="","",'组合输入'!$H10*$B332+SQRT(1-'组合输入'!$H10^2)*AQ332)</f>
        <v/>
      </c>
      <c r="AS332" s="7">
        <f>IF(AR332="","",NORM.S.DIST(AR332,TRUE))</f>
        <v/>
      </c>
      <c r="AT332" s="13">
        <f>IF(AS332="","",IF(AS332&lt;='组合输入'!$K10,"AAA",IF(AS332&lt;='组合输入'!$L10,"AA",IF(AS332&lt;='组合输入'!$M10,"A",IF(AS332&lt;='组合输入'!$N10,"BBB",IF(AS332&lt;='组合输入'!$O10,"BB",IF(AS332&lt;='组合输入'!$P10,"B",IF(AS332&lt;='组合输入'!$Q10,"CCC","D")))))))</f>
        <v/>
      </c>
      <c r="AU332" s="12">
        <f>IF(AT332="","",INDEX('状态价值'!$D10:$K10,MATCH(AT332,'状态价值'!$D$1:$K$1,0)))</f>
        <v/>
      </c>
      <c r="AV332" s="15">
        <f>NORM.S.INV(RAND())</f>
        <v/>
      </c>
      <c r="AW332" s="15">
        <f>IF('组合输入'!$C11="","",'组合输入'!$H11*$B332+SQRT(1-'组合输入'!$H11^2)*AV332)</f>
        <v/>
      </c>
      <c r="AX332" s="7">
        <f>IF(AW332="","",NORM.S.DIST(AW332,TRUE))</f>
        <v/>
      </c>
      <c r="AY332" s="13">
        <f>IF(AX332="","",IF(AX332&lt;='组合输入'!$K11,"AAA",IF(AX332&lt;='组合输入'!$L11,"AA",IF(AX332&lt;='组合输入'!$M11,"A",IF(AX332&lt;='组合输入'!$N11,"BBB",IF(AX332&lt;='组合输入'!$O11,"BB",IF(AX332&lt;='组合输入'!$P11,"B",IF(AX332&lt;='组合输入'!$Q11,"CCC","D")))))))</f>
        <v/>
      </c>
      <c r="AZ332" s="12">
        <f>IF(AY332="","",INDEX('状态价值'!$D11:$K11,MATCH(AY332,'状态价值'!$D$1:$K$1,0)))</f>
        <v/>
      </c>
      <c r="BA332" s="12">
        <f>G332+L332+Q332+V332+AA332+AF332+AK332+AP332+AU332+AZ332</f>
        <v/>
      </c>
      <c r="BB332" s="12">
        <f>SUM('组合输入'!$J$2:$J$11)-BA332</f>
        <v/>
      </c>
    </row>
    <row r="333">
      <c r="A333" s="11" t="n">
        <v>332</v>
      </c>
      <c r="B333" s="14">
        <f>NORM.S.INV(RAND())</f>
        <v/>
      </c>
      <c r="C333" s="14">
        <f>NORM.S.INV(RAND())</f>
        <v/>
      </c>
      <c r="D333" s="15">
        <f>IF('组合输入'!$C2="","",'组合输入'!$H2*$B333+SQRT(1-'组合输入'!$H2^2)*C333)</f>
        <v/>
      </c>
      <c r="E333" s="7">
        <f>IF(D333="","",NORM.S.DIST(D333,TRUE))</f>
        <v/>
      </c>
      <c r="F333" s="13">
        <f>IF(E333="","",IF(E333&lt;='组合输入'!$K2,"AAA",IF(E333&lt;='组合输入'!$L2,"AA",IF(E333&lt;='组合输入'!$M2,"A",IF(E333&lt;='组合输入'!$N2,"BBB",IF(E333&lt;='组合输入'!$O2,"BB",IF(E333&lt;='组合输入'!$P2,"B",IF(E333&lt;='组合输入'!$Q2,"CCC","D")))))))</f>
        <v/>
      </c>
      <c r="G333" s="12">
        <f>IF(F333="","",INDEX('状态价值'!$D2:$K2,MATCH(F333,'状态价值'!$D$1:$K$1,0)))</f>
        <v/>
      </c>
      <c r="H333" s="15">
        <f>NORM.S.INV(RAND())</f>
        <v/>
      </c>
      <c r="I333" s="15">
        <f>IF('组合输入'!$C3="","",'组合输入'!$H3*$B333+SQRT(1-'组合输入'!$H3^2)*H333)</f>
        <v/>
      </c>
      <c r="J333" s="7">
        <f>IF(I333="","",NORM.S.DIST(I333,TRUE))</f>
        <v/>
      </c>
      <c r="K333" s="13">
        <f>IF(J333="","",IF(J333&lt;='组合输入'!$K3,"AAA",IF(J333&lt;='组合输入'!$L3,"AA",IF(J333&lt;='组合输入'!$M3,"A",IF(J333&lt;='组合输入'!$N3,"BBB",IF(J333&lt;='组合输入'!$O3,"BB",IF(J333&lt;='组合输入'!$P3,"B",IF(J333&lt;='组合输入'!$Q3,"CCC","D")))))))</f>
        <v/>
      </c>
      <c r="L333" s="12">
        <f>IF(K333="","",INDEX('状态价值'!$D3:$K3,MATCH(K333,'状态价值'!$D$1:$K$1,0)))</f>
        <v/>
      </c>
      <c r="M333" s="15">
        <f>NORM.S.INV(RAND())</f>
        <v/>
      </c>
      <c r="N333" s="15">
        <f>IF('组合输入'!$C4="","",'组合输入'!$H4*$B333+SQRT(1-'组合输入'!$H4^2)*M333)</f>
        <v/>
      </c>
      <c r="O333" s="7">
        <f>IF(N333="","",NORM.S.DIST(N333,TRUE))</f>
        <v/>
      </c>
      <c r="P333" s="13">
        <f>IF(O333="","",IF(O333&lt;='组合输入'!$K4,"AAA",IF(O333&lt;='组合输入'!$L4,"AA",IF(O333&lt;='组合输入'!$M4,"A",IF(O333&lt;='组合输入'!$N4,"BBB",IF(O333&lt;='组合输入'!$O4,"BB",IF(O333&lt;='组合输入'!$P4,"B",IF(O333&lt;='组合输入'!$Q4,"CCC","D")))))))</f>
        <v/>
      </c>
      <c r="Q333" s="12">
        <f>IF(P333="","",INDEX('状态价值'!$D4:$K4,MATCH(P333,'状态价值'!$D$1:$K$1,0)))</f>
        <v/>
      </c>
      <c r="R333" s="15">
        <f>NORM.S.INV(RAND())</f>
        <v/>
      </c>
      <c r="S333" s="15">
        <f>IF('组合输入'!$C5="","",'组合输入'!$H5*$B333+SQRT(1-'组合输入'!$H5^2)*R333)</f>
        <v/>
      </c>
      <c r="T333" s="7">
        <f>IF(S333="","",NORM.S.DIST(S333,TRUE))</f>
        <v/>
      </c>
      <c r="U333" s="13">
        <f>IF(T333="","",IF(T333&lt;='组合输入'!$K5,"AAA",IF(T333&lt;='组合输入'!$L5,"AA",IF(T333&lt;='组合输入'!$M5,"A",IF(T333&lt;='组合输入'!$N5,"BBB",IF(T333&lt;='组合输入'!$O5,"BB",IF(T333&lt;='组合输入'!$P5,"B",IF(T333&lt;='组合输入'!$Q5,"CCC","D")))))))</f>
        <v/>
      </c>
      <c r="V333" s="12">
        <f>IF(U333="","",INDEX('状态价值'!$D5:$K5,MATCH(U333,'状态价值'!$D$1:$K$1,0)))</f>
        <v/>
      </c>
      <c r="W333" s="15">
        <f>NORM.S.INV(RAND())</f>
        <v/>
      </c>
      <c r="X333" s="15">
        <f>IF('组合输入'!$C6="","",'组合输入'!$H6*$B333+SQRT(1-'组合输入'!$H6^2)*W333)</f>
        <v/>
      </c>
      <c r="Y333" s="7">
        <f>IF(X333="","",NORM.S.DIST(X333,TRUE))</f>
        <v/>
      </c>
      <c r="Z333" s="13">
        <f>IF(Y333="","",IF(Y333&lt;='组合输入'!$K6,"AAA",IF(Y333&lt;='组合输入'!$L6,"AA",IF(Y333&lt;='组合输入'!$M6,"A",IF(Y333&lt;='组合输入'!$N6,"BBB",IF(Y333&lt;='组合输入'!$O6,"BB",IF(Y333&lt;='组合输入'!$P6,"B",IF(Y333&lt;='组合输入'!$Q6,"CCC","D")))))))</f>
        <v/>
      </c>
      <c r="AA333" s="12">
        <f>IF(Z333="","",INDEX('状态价值'!$D6:$K6,MATCH(Z333,'状态价值'!$D$1:$K$1,0)))</f>
        <v/>
      </c>
      <c r="AB333" s="15">
        <f>NORM.S.INV(RAND())</f>
        <v/>
      </c>
      <c r="AC333" s="15">
        <f>IF('组合输入'!$C7="","",'组合输入'!$H7*$B333+SQRT(1-'组合输入'!$H7^2)*AB333)</f>
        <v/>
      </c>
      <c r="AD333" s="7">
        <f>IF(AC333="","",NORM.S.DIST(AC333,TRUE))</f>
        <v/>
      </c>
      <c r="AE333" s="13">
        <f>IF(AD333="","",IF(AD333&lt;='组合输入'!$K7,"AAA",IF(AD333&lt;='组合输入'!$L7,"AA",IF(AD333&lt;='组合输入'!$M7,"A",IF(AD333&lt;='组合输入'!$N7,"BBB",IF(AD333&lt;='组合输入'!$O7,"BB",IF(AD333&lt;='组合输入'!$P7,"B",IF(AD333&lt;='组合输入'!$Q7,"CCC","D")))))))</f>
        <v/>
      </c>
      <c r="AF333" s="12">
        <f>IF(AE333="","",INDEX('状态价值'!$D7:$K7,MATCH(AE333,'状态价值'!$D$1:$K$1,0)))</f>
        <v/>
      </c>
      <c r="AG333" s="15">
        <f>NORM.S.INV(RAND())</f>
        <v/>
      </c>
      <c r="AH333" s="15">
        <f>IF('组合输入'!$C8="","",'组合输入'!$H8*$B333+SQRT(1-'组合输入'!$H8^2)*AG333)</f>
        <v/>
      </c>
      <c r="AI333" s="7">
        <f>IF(AH333="","",NORM.S.DIST(AH333,TRUE))</f>
        <v/>
      </c>
      <c r="AJ333" s="13">
        <f>IF(AI333="","",IF(AI333&lt;='组合输入'!$K8,"AAA",IF(AI333&lt;='组合输入'!$L8,"AA",IF(AI333&lt;='组合输入'!$M8,"A",IF(AI333&lt;='组合输入'!$N8,"BBB",IF(AI333&lt;='组合输入'!$O8,"BB",IF(AI333&lt;='组合输入'!$P8,"B",IF(AI333&lt;='组合输入'!$Q8,"CCC","D")))))))</f>
        <v/>
      </c>
      <c r="AK333" s="12">
        <f>IF(AJ333="","",INDEX('状态价值'!$D8:$K8,MATCH(AJ333,'状态价值'!$D$1:$K$1,0)))</f>
        <v/>
      </c>
      <c r="AL333" s="15">
        <f>NORM.S.INV(RAND())</f>
        <v/>
      </c>
      <c r="AM333" s="15">
        <f>IF('组合输入'!$C9="","",'组合输入'!$H9*$B333+SQRT(1-'组合输入'!$H9^2)*AL333)</f>
        <v/>
      </c>
      <c r="AN333" s="7">
        <f>IF(AM333="","",NORM.S.DIST(AM333,TRUE))</f>
        <v/>
      </c>
      <c r="AO333" s="13">
        <f>IF(AN333="","",IF(AN333&lt;='组合输入'!$K9,"AAA",IF(AN333&lt;='组合输入'!$L9,"AA",IF(AN333&lt;='组合输入'!$M9,"A",IF(AN333&lt;='组合输入'!$N9,"BBB",IF(AN333&lt;='组合输入'!$O9,"BB",IF(AN333&lt;='组合输入'!$P9,"B",IF(AN333&lt;='组合输入'!$Q9,"CCC","D")))))))</f>
        <v/>
      </c>
      <c r="AP333" s="12">
        <f>IF(AO333="","",INDEX('状态价值'!$D9:$K9,MATCH(AO333,'状态价值'!$D$1:$K$1,0)))</f>
        <v/>
      </c>
      <c r="AQ333" s="15">
        <f>NORM.S.INV(RAND())</f>
        <v/>
      </c>
      <c r="AR333" s="15">
        <f>IF('组合输入'!$C10="","",'组合输入'!$H10*$B333+SQRT(1-'组合输入'!$H10^2)*AQ333)</f>
        <v/>
      </c>
      <c r="AS333" s="7">
        <f>IF(AR333="","",NORM.S.DIST(AR333,TRUE))</f>
        <v/>
      </c>
      <c r="AT333" s="13">
        <f>IF(AS333="","",IF(AS333&lt;='组合输入'!$K10,"AAA",IF(AS333&lt;='组合输入'!$L10,"AA",IF(AS333&lt;='组合输入'!$M10,"A",IF(AS333&lt;='组合输入'!$N10,"BBB",IF(AS333&lt;='组合输入'!$O10,"BB",IF(AS333&lt;='组合输入'!$P10,"B",IF(AS333&lt;='组合输入'!$Q10,"CCC","D")))))))</f>
        <v/>
      </c>
      <c r="AU333" s="12">
        <f>IF(AT333="","",INDEX('状态价值'!$D10:$K10,MATCH(AT333,'状态价值'!$D$1:$K$1,0)))</f>
        <v/>
      </c>
      <c r="AV333" s="15">
        <f>NORM.S.INV(RAND())</f>
        <v/>
      </c>
      <c r="AW333" s="15">
        <f>IF('组合输入'!$C11="","",'组合输入'!$H11*$B333+SQRT(1-'组合输入'!$H11^2)*AV333)</f>
        <v/>
      </c>
      <c r="AX333" s="7">
        <f>IF(AW333="","",NORM.S.DIST(AW333,TRUE))</f>
        <v/>
      </c>
      <c r="AY333" s="13">
        <f>IF(AX333="","",IF(AX333&lt;='组合输入'!$K11,"AAA",IF(AX333&lt;='组合输入'!$L11,"AA",IF(AX333&lt;='组合输入'!$M11,"A",IF(AX333&lt;='组合输入'!$N11,"BBB",IF(AX333&lt;='组合输入'!$O11,"BB",IF(AX333&lt;='组合输入'!$P11,"B",IF(AX333&lt;='组合输入'!$Q11,"CCC","D")))))))</f>
        <v/>
      </c>
      <c r="AZ333" s="12">
        <f>IF(AY333="","",INDEX('状态价值'!$D11:$K11,MATCH(AY333,'状态价值'!$D$1:$K$1,0)))</f>
        <v/>
      </c>
      <c r="BA333" s="12">
        <f>G333+L333+Q333+V333+AA333+AF333+AK333+AP333+AU333+AZ333</f>
        <v/>
      </c>
      <c r="BB333" s="12">
        <f>SUM('组合输入'!$J$2:$J$11)-BA333</f>
        <v/>
      </c>
    </row>
    <row r="334">
      <c r="A334" s="11" t="n">
        <v>333</v>
      </c>
      <c r="B334" s="14">
        <f>NORM.S.INV(RAND())</f>
        <v/>
      </c>
      <c r="C334" s="14">
        <f>NORM.S.INV(RAND())</f>
        <v/>
      </c>
      <c r="D334" s="15">
        <f>IF('组合输入'!$C2="","",'组合输入'!$H2*$B334+SQRT(1-'组合输入'!$H2^2)*C334)</f>
        <v/>
      </c>
      <c r="E334" s="7">
        <f>IF(D334="","",NORM.S.DIST(D334,TRUE))</f>
        <v/>
      </c>
      <c r="F334" s="13">
        <f>IF(E334="","",IF(E334&lt;='组合输入'!$K2,"AAA",IF(E334&lt;='组合输入'!$L2,"AA",IF(E334&lt;='组合输入'!$M2,"A",IF(E334&lt;='组合输入'!$N2,"BBB",IF(E334&lt;='组合输入'!$O2,"BB",IF(E334&lt;='组合输入'!$P2,"B",IF(E334&lt;='组合输入'!$Q2,"CCC","D")))))))</f>
        <v/>
      </c>
      <c r="G334" s="12">
        <f>IF(F334="","",INDEX('状态价值'!$D2:$K2,MATCH(F334,'状态价值'!$D$1:$K$1,0)))</f>
        <v/>
      </c>
      <c r="H334" s="15">
        <f>NORM.S.INV(RAND())</f>
        <v/>
      </c>
      <c r="I334" s="15">
        <f>IF('组合输入'!$C3="","",'组合输入'!$H3*$B334+SQRT(1-'组合输入'!$H3^2)*H334)</f>
        <v/>
      </c>
      <c r="J334" s="7">
        <f>IF(I334="","",NORM.S.DIST(I334,TRUE))</f>
        <v/>
      </c>
      <c r="K334" s="13">
        <f>IF(J334="","",IF(J334&lt;='组合输入'!$K3,"AAA",IF(J334&lt;='组合输入'!$L3,"AA",IF(J334&lt;='组合输入'!$M3,"A",IF(J334&lt;='组合输入'!$N3,"BBB",IF(J334&lt;='组合输入'!$O3,"BB",IF(J334&lt;='组合输入'!$P3,"B",IF(J334&lt;='组合输入'!$Q3,"CCC","D")))))))</f>
        <v/>
      </c>
      <c r="L334" s="12">
        <f>IF(K334="","",INDEX('状态价值'!$D3:$K3,MATCH(K334,'状态价值'!$D$1:$K$1,0)))</f>
        <v/>
      </c>
      <c r="M334" s="15">
        <f>NORM.S.INV(RAND())</f>
        <v/>
      </c>
      <c r="N334" s="15">
        <f>IF('组合输入'!$C4="","",'组合输入'!$H4*$B334+SQRT(1-'组合输入'!$H4^2)*M334)</f>
        <v/>
      </c>
      <c r="O334" s="7">
        <f>IF(N334="","",NORM.S.DIST(N334,TRUE))</f>
        <v/>
      </c>
      <c r="P334" s="13">
        <f>IF(O334="","",IF(O334&lt;='组合输入'!$K4,"AAA",IF(O334&lt;='组合输入'!$L4,"AA",IF(O334&lt;='组合输入'!$M4,"A",IF(O334&lt;='组合输入'!$N4,"BBB",IF(O334&lt;='组合输入'!$O4,"BB",IF(O334&lt;='组合输入'!$P4,"B",IF(O334&lt;='组合输入'!$Q4,"CCC","D")))))))</f>
        <v/>
      </c>
      <c r="Q334" s="12">
        <f>IF(P334="","",INDEX('状态价值'!$D4:$K4,MATCH(P334,'状态价值'!$D$1:$K$1,0)))</f>
        <v/>
      </c>
      <c r="R334" s="15">
        <f>NORM.S.INV(RAND())</f>
        <v/>
      </c>
      <c r="S334" s="15">
        <f>IF('组合输入'!$C5="","",'组合输入'!$H5*$B334+SQRT(1-'组合输入'!$H5^2)*R334)</f>
        <v/>
      </c>
      <c r="T334" s="7">
        <f>IF(S334="","",NORM.S.DIST(S334,TRUE))</f>
        <v/>
      </c>
      <c r="U334" s="13">
        <f>IF(T334="","",IF(T334&lt;='组合输入'!$K5,"AAA",IF(T334&lt;='组合输入'!$L5,"AA",IF(T334&lt;='组合输入'!$M5,"A",IF(T334&lt;='组合输入'!$N5,"BBB",IF(T334&lt;='组合输入'!$O5,"BB",IF(T334&lt;='组合输入'!$P5,"B",IF(T334&lt;='组合输入'!$Q5,"CCC","D")))))))</f>
        <v/>
      </c>
      <c r="V334" s="12">
        <f>IF(U334="","",INDEX('状态价值'!$D5:$K5,MATCH(U334,'状态价值'!$D$1:$K$1,0)))</f>
        <v/>
      </c>
      <c r="W334" s="15">
        <f>NORM.S.INV(RAND())</f>
        <v/>
      </c>
      <c r="X334" s="15">
        <f>IF('组合输入'!$C6="","",'组合输入'!$H6*$B334+SQRT(1-'组合输入'!$H6^2)*W334)</f>
        <v/>
      </c>
      <c r="Y334" s="7">
        <f>IF(X334="","",NORM.S.DIST(X334,TRUE))</f>
        <v/>
      </c>
      <c r="Z334" s="13">
        <f>IF(Y334="","",IF(Y334&lt;='组合输入'!$K6,"AAA",IF(Y334&lt;='组合输入'!$L6,"AA",IF(Y334&lt;='组合输入'!$M6,"A",IF(Y334&lt;='组合输入'!$N6,"BBB",IF(Y334&lt;='组合输入'!$O6,"BB",IF(Y334&lt;='组合输入'!$P6,"B",IF(Y334&lt;='组合输入'!$Q6,"CCC","D")))))))</f>
        <v/>
      </c>
      <c r="AA334" s="12">
        <f>IF(Z334="","",INDEX('状态价值'!$D6:$K6,MATCH(Z334,'状态价值'!$D$1:$K$1,0)))</f>
        <v/>
      </c>
      <c r="AB334" s="15">
        <f>NORM.S.INV(RAND())</f>
        <v/>
      </c>
      <c r="AC334" s="15">
        <f>IF('组合输入'!$C7="","",'组合输入'!$H7*$B334+SQRT(1-'组合输入'!$H7^2)*AB334)</f>
        <v/>
      </c>
      <c r="AD334" s="7">
        <f>IF(AC334="","",NORM.S.DIST(AC334,TRUE))</f>
        <v/>
      </c>
      <c r="AE334" s="13">
        <f>IF(AD334="","",IF(AD334&lt;='组合输入'!$K7,"AAA",IF(AD334&lt;='组合输入'!$L7,"AA",IF(AD334&lt;='组合输入'!$M7,"A",IF(AD334&lt;='组合输入'!$N7,"BBB",IF(AD334&lt;='组合输入'!$O7,"BB",IF(AD334&lt;='组合输入'!$P7,"B",IF(AD334&lt;='组合输入'!$Q7,"CCC","D")))))))</f>
        <v/>
      </c>
      <c r="AF334" s="12">
        <f>IF(AE334="","",INDEX('状态价值'!$D7:$K7,MATCH(AE334,'状态价值'!$D$1:$K$1,0)))</f>
        <v/>
      </c>
      <c r="AG334" s="15">
        <f>NORM.S.INV(RAND())</f>
        <v/>
      </c>
      <c r="AH334" s="15">
        <f>IF('组合输入'!$C8="","",'组合输入'!$H8*$B334+SQRT(1-'组合输入'!$H8^2)*AG334)</f>
        <v/>
      </c>
      <c r="AI334" s="7">
        <f>IF(AH334="","",NORM.S.DIST(AH334,TRUE))</f>
        <v/>
      </c>
      <c r="AJ334" s="13">
        <f>IF(AI334="","",IF(AI334&lt;='组合输入'!$K8,"AAA",IF(AI334&lt;='组合输入'!$L8,"AA",IF(AI334&lt;='组合输入'!$M8,"A",IF(AI334&lt;='组合输入'!$N8,"BBB",IF(AI334&lt;='组合输入'!$O8,"BB",IF(AI334&lt;='组合输入'!$P8,"B",IF(AI334&lt;='组合输入'!$Q8,"CCC","D")))))))</f>
        <v/>
      </c>
      <c r="AK334" s="12">
        <f>IF(AJ334="","",INDEX('状态价值'!$D8:$K8,MATCH(AJ334,'状态价值'!$D$1:$K$1,0)))</f>
        <v/>
      </c>
      <c r="AL334" s="15">
        <f>NORM.S.INV(RAND())</f>
        <v/>
      </c>
      <c r="AM334" s="15">
        <f>IF('组合输入'!$C9="","",'组合输入'!$H9*$B334+SQRT(1-'组合输入'!$H9^2)*AL334)</f>
        <v/>
      </c>
      <c r="AN334" s="7">
        <f>IF(AM334="","",NORM.S.DIST(AM334,TRUE))</f>
        <v/>
      </c>
      <c r="AO334" s="13">
        <f>IF(AN334="","",IF(AN334&lt;='组合输入'!$K9,"AAA",IF(AN334&lt;='组合输入'!$L9,"AA",IF(AN334&lt;='组合输入'!$M9,"A",IF(AN334&lt;='组合输入'!$N9,"BBB",IF(AN334&lt;='组合输入'!$O9,"BB",IF(AN334&lt;='组合输入'!$P9,"B",IF(AN334&lt;='组合输入'!$Q9,"CCC","D")))))))</f>
        <v/>
      </c>
      <c r="AP334" s="12">
        <f>IF(AO334="","",INDEX('状态价值'!$D9:$K9,MATCH(AO334,'状态价值'!$D$1:$K$1,0)))</f>
        <v/>
      </c>
      <c r="AQ334" s="15">
        <f>NORM.S.INV(RAND())</f>
        <v/>
      </c>
      <c r="AR334" s="15">
        <f>IF('组合输入'!$C10="","",'组合输入'!$H10*$B334+SQRT(1-'组合输入'!$H10^2)*AQ334)</f>
        <v/>
      </c>
      <c r="AS334" s="7">
        <f>IF(AR334="","",NORM.S.DIST(AR334,TRUE))</f>
        <v/>
      </c>
      <c r="AT334" s="13">
        <f>IF(AS334="","",IF(AS334&lt;='组合输入'!$K10,"AAA",IF(AS334&lt;='组合输入'!$L10,"AA",IF(AS334&lt;='组合输入'!$M10,"A",IF(AS334&lt;='组合输入'!$N10,"BBB",IF(AS334&lt;='组合输入'!$O10,"BB",IF(AS334&lt;='组合输入'!$P10,"B",IF(AS334&lt;='组合输入'!$Q10,"CCC","D")))))))</f>
        <v/>
      </c>
      <c r="AU334" s="12">
        <f>IF(AT334="","",INDEX('状态价值'!$D10:$K10,MATCH(AT334,'状态价值'!$D$1:$K$1,0)))</f>
        <v/>
      </c>
      <c r="AV334" s="15">
        <f>NORM.S.INV(RAND())</f>
        <v/>
      </c>
      <c r="AW334" s="15">
        <f>IF('组合输入'!$C11="","",'组合输入'!$H11*$B334+SQRT(1-'组合输入'!$H11^2)*AV334)</f>
        <v/>
      </c>
      <c r="AX334" s="7">
        <f>IF(AW334="","",NORM.S.DIST(AW334,TRUE))</f>
        <v/>
      </c>
      <c r="AY334" s="13">
        <f>IF(AX334="","",IF(AX334&lt;='组合输入'!$K11,"AAA",IF(AX334&lt;='组合输入'!$L11,"AA",IF(AX334&lt;='组合输入'!$M11,"A",IF(AX334&lt;='组合输入'!$N11,"BBB",IF(AX334&lt;='组合输入'!$O11,"BB",IF(AX334&lt;='组合输入'!$P11,"B",IF(AX334&lt;='组合输入'!$Q11,"CCC","D")))))))</f>
        <v/>
      </c>
      <c r="AZ334" s="12">
        <f>IF(AY334="","",INDEX('状态价值'!$D11:$K11,MATCH(AY334,'状态价值'!$D$1:$K$1,0)))</f>
        <v/>
      </c>
      <c r="BA334" s="12">
        <f>G334+L334+Q334+V334+AA334+AF334+AK334+AP334+AU334+AZ334</f>
        <v/>
      </c>
      <c r="BB334" s="12">
        <f>SUM('组合输入'!$J$2:$J$11)-BA334</f>
        <v/>
      </c>
    </row>
    <row r="335">
      <c r="A335" s="11" t="n">
        <v>334</v>
      </c>
      <c r="B335" s="14">
        <f>NORM.S.INV(RAND())</f>
        <v/>
      </c>
      <c r="C335" s="14">
        <f>NORM.S.INV(RAND())</f>
        <v/>
      </c>
      <c r="D335" s="15">
        <f>IF('组合输入'!$C2="","",'组合输入'!$H2*$B335+SQRT(1-'组合输入'!$H2^2)*C335)</f>
        <v/>
      </c>
      <c r="E335" s="7">
        <f>IF(D335="","",NORM.S.DIST(D335,TRUE))</f>
        <v/>
      </c>
      <c r="F335" s="13">
        <f>IF(E335="","",IF(E335&lt;='组合输入'!$K2,"AAA",IF(E335&lt;='组合输入'!$L2,"AA",IF(E335&lt;='组合输入'!$M2,"A",IF(E335&lt;='组合输入'!$N2,"BBB",IF(E335&lt;='组合输入'!$O2,"BB",IF(E335&lt;='组合输入'!$P2,"B",IF(E335&lt;='组合输入'!$Q2,"CCC","D")))))))</f>
        <v/>
      </c>
      <c r="G335" s="12">
        <f>IF(F335="","",INDEX('状态价值'!$D2:$K2,MATCH(F335,'状态价值'!$D$1:$K$1,0)))</f>
        <v/>
      </c>
      <c r="H335" s="15">
        <f>NORM.S.INV(RAND())</f>
        <v/>
      </c>
      <c r="I335" s="15">
        <f>IF('组合输入'!$C3="","",'组合输入'!$H3*$B335+SQRT(1-'组合输入'!$H3^2)*H335)</f>
        <v/>
      </c>
      <c r="J335" s="7">
        <f>IF(I335="","",NORM.S.DIST(I335,TRUE))</f>
        <v/>
      </c>
      <c r="K335" s="13">
        <f>IF(J335="","",IF(J335&lt;='组合输入'!$K3,"AAA",IF(J335&lt;='组合输入'!$L3,"AA",IF(J335&lt;='组合输入'!$M3,"A",IF(J335&lt;='组合输入'!$N3,"BBB",IF(J335&lt;='组合输入'!$O3,"BB",IF(J335&lt;='组合输入'!$P3,"B",IF(J335&lt;='组合输入'!$Q3,"CCC","D")))))))</f>
        <v/>
      </c>
      <c r="L335" s="12">
        <f>IF(K335="","",INDEX('状态价值'!$D3:$K3,MATCH(K335,'状态价值'!$D$1:$K$1,0)))</f>
        <v/>
      </c>
      <c r="M335" s="15">
        <f>NORM.S.INV(RAND())</f>
        <v/>
      </c>
      <c r="N335" s="15">
        <f>IF('组合输入'!$C4="","",'组合输入'!$H4*$B335+SQRT(1-'组合输入'!$H4^2)*M335)</f>
        <v/>
      </c>
      <c r="O335" s="7">
        <f>IF(N335="","",NORM.S.DIST(N335,TRUE))</f>
        <v/>
      </c>
      <c r="P335" s="13">
        <f>IF(O335="","",IF(O335&lt;='组合输入'!$K4,"AAA",IF(O335&lt;='组合输入'!$L4,"AA",IF(O335&lt;='组合输入'!$M4,"A",IF(O335&lt;='组合输入'!$N4,"BBB",IF(O335&lt;='组合输入'!$O4,"BB",IF(O335&lt;='组合输入'!$P4,"B",IF(O335&lt;='组合输入'!$Q4,"CCC","D")))))))</f>
        <v/>
      </c>
      <c r="Q335" s="12">
        <f>IF(P335="","",INDEX('状态价值'!$D4:$K4,MATCH(P335,'状态价值'!$D$1:$K$1,0)))</f>
        <v/>
      </c>
      <c r="R335" s="15">
        <f>NORM.S.INV(RAND())</f>
        <v/>
      </c>
      <c r="S335" s="15">
        <f>IF('组合输入'!$C5="","",'组合输入'!$H5*$B335+SQRT(1-'组合输入'!$H5^2)*R335)</f>
        <v/>
      </c>
      <c r="T335" s="7">
        <f>IF(S335="","",NORM.S.DIST(S335,TRUE))</f>
        <v/>
      </c>
      <c r="U335" s="13">
        <f>IF(T335="","",IF(T335&lt;='组合输入'!$K5,"AAA",IF(T335&lt;='组合输入'!$L5,"AA",IF(T335&lt;='组合输入'!$M5,"A",IF(T335&lt;='组合输入'!$N5,"BBB",IF(T335&lt;='组合输入'!$O5,"BB",IF(T335&lt;='组合输入'!$P5,"B",IF(T335&lt;='组合输入'!$Q5,"CCC","D")))))))</f>
        <v/>
      </c>
      <c r="V335" s="12">
        <f>IF(U335="","",INDEX('状态价值'!$D5:$K5,MATCH(U335,'状态价值'!$D$1:$K$1,0)))</f>
        <v/>
      </c>
      <c r="W335" s="15">
        <f>NORM.S.INV(RAND())</f>
        <v/>
      </c>
      <c r="X335" s="15">
        <f>IF('组合输入'!$C6="","",'组合输入'!$H6*$B335+SQRT(1-'组合输入'!$H6^2)*W335)</f>
        <v/>
      </c>
      <c r="Y335" s="7">
        <f>IF(X335="","",NORM.S.DIST(X335,TRUE))</f>
        <v/>
      </c>
      <c r="Z335" s="13">
        <f>IF(Y335="","",IF(Y335&lt;='组合输入'!$K6,"AAA",IF(Y335&lt;='组合输入'!$L6,"AA",IF(Y335&lt;='组合输入'!$M6,"A",IF(Y335&lt;='组合输入'!$N6,"BBB",IF(Y335&lt;='组合输入'!$O6,"BB",IF(Y335&lt;='组合输入'!$P6,"B",IF(Y335&lt;='组合输入'!$Q6,"CCC","D")))))))</f>
        <v/>
      </c>
      <c r="AA335" s="12">
        <f>IF(Z335="","",INDEX('状态价值'!$D6:$K6,MATCH(Z335,'状态价值'!$D$1:$K$1,0)))</f>
        <v/>
      </c>
      <c r="AB335" s="15">
        <f>NORM.S.INV(RAND())</f>
        <v/>
      </c>
      <c r="AC335" s="15">
        <f>IF('组合输入'!$C7="","",'组合输入'!$H7*$B335+SQRT(1-'组合输入'!$H7^2)*AB335)</f>
        <v/>
      </c>
      <c r="AD335" s="7">
        <f>IF(AC335="","",NORM.S.DIST(AC335,TRUE))</f>
        <v/>
      </c>
      <c r="AE335" s="13">
        <f>IF(AD335="","",IF(AD335&lt;='组合输入'!$K7,"AAA",IF(AD335&lt;='组合输入'!$L7,"AA",IF(AD335&lt;='组合输入'!$M7,"A",IF(AD335&lt;='组合输入'!$N7,"BBB",IF(AD335&lt;='组合输入'!$O7,"BB",IF(AD335&lt;='组合输入'!$P7,"B",IF(AD335&lt;='组合输入'!$Q7,"CCC","D")))))))</f>
        <v/>
      </c>
      <c r="AF335" s="12">
        <f>IF(AE335="","",INDEX('状态价值'!$D7:$K7,MATCH(AE335,'状态价值'!$D$1:$K$1,0)))</f>
        <v/>
      </c>
      <c r="AG335" s="15">
        <f>NORM.S.INV(RAND())</f>
        <v/>
      </c>
      <c r="AH335" s="15">
        <f>IF('组合输入'!$C8="","",'组合输入'!$H8*$B335+SQRT(1-'组合输入'!$H8^2)*AG335)</f>
        <v/>
      </c>
      <c r="AI335" s="7">
        <f>IF(AH335="","",NORM.S.DIST(AH335,TRUE))</f>
        <v/>
      </c>
      <c r="AJ335" s="13">
        <f>IF(AI335="","",IF(AI335&lt;='组合输入'!$K8,"AAA",IF(AI335&lt;='组合输入'!$L8,"AA",IF(AI335&lt;='组合输入'!$M8,"A",IF(AI335&lt;='组合输入'!$N8,"BBB",IF(AI335&lt;='组合输入'!$O8,"BB",IF(AI335&lt;='组合输入'!$P8,"B",IF(AI335&lt;='组合输入'!$Q8,"CCC","D")))))))</f>
        <v/>
      </c>
      <c r="AK335" s="12">
        <f>IF(AJ335="","",INDEX('状态价值'!$D8:$K8,MATCH(AJ335,'状态价值'!$D$1:$K$1,0)))</f>
        <v/>
      </c>
      <c r="AL335" s="15">
        <f>NORM.S.INV(RAND())</f>
        <v/>
      </c>
      <c r="AM335" s="15">
        <f>IF('组合输入'!$C9="","",'组合输入'!$H9*$B335+SQRT(1-'组合输入'!$H9^2)*AL335)</f>
        <v/>
      </c>
      <c r="AN335" s="7">
        <f>IF(AM335="","",NORM.S.DIST(AM335,TRUE))</f>
        <v/>
      </c>
      <c r="AO335" s="13">
        <f>IF(AN335="","",IF(AN335&lt;='组合输入'!$K9,"AAA",IF(AN335&lt;='组合输入'!$L9,"AA",IF(AN335&lt;='组合输入'!$M9,"A",IF(AN335&lt;='组合输入'!$N9,"BBB",IF(AN335&lt;='组合输入'!$O9,"BB",IF(AN335&lt;='组合输入'!$P9,"B",IF(AN335&lt;='组合输入'!$Q9,"CCC","D")))))))</f>
        <v/>
      </c>
      <c r="AP335" s="12">
        <f>IF(AO335="","",INDEX('状态价值'!$D9:$K9,MATCH(AO335,'状态价值'!$D$1:$K$1,0)))</f>
        <v/>
      </c>
      <c r="AQ335" s="15">
        <f>NORM.S.INV(RAND())</f>
        <v/>
      </c>
      <c r="AR335" s="15">
        <f>IF('组合输入'!$C10="","",'组合输入'!$H10*$B335+SQRT(1-'组合输入'!$H10^2)*AQ335)</f>
        <v/>
      </c>
      <c r="AS335" s="7">
        <f>IF(AR335="","",NORM.S.DIST(AR335,TRUE))</f>
        <v/>
      </c>
      <c r="AT335" s="13">
        <f>IF(AS335="","",IF(AS335&lt;='组合输入'!$K10,"AAA",IF(AS335&lt;='组合输入'!$L10,"AA",IF(AS335&lt;='组合输入'!$M10,"A",IF(AS335&lt;='组合输入'!$N10,"BBB",IF(AS335&lt;='组合输入'!$O10,"BB",IF(AS335&lt;='组合输入'!$P10,"B",IF(AS335&lt;='组合输入'!$Q10,"CCC","D")))))))</f>
        <v/>
      </c>
      <c r="AU335" s="12">
        <f>IF(AT335="","",INDEX('状态价值'!$D10:$K10,MATCH(AT335,'状态价值'!$D$1:$K$1,0)))</f>
        <v/>
      </c>
      <c r="AV335" s="15">
        <f>NORM.S.INV(RAND())</f>
        <v/>
      </c>
      <c r="AW335" s="15">
        <f>IF('组合输入'!$C11="","",'组合输入'!$H11*$B335+SQRT(1-'组合输入'!$H11^2)*AV335)</f>
        <v/>
      </c>
      <c r="AX335" s="7">
        <f>IF(AW335="","",NORM.S.DIST(AW335,TRUE))</f>
        <v/>
      </c>
      <c r="AY335" s="13">
        <f>IF(AX335="","",IF(AX335&lt;='组合输入'!$K11,"AAA",IF(AX335&lt;='组合输入'!$L11,"AA",IF(AX335&lt;='组合输入'!$M11,"A",IF(AX335&lt;='组合输入'!$N11,"BBB",IF(AX335&lt;='组合输入'!$O11,"BB",IF(AX335&lt;='组合输入'!$P11,"B",IF(AX335&lt;='组合输入'!$Q11,"CCC","D")))))))</f>
        <v/>
      </c>
      <c r="AZ335" s="12">
        <f>IF(AY335="","",INDEX('状态价值'!$D11:$K11,MATCH(AY335,'状态价值'!$D$1:$K$1,0)))</f>
        <v/>
      </c>
      <c r="BA335" s="12">
        <f>G335+L335+Q335+V335+AA335+AF335+AK335+AP335+AU335+AZ335</f>
        <v/>
      </c>
      <c r="BB335" s="12">
        <f>SUM('组合输入'!$J$2:$J$11)-BA335</f>
        <v/>
      </c>
    </row>
    <row r="336">
      <c r="A336" s="11" t="n">
        <v>335</v>
      </c>
      <c r="B336" s="14">
        <f>NORM.S.INV(RAND())</f>
        <v/>
      </c>
      <c r="C336" s="14">
        <f>NORM.S.INV(RAND())</f>
        <v/>
      </c>
      <c r="D336" s="15">
        <f>IF('组合输入'!$C2="","",'组合输入'!$H2*$B336+SQRT(1-'组合输入'!$H2^2)*C336)</f>
        <v/>
      </c>
      <c r="E336" s="7">
        <f>IF(D336="","",NORM.S.DIST(D336,TRUE))</f>
        <v/>
      </c>
      <c r="F336" s="13">
        <f>IF(E336="","",IF(E336&lt;='组合输入'!$K2,"AAA",IF(E336&lt;='组合输入'!$L2,"AA",IF(E336&lt;='组合输入'!$M2,"A",IF(E336&lt;='组合输入'!$N2,"BBB",IF(E336&lt;='组合输入'!$O2,"BB",IF(E336&lt;='组合输入'!$P2,"B",IF(E336&lt;='组合输入'!$Q2,"CCC","D")))))))</f>
        <v/>
      </c>
      <c r="G336" s="12">
        <f>IF(F336="","",INDEX('状态价值'!$D2:$K2,MATCH(F336,'状态价值'!$D$1:$K$1,0)))</f>
        <v/>
      </c>
      <c r="H336" s="15">
        <f>NORM.S.INV(RAND())</f>
        <v/>
      </c>
      <c r="I336" s="15">
        <f>IF('组合输入'!$C3="","",'组合输入'!$H3*$B336+SQRT(1-'组合输入'!$H3^2)*H336)</f>
        <v/>
      </c>
      <c r="J336" s="7">
        <f>IF(I336="","",NORM.S.DIST(I336,TRUE))</f>
        <v/>
      </c>
      <c r="K336" s="13">
        <f>IF(J336="","",IF(J336&lt;='组合输入'!$K3,"AAA",IF(J336&lt;='组合输入'!$L3,"AA",IF(J336&lt;='组合输入'!$M3,"A",IF(J336&lt;='组合输入'!$N3,"BBB",IF(J336&lt;='组合输入'!$O3,"BB",IF(J336&lt;='组合输入'!$P3,"B",IF(J336&lt;='组合输入'!$Q3,"CCC","D")))))))</f>
        <v/>
      </c>
      <c r="L336" s="12">
        <f>IF(K336="","",INDEX('状态价值'!$D3:$K3,MATCH(K336,'状态价值'!$D$1:$K$1,0)))</f>
        <v/>
      </c>
      <c r="M336" s="15">
        <f>NORM.S.INV(RAND())</f>
        <v/>
      </c>
      <c r="N336" s="15">
        <f>IF('组合输入'!$C4="","",'组合输入'!$H4*$B336+SQRT(1-'组合输入'!$H4^2)*M336)</f>
        <v/>
      </c>
      <c r="O336" s="7">
        <f>IF(N336="","",NORM.S.DIST(N336,TRUE))</f>
        <v/>
      </c>
      <c r="P336" s="13">
        <f>IF(O336="","",IF(O336&lt;='组合输入'!$K4,"AAA",IF(O336&lt;='组合输入'!$L4,"AA",IF(O336&lt;='组合输入'!$M4,"A",IF(O336&lt;='组合输入'!$N4,"BBB",IF(O336&lt;='组合输入'!$O4,"BB",IF(O336&lt;='组合输入'!$P4,"B",IF(O336&lt;='组合输入'!$Q4,"CCC","D")))))))</f>
        <v/>
      </c>
      <c r="Q336" s="12">
        <f>IF(P336="","",INDEX('状态价值'!$D4:$K4,MATCH(P336,'状态价值'!$D$1:$K$1,0)))</f>
        <v/>
      </c>
      <c r="R336" s="15">
        <f>NORM.S.INV(RAND())</f>
        <v/>
      </c>
      <c r="S336" s="15">
        <f>IF('组合输入'!$C5="","",'组合输入'!$H5*$B336+SQRT(1-'组合输入'!$H5^2)*R336)</f>
        <v/>
      </c>
      <c r="T336" s="7">
        <f>IF(S336="","",NORM.S.DIST(S336,TRUE))</f>
        <v/>
      </c>
      <c r="U336" s="13">
        <f>IF(T336="","",IF(T336&lt;='组合输入'!$K5,"AAA",IF(T336&lt;='组合输入'!$L5,"AA",IF(T336&lt;='组合输入'!$M5,"A",IF(T336&lt;='组合输入'!$N5,"BBB",IF(T336&lt;='组合输入'!$O5,"BB",IF(T336&lt;='组合输入'!$P5,"B",IF(T336&lt;='组合输入'!$Q5,"CCC","D")))))))</f>
        <v/>
      </c>
      <c r="V336" s="12">
        <f>IF(U336="","",INDEX('状态价值'!$D5:$K5,MATCH(U336,'状态价值'!$D$1:$K$1,0)))</f>
        <v/>
      </c>
      <c r="W336" s="15">
        <f>NORM.S.INV(RAND())</f>
        <v/>
      </c>
      <c r="X336" s="15">
        <f>IF('组合输入'!$C6="","",'组合输入'!$H6*$B336+SQRT(1-'组合输入'!$H6^2)*W336)</f>
        <v/>
      </c>
      <c r="Y336" s="7">
        <f>IF(X336="","",NORM.S.DIST(X336,TRUE))</f>
        <v/>
      </c>
      <c r="Z336" s="13">
        <f>IF(Y336="","",IF(Y336&lt;='组合输入'!$K6,"AAA",IF(Y336&lt;='组合输入'!$L6,"AA",IF(Y336&lt;='组合输入'!$M6,"A",IF(Y336&lt;='组合输入'!$N6,"BBB",IF(Y336&lt;='组合输入'!$O6,"BB",IF(Y336&lt;='组合输入'!$P6,"B",IF(Y336&lt;='组合输入'!$Q6,"CCC","D")))))))</f>
        <v/>
      </c>
      <c r="AA336" s="12">
        <f>IF(Z336="","",INDEX('状态价值'!$D6:$K6,MATCH(Z336,'状态价值'!$D$1:$K$1,0)))</f>
        <v/>
      </c>
      <c r="AB336" s="15">
        <f>NORM.S.INV(RAND())</f>
        <v/>
      </c>
      <c r="AC336" s="15">
        <f>IF('组合输入'!$C7="","",'组合输入'!$H7*$B336+SQRT(1-'组合输入'!$H7^2)*AB336)</f>
        <v/>
      </c>
      <c r="AD336" s="7">
        <f>IF(AC336="","",NORM.S.DIST(AC336,TRUE))</f>
        <v/>
      </c>
      <c r="AE336" s="13">
        <f>IF(AD336="","",IF(AD336&lt;='组合输入'!$K7,"AAA",IF(AD336&lt;='组合输入'!$L7,"AA",IF(AD336&lt;='组合输入'!$M7,"A",IF(AD336&lt;='组合输入'!$N7,"BBB",IF(AD336&lt;='组合输入'!$O7,"BB",IF(AD336&lt;='组合输入'!$P7,"B",IF(AD336&lt;='组合输入'!$Q7,"CCC","D")))))))</f>
        <v/>
      </c>
      <c r="AF336" s="12">
        <f>IF(AE336="","",INDEX('状态价值'!$D7:$K7,MATCH(AE336,'状态价值'!$D$1:$K$1,0)))</f>
        <v/>
      </c>
      <c r="AG336" s="15">
        <f>NORM.S.INV(RAND())</f>
        <v/>
      </c>
      <c r="AH336" s="15">
        <f>IF('组合输入'!$C8="","",'组合输入'!$H8*$B336+SQRT(1-'组合输入'!$H8^2)*AG336)</f>
        <v/>
      </c>
      <c r="AI336" s="7">
        <f>IF(AH336="","",NORM.S.DIST(AH336,TRUE))</f>
        <v/>
      </c>
      <c r="AJ336" s="13">
        <f>IF(AI336="","",IF(AI336&lt;='组合输入'!$K8,"AAA",IF(AI336&lt;='组合输入'!$L8,"AA",IF(AI336&lt;='组合输入'!$M8,"A",IF(AI336&lt;='组合输入'!$N8,"BBB",IF(AI336&lt;='组合输入'!$O8,"BB",IF(AI336&lt;='组合输入'!$P8,"B",IF(AI336&lt;='组合输入'!$Q8,"CCC","D")))))))</f>
        <v/>
      </c>
      <c r="AK336" s="12">
        <f>IF(AJ336="","",INDEX('状态价值'!$D8:$K8,MATCH(AJ336,'状态价值'!$D$1:$K$1,0)))</f>
        <v/>
      </c>
      <c r="AL336" s="15">
        <f>NORM.S.INV(RAND())</f>
        <v/>
      </c>
      <c r="AM336" s="15">
        <f>IF('组合输入'!$C9="","",'组合输入'!$H9*$B336+SQRT(1-'组合输入'!$H9^2)*AL336)</f>
        <v/>
      </c>
      <c r="AN336" s="7">
        <f>IF(AM336="","",NORM.S.DIST(AM336,TRUE))</f>
        <v/>
      </c>
      <c r="AO336" s="13">
        <f>IF(AN336="","",IF(AN336&lt;='组合输入'!$K9,"AAA",IF(AN336&lt;='组合输入'!$L9,"AA",IF(AN336&lt;='组合输入'!$M9,"A",IF(AN336&lt;='组合输入'!$N9,"BBB",IF(AN336&lt;='组合输入'!$O9,"BB",IF(AN336&lt;='组合输入'!$P9,"B",IF(AN336&lt;='组合输入'!$Q9,"CCC","D")))))))</f>
        <v/>
      </c>
      <c r="AP336" s="12">
        <f>IF(AO336="","",INDEX('状态价值'!$D9:$K9,MATCH(AO336,'状态价值'!$D$1:$K$1,0)))</f>
        <v/>
      </c>
      <c r="AQ336" s="15">
        <f>NORM.S.INV(RAND())</f>
        <v/>
      </c>
      <c r="AR336" s="15">
        <f>IF('组合输入'!$C10="","",'组合输入'!$H10*$B336+SQRT(1-'组合输入'!$H10^2)*AQ336)</f>
        <v/>
      </c>
      <c r="AS336" s="7">
        <f>IF(AR336="","",NORM.S.DIST(AR336,TRUE))</f>
        <v/>
      </c>
      <c r="AT336" s="13">
        <f>IF(AS336="","",IF(AS336&lt;='组合输入'!$K10,"AAA",IF(AS336&lt;='组合输入'!$L10,"AA",IF(AS336&lt;='组合输入'!$M10,"A",IF(AS336&lt;='组合输入'!$N10,"BBB",IF(AS336&lt;='组合输入'!$O10,"BB",IF(AS336&lt;='组合输入'!$P10,"B",IF(AS336&lt;='组合输入'!$Q10,"CCC","D")))))))</f>
        <v/>
      </c>
      <c r="AU336" s="12">
        <f>IF(AT336="","",INDEX('状态价值'!$D10:$K10,MATCH(AT336,'状态价值'!$D$1:$K$1,0)))</f>
        <v/>
      </c>
      <c r="AV336" s="15">
        <f>NORM.S.INV(RAND())</f>
        <v/>
      </c>
      <c r="AW336" s="15">
        <f>IF('组合输入'!$C11="","",'组合输入'!$H11*$B336+SQRT(1-'组合输入'!$H11^2)*AV336)</f>
        <v/>
      </c>
      <c r="AX336" s="7">
        <f>IF(AW336="","",NORM.S.DIST(AW336,TRUE))</f>
        <v/>
      </c>
      <c r="AY336" s="13">
        <f>IF(AX336="","",IF(AX336&lt;='组合输入'!$K11,"AAA",IF(AX336&lt;='组合输入'!$L11,"AA",IF(AX336&lt;='组合输入'!$M11,"A",IF(AX336&lt;='组合输入'!$N11,"BBB",IF(AX336&lt;='组合输入'!$O11,"BB",IF(AX336&lt;='组合输入'!$P11,"B",IF(AX336&lt;='组合输入'!$Q11,"CCC","D")))))))</f>
        <v/>
      </c>
      <c r="AZ336" s="12">
        <f>IF(AY336="","",INDEX('状态价值'!$D11:$K11,MATCH(AY336,'状态价值'!$D$1:$K$1,0)))</f>
        <v/>
      </c>
      <c r="BA336" s="12">
        <f>G336+L336+Q336+V336+AA336+AF336+AK336+AP336+AU336+AZ336</f>
        <v/>
      </c>
      <c r="BB336" s="12">
        <f>SUM('组合输入'!$J$2:$J$11)-BA336</f>
        <v/>
      </c>
    </row>
    <row r="337">
      <c r="A337" s="11" t="n">
        <v>336</v>
      </c>
      <c r="B337" s="14">
        <f>NORM.S.INV(RAND())</f>
        <v/>
      </c>
      <c r="C337" s="14">
        <f>NORM.S.INV(RAND())</f>
        <v/>
      </c>
      <c r="D337" s="15">
        <f>IF('组合输入'!$C2="","",'组合输入'!$H2*$B337+SQRT(1-'组合输入'!$H2^2)*C337)</f>
        <v/>
      </c>
      <c r="E337" s="7">
        <f>IF(D337="","",NORM.S.DIST(D337,TRUE))</f>
        <v/>
      </c>
      <c r="F337" s="13">
        <f>IF(E337="","",IF(E337&lt;='组合输入'!$K2,"AAA",IF(E337&lt;='组合输入'!$L2,"AA",IF(E337&lt;='组合输入'!$M2,"A",IF(E337&lt;='组合输入'!$N2,"BBB",IF(E337&lt;='组合输入'!$O2,"BB",IF(E337&lt;='组合输入'!$P2,"B",IF(E337&lt;='组合输入'!$Q2,"CCC","D")))))))</f>
        <v/>
      </c>
      <c r="G337" s="12">
        <f>IF(F337="","",INDEX('状态价值'!$D2:$K2,MATCH(F337,'状态价值'!$D$1:$K$1,0)))</f>
        <v/>
      </c>
      <c r="H337" s="15">
        <f>NORM.S.INV(RAND())</f>
        <v/>
      </c>
      <c r="I337" s="15">
        <f>IF('组合输入'!$C3="","",'组合输入'!$H3*$B337+SQRT(1-'组合输入'!$H3^2)*H337)</f>
        <v/>
      </c>
      <c r="J337" s="7">
        <f>IF(I337="","",NORM.S.DIST(I337,TRUE))</f>
        <v/>
      </c>
      <c r="K337" s="13">
        <f>IF(J337="","",IF(J337&lt;='组合输入'!$K3,"AAA",IF(J337&lt;='组合输入'!$L3,"AA",IF(J337&lt;='组合输入'!$M3,"A",IF(J337&lt;='组合输入'!$N3,"BBB",IF(J337&lt;='组合输入'!$O3,"BB",IF(J337&lt;='组合输入'!$P3,"B",IF(J337&lt;='组合输入'!$Q3,"CCC","D")))))))</f>
        <v/>
      </c>
      <c r="L337" s="12">
        <f>IF(K337="","",INDEX('状态价值'!$D3:$K3,MATCH(K337,'状态价值'!$D$1:$K$1,0)))</f>
        <v/>
      </c>
      <c r="M337" s="15">
        <f>NORM.S.INV(RAND())</f>
        <v/>
      </c>
      <c r="N337" s="15">
        <f>IF('组合输入'!$C4="","",'组合输入'!$H4*$B337+SQRT(1-'组合输入'!$H4^2)*M337)</f>
        <v/>
      </c>
      <c r="O337" s="7">
        <f>IF(N337="","",NORM.S.DIST(N337,TRUE))</f>
        <v/>
      </c>
      <c r="P337" s="13">
        <f>IF(O337="","",IF(O337&lt;='组合输入'!$K4,"AAA",IF(O337&lt;='组合输入'!$L4,"AA",IF(O337&lt;='组合输入'!$M4,"A",IF(O337&lt;='组合输入'!$N4,"BBB",IF(O337&lt;='组合输入'!$O4,"BB",IF(O337&lt;='组合输入'!$P4,"B",IF(O337&lt;='组合输入'!$Q4,"CCC","D")))))))</f>
        <v/>
      </c>
      <c r="Q337" s="12">
        <f>IF(P337="","",INDEX('状态价值'!$D4:$K4,MATCH(P337,'状态价值'!$D$1:$K$1,0)))</f>
        <v/>
      </c>
      <c r="R337" s="15">
        <f>NORM.S.INV(RAND())</f>
        <v/>
      </c>
      <c r="S337" s="15">
        <f>IF('组合输入'!$C5="","",'组合输入'!$H5*$B337+SQRT(1-'组合输入'!$H5^2)*R337)</f>
        <v/>
      </c>
      <c r="T337" s="7">
        <f>IF(S337="","",NORM.S.DIST(S337,TRUE))</f>
        <v/>
      </c>
      <c r="U337" s="13">
        <f>IF(T337="","",IF(T337&lt;='组合输入'!$K5,"AAA",IF(T337&lt;='组合输入'!$L5,"AA",IF(T337&lt;='组合输入'!$M5,"A",IF(T337&lt;='组合输入'!$N5,"BBB",IF(T337&lt;='组合输入'!$O5,"BB",IF(T337&lt;='组合输入'!$P5,"B",IF(T337&lt;='组合输入'!$Q5,"CCC","D")))))))</f>
        <v/>
      </c>
      <c r="V337" s="12">
        <f>IF(U337="","",INDEX('状态价值'!$D5:$K5,MATCH(U337,'状态价值'!$D$1:$K$1,0)))</f>
        <v/>
      </c>
      <c r="W337" s="15">
        <f>NORM.S.INV(RAND())</f>
        <v/>
      </c>
      <c r="X337" s="15">
        <f>IF('组合输入'!$C6="","",'组合输入'!$H6*$B337+SQRT(1-'组合输入'!$H6^2)*W337)</f>
        <v/>
      </c>
      <c r="Y337" s="7">
        <f>IF(X337="","",NORM.S.DIST(X337,TRUE))</f>
        <v/>
      </c>
      <c r="Z337" s="13">
        <f>IF(Y337="","",IF(Y337&lt;='组合输入'!$K6,"AAA",IF(Y337&lt;='组合输入'!$L6,"AA",IF(Y337&lt;='组合输入'!$M6,"A",IF(Y337&lt;='组合输入'!$N6,"BBB",IF(Y337&lt;='组合输入'!$O6,"BB",IF(Y337&lt;='组合输入'!$P6,"B",IF(Y337&lt;='组合输入'!$Q6,"CCC","D")))))))</f>
        <v/>
      </c>
      <c r="AA337" s="12">
        <f>IF(Z337="","",INDEX('状态价值'!$D6:$K6,MATCH(Z337,'状态价值'!$D$1:$K$1,0)))</f>
        <v/>
      </c>
      <c r="AB337" s="15">
        <f>NORM.S.INV(RAND())</f>
        <v/>
      </c>
      <c r="AC337" s="15">
        <f>IF('组合输入'!$C7="","",'组合输入'!$H7*$B337+SQRT(1-'组合输入'!$H7^2)*AB337)</f>
        <v/>
      </c>
      <c r="AD337" s="7">
        <f>IF(AC337="","",NORM.S.DIST(AC337,TRUE))</f>
        <v/>
      </c>
      <c r="AE337" s="13">
        <f>IF(AD337="","",IF(AD337&lt;='组合输入'!$K7,"AAA",IF(AD337&lt;='组合输入'!$L7,"AA",IF(AD337&lt;='组合输入'!$M7,"A",IF(AD337&lt;='组合输入'!$N7,"BBB",IF(AD337&lt;='组合输入'!$O7,"BB",IF(AD337&lt;='组合输入'!$P7,"B",IF(AD337&lt;='组合输入'!$Q7,"CCC","D")))))))</f>
        <v/>
      </c>
      <c r="AF337" s="12">
        <f>IF(AE337="","",INDEX('状态价值'!$D7:$K7,MATCH(AE337,'状态价值'!$D$1:$K$1,0)))</f>
        <v/>
      </c>
      <c r="AG337" s="15">
        <f>NORM.S.INV(RAND())</f>
        <v/>
      </c>
      <c r="AH337" s="15">
        <f>IF('组合输入'!$C8="","",'组合输入'!$H8*$B337+SQRT(1-'组合输入'!$H8^2)*AG337)</f>
        <v/>
      </c>
      <c r="AI337" s="7">
        <f>IF(AH337="","",NORM.S.DIST(AH337,TRUE))</f>
        <v/>
      </c>
      <c r="AJ337" s="13">
        <f>IF(AI337="","",IF(AI337&lt;='组合输入'!$K8,"AAA",IF(AI337&lt;='组合输入'!$L8,"AA",IF(AI337&lt;='组合输入'!$M8,"A",IF(AI337&lt;='组合输入'!$N8,"BBB",IF(AI337&lt;='组合输入'!$O8,"BB",IF(AI337&lt;='组合输入'!$P8,"B",IF(AI337&lt;='组合输入'!$Q8,"CCC","D")))))))</f>
        <v/>
      </c>
      <c r="AK337" s="12">
        <f>IF(AJ337="","",INDEX('状态价值'!$D8:$K8,MATCH(AJ337,'状态价值'!$D$1:$K$1,0)))</f>
        <v/>
      </c>
      <c r="AL337" s="15">
        <f>NORM.S.INV(RAND())</f>
        <v/>
      </c>
      <c r="AM337" s="15">
        <f>IF('组合输入'!$C9="","",'组合输入'!$H9*$B337+SQRT(1-'组合输入'!$H9^2)*AL337)</f>
        <v/>
      </c>
      <c r="AN337" s="7">
        <f>IF(AM337="","",NORM.S.DIST(AM337,TRUE))</f>
        <v/>
      </c>
      <c r="AO337" s="13">
        <f>IF(AN337="","",IF(AN337&lt;='组合输入'!$K9,"AAA",IF(AN337&lt;='组合输入'!$L9,"AA",IF(AN337&lt;='组合输入'!$M9,"A",IF(AN337&lt;='组合输入'!$N9,"BBB",IF(AN337&lt;='组合输入'!$O9,"BB",IF(AN337&lt;='组合输入'!$P9,"B",IF(AN337&lt;='组合输入'!$Q9,"CCC","D")))))))</f>
        <v/>
      </c>
      <c r="AP337" s="12">
        <f>IF(AO337="","",INDEX('状态价值'!$D9:$K9,MATCH(AO337,'状态价值'!$D$1:$K$1,0)))</f>
        <v/>
      </c>
      <c r="AQ337" s="15">
        <f>NORM.S.INV(RAND())</f>
        <v/>
      </c>
      <c r="AR337" s="15">
        <f>IF('组合输入'!$C10="","",'组合输入'!$H10*$B337+SQRT(1-'组合输入'!$H10^2)*AQ337)</f>
        <v/>
      </c>
      <c r="AS337" s="7">
        <f>IF(AR337="","",NORM.S.DIST(AR337,TRUE))</f>
        <v/>
      </c>
      <c r="AT337" s="13">
        <f>IF(AS337="","",IF(AS337&lt;='组合输入'!$K10,"AAA",IF(AS337&lt;='组合输入'!$L10,"AA",IF(AS337&lt;='组合输入'!$M10,"A",IF(AS337&lt;='组合输入'!$N10,"BBB",IF(AS337&lt;='组合输入'!$O10,"BB",IF(AS337&lt;='组合输入'!$P10,"B",IF(AS337&lt;='组合输入'!$Q10,"CCC","D")))))))</f>
        <v/>
      </c>
      <c r="AU337" s="12">
        <f>IF(AT337="","",INDEX('状态价值'!$D10:$K10,MATCH(AT337,'状态价值'!$D$1:$K$1,0)))</f>
        <v/>
      </c>
      <c r="AV337" s="15">
        <f>NORM.S.INV(RAND())</f>
        <v/>
      </c>
      <c r="AW337" s="15">
        <f>IF('组合输入'!$C11="","",'组合输入'!$H11*$B337+SQRT(1-'组合输入'!$H11^2)*AV337)</f>
        <v/>
      </c>
      <c r="AX337" s="7">
        <f>IF(AW337="","",NORM.S.DIST(AW337,TRUE))</f>
        <v/>
      </c>
      <c r="AY337" s="13">
        <f>IF(AX337="","",IF(AX337&lt;='组合输入'!$K11,"AAA",IF(AX337&lt;='组合输入'!$L11,"AA",IF(AX337&lt;='组合输入'!$M11,"A",IF(AX337&lt;='组合输入'!$N11,"BBB",IF(AX337&lt;='组合输入'!$O11,"BB",IF(AX337&lt;='组合输入'!$P11,"B",IF(AX337&lt;='组合输入'!$Q11,"CCC","D")))))))</f>
        <v/>
      </c>
      <c r="AZ337" s="12">
        <f>IF(AY337="","",INDEX('状态价值'!$D11:$K11,MATCH(AY337,'状态价值'!$D$1:$K$1,0)))</f>
        <v/>
      </c>
      <c r="BA337" s="12">
        <f>G337+L337+Q337+V337+AA337+AF337+AK337+AP337+AU337+AZ337</f>
        <v/>
      </c>
      <c r="BB337" s="12">
        <f>SUM('组合输入'!$J$2:$J$11)-BA337</f>
        <v/>
      </c>
    </row>
    <row r="338">
      <c r="A338" s="11" t="n">
        <v>337</v>
      </c>
      <c r="B338" s="14">
        <f>NORM.S.INV(RAND())</f>
        <v/>
      </c>
      <c r="C338" s="14">
        <f>NORM.S.INV(RAND())</f>
        <v/>
      </c>
      <c r="D338" s="15">
        <f>IF('组合输入'!$C2="","",'组合输入'!$H2*$B338+SQRT(1-'组合输入'!$H2^2)*C338)</f>
        <v/>
      </c>
      <c r="E338" s="7">
        <f>IF(D338="","",NORM.S.DIST(D338,TRUE))</f>
        <v/>
      </c>
      <c r="F338" s="13">
        <f>IF(E338="","",IF(E338&lt;='组合输入'!$K2,"AAA",IF(E338&lt;='组合输入'!$L2,"AA",IF(E338&lt;='组合输入'!$M2,"A",IF(E338&lt;='组合输入'!$N2,"BBB",IF(E338&lt;='组合输入'!$O2,"BB",IF(E338&lt;='组合输入'!$P2,"B",IF(E338&lt;='组合输入'!$Q2,"CCC","D")))))))</f>
        <v/>
      </c>
      <c r="G338" s="12">
        <f>IF(F338="","",INDEX('状态价值'!$D2:$K2,MATCH(F338,'状态价值'!$D$1:$K$1,0)))</f>
        <v/>
      </c>
      <c r="H338" s="15">
        <f>NORM.S.INV(RAND())</f>
        <v/>
      </c>
      <c r="I338" s="15">
        <f>IF('组合输入'!$C3="","",'组合输入'!$H3*$B338+SQRT(1-'组合输入'!$H3^2)*H338)</f>
        <v/>
      </c>
      <c r="J338" s="7">
        <f>IF(I338="","",NORM.S.DIST(I338,TRUE))</f>
        <v/>
      </c>
      <c r="K338" s="13">
        <f>IF(J338="","",IF(J338&lt;='组合输入'!$K3,"AAA",IF(J338&lt;='组合输入'!$L3,"AA",IF(J338&lt;='组合输入'!$M3,"A",IF(J338&lt;='组合输入'!$N3,"BBB",IF(J338&lt;='组合输入'!$O3,"BB",IF(J338&lt;='组合输入'!$P3,"B",IF(J338&lt;='组合输入'!$Q3,"CCC","D")))))))</f>
        <v/>
      </c>
      <c r="L338" s="12">
        <f>IF(K338="","",INDEX('状态价值'!$D3:$K3,MATCH(K338,'状态价值'!$D$1:$K$1,0)))</f>
        <v/>
      </c>
      <c r="M338" s="15">
        <f>NORM.S.INV(RAND())</f>
        <v/>
      </c>
      <c r="N338" s="15">
        <f>IF('组合输入'!$C4="","",'组合输入'!$H4*$B338+SQRT(1-'组合输入'!$H4^2)*M338)</f>
        <v/>
      </c>
      <c r="O338" s="7">
        <f>IF(N338="","",NORM.S.DIST(N338,TRUE))</f>
        <v/>
      </c>
      <c r="P338" s="13">
        <f>IF(O338="","",IF(O338&lt;='组合输入'!$K4,"AAA",IF(O338&lt;='组合输入'!$L4,"AA",IF(O338&lt;='组合输入'!$M4,"A",IF(O338&lt;='组合输入'!$N4,"BBB",IF(O338&lt;='组合输入'!$O4,"BB",IF(O338&lt;='组合输入'!$P4,"B",IF(O338&lt;='组合输入'!$Q4,"CCC","D")))))))</f>
        <v/>
      </c>
      <c r="Q338" s="12">
        <f>IF(P338="","",INDEX('状态价值'!$D4:$K4,MATCH(P338,'状态价值'!$D$1:$K$1,0)))</f>
        <v/>
      </c>
      <c r="R338" s="15">
        <f>NORM.S.INV(RAND())</f>
        <v/>
      </c>
      <c r="S338" s="15">
        <f>IF('组合输入'!$C5="","",'组合输入'!$H5*$B338+SQRT(1-'组合输入'!$H5^2)*R338)</f>
        <v/>
      </c>
      <c r="T338" s="7">
        <f>IF(S338="","",NORM.S.DIST(S338,TRUE))</f>
        <v/>
      </c>
      <c r="U338" s="13">
        <f>IF(T338="","",IF(T338&lt;='组合输入'!$K5,"AAA",IF(T338&lt;='组合输入'!$L5,"AA",IF(T338&lt;='组合输入'!$M5,"A",IF(T338&lt;='组合输入'!$N5,"BBB",IF(T338&lt;='组合输入'!$O5,"BB",IF(T338&lt;='组合输入'!$P5,"B",IF(T338&lt;='组合输入'!$Q5,"CCC","D")))))))</f>
        <v/>
      </c>
      <c r="V338" s="12">
        <f>IF(U338="","",INDEX('状态价值'!$D5:$K5,MATCH(U338,'状态价值'!$D$1:$K$1,0)))</f>
        <v/>
      </c>
      <c r="W338" s="15">
        <f>NORM.S.INV(RAND())</f>
        <v/>
      </c>
      <c r="X338" s="15">
        <f>IF('组合输入'!$C6="","",'组合输入'!$H6*$B338+SQRT(1-'组合输入'!$H6^2)*W338)</f>
        <v/>
      </c>
      <c r="Y338" s="7">
        <f>IF(X338="","",NORM.S.DIST(X338,TRUE))</f>
        <v/>
      </c>
      <c r="Z338" s="13">
        <f>IF(Y338="","",IF(Y338&lt;='组合输入'!$K6,"AAA",IF(Y338&lt;='组合输入'!$L6,"AA",IF(Y338&lt;='组合输入'!$M6,"A",IF(Y338&lt;='组合输入'!$N6,"BBB",IF(Y338&lt;='组合输入'!$O6,"BB",IF(Y338&lt;='组合输入'!$P6,"B",IF(Y338&lt;='组合输入'!$Q6,"CCC","D")))))))</f>
        <v/>
      </c>
      <c r="AA338" s="12">
        <f>IF(Z338="","",INDEX('状态价值'!$D6:$K6,MATCH(Z338,'状态价值'!$D$1:$K$1,0)))</f>
        <v/>
      </c>
      <c r="AB338" s="15">
        <f>NORM.S.INV(RAND())</f>
        <v/>
      </c>
      <c r="AC338" s="15">
        <f>IF('组合输入'!$C7="","",'组合输入'!$H7*$B338+SQRT(1-'组合输入'!$H7^2)*AB338)</f>
        <v/>
      </c>
      <c r="AD338" s="7">
        <f>IF(AC338="","",NORM.S.DIST(AC338,TRUE))</f>
        <v/>
      </c>
      <c r="AE338" s="13">
        <f>IF(AD338="","",IF(AD338&lt;='组合输入'!$K7,"AAA",IF(AD338&lt;='组合输入'!$L7,"AA",IF(AD338&lt;='组合输入'!$M7,"A",IF(AD338&lt;='组合输入'!$N7,"BBB",IF(AD338&lt;='组合输入'!$O7,"BB",IF(AD338&lt;='组合输入'!$P7,"B",IF(AD338&lt;='组合输入'!$Q7,"CCC","D")))))))</f>
        <v/>
      </c>
      <c r="AF338" s="12">
        <f>IF(AE338="","",INDEX('状态价值'!$D7:$K7,MATCH(AE338,'状态价值'!$D$1:$K$1,0)))</f>
        <v/>
      </c>
      <c r="AG338" s="15">
        <f>NORM.S.INV(RAND())</f>
        <v/>
      </c>
      <c r="AH338" s="15">
        <f>IF('组合输入'!$C8="","",'组合输入'!$H8*$B338+SQRT(1-'组合输入'!$H8^2)*AG338)</f>
        <v/>
      </c>
      <c r="AI338" s="7">
        <f>IF(AH338="","",NORM.S.DIST(AH338,TRUE))</f>
        <v/>
      </c>
      <c r="AJ338" s="13">
        <f>IF(AI338="","",IF(AI338&lt;='组合输入'!$K8,"AAA",IF(AI338&lt;='组合输入'!$L8,"AA",IF(AI338&lt;='组合输入'!$M8,"A",IF(AI338&lt;='组合输入'!$N8,"BBB",IF(AI338&lt;='组合输入'!$O8,"BB",IF(AI338&lt;='组合输入'!$P8,"B",IF(AI338&lt;='组合输入'!$Q8,"CCC","D")))))))</f>
        <v/>
      </c>
      <c r="AK338" s="12">
        <f>IF(AJ338="","",INDEX('状态价值'!$D8:$K8,MATCH(AJ338,'状态价值'!$D$1:$K$1,0)))</f>
        <v/>
      </c>
      <c r="AL338" s="15">
        <f>NORM.S.INV(RAND())</f>
        <v/>
      </c>
      <c r="AM338" s="15">
        <f>IF('组合输入'!$C9="","",'组合输入'!$H9*$B338+SQRT(1-'组合输入'!$H9^2)*AL338)</f>
        <v/>
      </c>
      <c r="AN338" s="7">
        <f>IF(AM338="","",NORM.S.DIST(AM338,TRUE))</f>
        <v/>
      </c>
      <c r="AO338" s="13">
        <f>IF(AN338="","",IF(AN338&lt;='组合输入'!$K9,"AAA",IF(AN338&lt;='组合输入'!$L9,"AA",IF(AN338&lt;='组合输入'!$M9,"A",IF(AN338&lt;='组合输入'!$N9,"BBB",IF(AN338&lt;='组合输入'!$O9,"BB",IF(AN338&lt;='组合输入'!$P9,"B",IF(AN338&lt;='组合输入'!$Q9,"CCC","D")))))))</f>
        <v/>
      </c>
      <c r="AP338" s="12">
        <f>IF(AO338="","",INDEX('状态价值'!$D9:$K9,MATCH(AO338,'状态价值'!$D$1:$K$1,0)))</f>
        <v/>
      </c>
      <c r="AQ338" s="15">
        <f>NORM.S.INV(RAND())</f>
        <v/>
      </c>
      <c r="AR338" s="15">
        <f>IF('组合输入'!$C10="","",'组合输入'!$H10*$B338+SQRT(1-'组合输入'!$H10^2)*AQ338)</f>
        <v/>
      </c>
      <c r="AS338" s="7">
        <f>IF(AR338="","",NORM.S.DIST(AR338,TRUE))</f>
        <v/>
      </c>
      <c r="AT338" s="13">
        <f>IF(AS338="","",IF(AS338&lt;='组合输入'!$K10,"AAA",IF(AS338&lt;='组合输入'!$L10,"AA",IF(AS338&lt;='组合输入'!$M10,"A",IF(AS338&lt;='组合输入'!$N10,"BBB",IF(AS338&lt;='组合输入'!$O10,"BB",IF(AS338&lt;='组合输入'!$P10,"B",IF(AS338&lt;='组合输入'!$Q10,"CCC","D")))))))</f>
        <v/>
      </c>
      <c r="AU338" s="12">
        <f>IF(AT338="","",INDEX('状态价值'!$D10:$K10,MATCH(AT338,'状态价值'!$D$1:$K$1,0)))</f>
        <v/>
      </c>
      <c r="AV338" s="15">
        <f>NORM.S.INV(RAND())</f>
        <v/>
      </c>
      <c r="AW338" s="15">
        <f>IF('组合输入'!$C11="","",'组合输入'!$H11*$B338+SQRT(1-'组合输入'!$H11^2)*AV338)</f>
        <v/>
      </c>
      <c r="AX338" s="7">
        <f>IF(AW338="","",NORM.S.DIST(AW338,TRUE))</f>
        <v/>
      </c>
      <c r="AY338" s="13">
        <f>IF(AX338="","",IF(AX338&lt;='组合输入'!$K11,"AAA",IF(AX338&lt;='组合输入'!$L11,"AA",IF(AX338&lt;='组合输入'!$M11,"A",IF(AX338&lt;='组合输入'!$N11,"BBB",IF(AX338&lt;='组合输入'!$O11,"BB",IF(AX338&lt;='组合输入'!$P11,"B",IF(AX338&lt;='组合输入'!$Q11,"CCC","D")))))))</f>
        <v/>
      </c>
      <c r="AZ338" s="12">
        <f>IF(AY338="","",INDEX('状态价值'!$D11:$K11,MATCH(AY338,'状态价值'!$D$1:$K$1,0)))</f>
        <v/>
      </c>
      <c r="BA338" s="12">
        <f>G338+L338+Q338+V338+AA338+AF338+AK338+AP338+AU338+AZ338</f>
        <v/>
      </c>
      <c r="BB338" s="12">
        <f>SUM('组合输入'!$J$2:$J$11)-BA338</f>
        <v/>
      </c>
    </row>
    <row r="339">
      <c r="A339" s="11" t="n">
        <v>338</v>
      </c>
      <c r="B339" s="14">
        <f>NORM.S.INV(RAND())</f>
        <v/>
      </c>
      <c r="C339" s="14">
        <f>NORM.S.INV(RAND())</f>
        <v/>
      </c>
      <c r="D339" s="15">
        <f>IF('组合输入'!$C2="","",'组合输入'!$H2*$B339+SQRT(1-'组合输入'!$H2^2)*C339)</f>
        <v/>
      </c>
      <c r="E339" s="7">
        <f>IF(D339="","",NORM.S.DIST(D339,TRUE))</f>
        <v/>
      </c>
      <c r="F339" s="13">
        <f>IF(E339="","",IF(E339&lt;='组合输入'!$K2,"AAA",IF(E339&lt;='组合输入'!$L2,"AA",IF(E339&lt;='组合输入'!$M2,"A",IF(E339&lt;='组合输入'!$N2,"BBB",IF(E339&lt;='组合输入'!$O2,"BB",IF(E339&lt;='组合输入'!$P2,"B",IF(E339&lt;='组合输入'!$Q2,"CCC","D")))))))</f>
        <v/>
      </c>
      <c r="G339" s="12">
        <f>IF(F339="","",INDEX('状态价值'!$D2:$K2,MATCH(F339,'状态价值'!$D$1:$K$1,0)))</f>
        <v/>
      </c>
      <c r="H339" s="15">
        <f>NORM.S.INV(RAND())</f>
        <v/>
      </c>
      <c r="I339" s="15">
        <f>IF('组合输入'!$C3="","",'组合输入'!$H3*$B339+SQRT(1-'组合输入'!$H3^2)*H339)</f>
        <v/>
      </c>
      <c r="J339" s="7">
        <f>IF(I339="","",NORM.S.DIST(I339,TRUE))</f>
        <v/>
      </c>
      <c r="K339" s="13">
        <f>IF(J339="","",IF(J339&lt;='组合输入'!$K3,"AAA",IF(J339&lt;='组合输入'!$L3,"AA",IF(J339&lt;='组合输入'!$M3,"A",IF(J339&lt;='组合输入'!$N3,"BBB",IF(J339&lt;='组合输入'!$O3,"BB",IF(J339&lt;='组合输入'!$P3,"B",IF(J339&lt;='组合输入'!$Q3,"CCC","D")))))))</f>
        <v/>
      </c>
      <c r="L339" s="12">
        <f>IF(K339="","",INDEX('状态价值'!$D3:$K3,MATCH(K339,'状态价值'!$D$1:$K$1,0)))</f>
        <v/>
      </c>
      <c r="M339" s="15">
        <f>NORM.S.INV(RAND())</f>
        <v/>
      </c>
      <c r="N339" s="15">
        <f>IF('组合输入'!$C4="","",'组合输入'!$H4*$B339+SQRT(1-'组合输入'!$H4^2)*M339)</f>
        <v/>
      </c>
      <c r="O339" s="7">
        <f>IF(N339="","",NORM.S.DIST(N339,TRUE))</f>
        <v/>
      </c>
      <c r="P339" s="13">
        <f>IF(O339="","",IF(O339&lt;='组合输入'!$K4,"AAA",IF(O339&lt;='组合输入'!$L4,"AA",IF(O339&lt;='组合输入'!$M4,"A",IF(O339&lt;='组合输入'!$N4,"BBB",IF(O339&lt;='组合输入'!$O4,"BB",IF(O339&lt;='组合输入'!$P4,"B",IF(O339&lt;='组合输入'!$Q4,"CCC","D")))))))</f>
        <v/>
      </c>
      <c r="Q339" s="12">
        <f>IF(P339="","",INDEX('状态价值'!$D4:$K4,MATCH(P339,'状态价值'!$D$1:$K$1,0)))</f>
        <v/>
      </c>
      <c r="R339" s="15">
        <f>NORM.S.INV(RAND())</f>
        <v/>
      </c>
      <c r="S339" s="15">
        <f>IF('组合输入'!$C5="","",'组合输入'!$H5*$B339+SQRT(1-'组合输入'!$H5^2)*R339)</f>
        <v/>
      </c>
      <c r="T339" s="7">
        <f>IF(S339="","",NORM.S.DIST(S339,TRUE))</f>
        <v/>
      </c>
      <c r="U339" s="13">
        <f>IF(T339="","",IF(T339&lt;='组合输入'!$K5,"AAA",IF(T339&lt;='组合输入'!$L5,"AA",IF(T339&lt;='组合输入'!$M5,"A",IF(T339&lt;='组合输入'!$N5,"BBB",IF(T339&lt;='组合输入'!$O5,"BB",IF(T339&lt;='组合输入'!$P5,"B",IF(T339&lt;='组合输入'!$Q5,"CCC","D")))))))</f>
        <v/>
      </c>
      <c r="V339" s="12">
        <f>IF(U339="","",INDEX('状态价值'!$D5:$K5,MATCH(U339,'状态价值'!$D$1:$K$1,0)))</f>
        <v/>
      </c>
      <c r="W339" s="15">
        <f>NORM.S.INV(RAND())</f>
        <v/>
      </c>
      <c r="X339" s="15">
        <f>IF('组合输入'!$C6="","",'组合输入'!$H6*$B339+SQRT(1-'组合输入'!$H6^2)*W339)</f>
        <v/>
      </c>
      <c r="Y339" s="7">
        <f>IF(X339="","",NORM.S.DIST(X339,TRUE))</f>
        <v/>
      </c>
      <c r="Z339" s="13">
        <f>IF(Y339="","",IF(Y339&lt;='组合输入'!$K6,"AAA",IF(Y339&lt;='组合输入'!$L6,"AA",IF(Y339&lt;='组合输入'!$M6,"A",IF(Y339&lt;='组合输入'!$N6,"BBB",IF(Y339&lt;='组合输入'!$O6,"BB",IF(Y339&lt;='组合输入'!$P6,"B",IF(Y339&lt;='组合输入'!$Q6,"CCC","D")))))))</f>
        <v/>
      </c>
      <c r="AA339" s="12">
        <f>IF(Z339="","",INDEX('状态价值'!$D6:$K6,MATCH(Z339,'状态价值'!$D$1:$K$1,0)))</f>
        <v/>
      </c>
      <c r="AB339" s="15">
        <f>NORM.S.INV(RAND())</f>
        <v/>
      </c>
      <c r="AC339" s="15">
        <f>IF('组合输入'!$C7="","",'组合输入'!$H7*$B339+SQRT(1-'组合输入'!$H7^2)*AB339)</f>
        <v/>
      </c>
      <c r="AD339" s="7">
        <f>IF(AC339="","",NORM.S.DIST(AC339,TRUE))</f>
        <v/>
      </c>
      <c r="AE339" s="13">
        <f>IF(AD339="","",IF(AD339&lt;='组合输入'!$K7,"AAA",IF(AD339&lt;='组合输入'!$L7,"AA",IF(AD339&lt;='组合输入'!$M7,"A",IF(AD339&lt;='组合输入'!$N7,"BBB",IF(AD339&lt;='组合输入'!$O7,"BB",IF(AD339&lt;='组合输入'!$P7,"B",IF(AD339&lt;='组合输入'!$Q7,"CCC","D")))))))</f>
        <v/>
      </c>
      <c r="AF339" s="12">
        <f>IF(AE339="","",INDEX('状态价值'!$D7:$K7,MATCH(AE339,'状态价值'!$D$1:$K$1,0)))</f>
        <v/>
      </c>
      <c r="AG339" s="15">
        <f>NORM.S.INV(RAND())</f>
        <v/>
      </c>
      <c r="AH339" s="15">
        <f>IF('组合输入'!$C8="","",'组合输入'!$H8*$B339+SQRT(1-'组合输入'!$H8^2)*AG339)</f>
        <v/>
      </c>
      <c r="AI339" s="7">
        <f>IF(AH339="","",NORM.S.DIST(AH339,TRUE))</f>
        <v/>
      </c>
      <c r="AJ339" s="13">
        <f>IF(AI339="","",IF(AI339&lt;='组合输入'!$K8,"AAA",IF(AI339&lt;='组合输入'!$L8,"AA",IF(AI339&lt;='组合输入'!$M8,"A",IF(AI339&lt;='组合输入'!$N8,"BBB",IF(AI339&lt;='组合输入'!$O8,"BB",IF(AI339&lt;='组合输入'!$P8,"B",IF(AI339&lt;='组合输入'!$Q8,"CCC","D")))))))</f>
        <v/>
      </c>
      <c r="AK339" s="12">
        <f>IF(AJ339="","",INDEX('状态价值'!$D8:$K8,MATCH(AJ339,'状态价值'!$D$1:$K$1,0)))</f>
        <v/>
      </c>
      <c r="AL339" s="15">
        <f>NORM.S.INV(RAND())</f>
        <v/>
      </c>
      <c r="AM339" s="15">
        <f>IF('组合输入'!$C9="","",'组合输入'!$H9*$B339+SQRT(1-'组合输入'!$H9^2)*AL339)</f>
        <v/>
      </c>
      <c r="AN339" s="7">
        <f>IF(AM339="","",NORM.S.DIST(AM339,TRUE))</f>
        <v/>
      </c>
      <c r="AO339" s="13">
        <f>IF(AN339="","",IF(AN339&lt;='组合输入'!$K9,"AAA",IF(AN339&lt;='组合输入'!$L9,"AA",IF(AN339&lt;='组合输入'!$M9,"A",IF(AN339&lt;='组合输入'!$N9,"BBB",IF(AN339&lt;='组合输入'!$O9,"BB",IF(AN339&lt;='组合输入'!$P9,"B",IF(AN339&lt;='组合输入'!$Q9,"CCC","D")))))))</f>
        <v/>
      </c>
      <c r="AP339" s="12">
        <f>IF(AO339="","",INDEX('状态价值'!$D9:$K9,MATCH(AO339,'状态价值'!$D$1:$K$1,0)))</f>
        <v/>
      </c>
      <c r="AQ339" s="15">
        <f>NORM.S.INV(RAND())</f>
        <v/>
      </c>
      <c r="AR339" s="15">
        <f>IF('组合输入'!$C10="","",'组合输入'!$H10*$B339+SQRT(1-'组合输入'!$H10^2)*AQ339)</f>
        <v/>
      </c>
      <c r="AS339" s="7">
        <f>IF(AR339="","",NORM.S.DIST(AR339,TRUE))</f>
        <v/>
      </c>
      <c r="AT339" s="13">
        <f>IF(AS339="","",IF(AS339&lt;='组合输入'!$K10,"AAA",IF(AS339&lt;='组合输入'!$L10,"AA",IF(AS339&lt;='组合输入'!$M10,"A",IF(AS339&lt;='组合输入'!$N10,"BBB",IF(AS339&lt;='组合输入'!$O10,"BB",IF(AS339&lt;='组合输入'!$P10,"B",IF(AS339&lt;='组合输入'!$Q10,"CCC","D")))))))</f>
        <v/>
      </c>
      <c r="AU339" s="12">
        <f>IF(AT339="","",INDEX('状态价值'!$D10:$K10,MATCH(AT339,'状态价值'!$D$1:$K$1,0)))</f>
        <v/>
      </c>
      <c r="AV339" s="15">
        <f>NORM.S.INV(RAND())</f>
        <v/>
      </c>
      <c r="AW339" s="15">
        <f>IF('组合输入'!$C11="","",'组合输入'!$H11*$B339+SQRT(1-'组合输入'!$H11^2)*AV339)</f>
        <v/>
      </c>
      <c r="AX339" s="7">
        <f>IF(AW339="","",NORM.S.DIST(AW339,TRUE))</f>
        <v/>
      </c>
      <c r="AY339" s="13">
        <f>IF(AX339="","",IF(AX339&lt;='组合输入'!$K11,"AAA",IF(AX339&lt;='组合输入'!$L11,"AA",IF(AX339&lt;='组合输入'!$M11,"A",IF(AX339&lt;='组合输入'!$N11,"BBB",IF(AX339&lt;='组合输入'!$O11,"BB",IF(AX339&lt;='组合输入'!$P11,"B",IF(AX339&lt;='组合输入'!$Q11,"CCC","D")))))))</f>
        <v/>
      </c>
      <c r="AZ339" s="12">
        <f>IF(AY339="","",INDEX('状态价值'!$D11:$K11,MATCH(AY339,'状态价值'!$D$1:$K$1,0)))</f>
        <v/>
      </c>
      <c r="BA339" s="12">
        <f>G339+L339+Q339+V339+AA339+AF339+AK339+AP339+AU339+AZ339</f>
        <v/>
      </c>
      <c r="BB339" s="12">
        <f>SUM('组合输入'!$J$2:$J$11)-BA339</f>
        <v/>
      </c>
    </row>
    <row r="340">
      <c r="A340" s="11" t="n">
        <v>339</v>
      </c>
      <c r="B340" s="14">
        <f>NORM.S.INV(RAND())</f>
        <v/>
      </c>
      <c r="C340" s="14">
        <f>NORM.S.INV(RAND())</f>
        <v/>
      </c>
      <c r="D340" s="15">
        <f>IF('组合输入'!$C2="","",'组合输入'!$H2*$B340+SQRT(1-'组合输入'!$H2^2)*C340)</f>
        <v/>
      </c>
      <c r="E340" s="7">
        <f>IF(D340="","",NORM.S.DIST(D340,TRUE))</f>
        <v/>
      </c>
      <c r="F340" s="13">
        <f>IF(E340="","",IF(E340&lt;='组合输入'!$K2,"AAA",IF(E340&lt;='组合输入'!$L2,"AA",IF(E340&lt;='组合输入'!$M2,"A",IF(E340&lt;='组合输入'!$N2,"BBB",IF(E340&lt;='组合输入'!$O2,"BB",IF(E340&lt;='组合输入'!$P2,"B",IF(E340&lt;='组合输入'!$Q2,"CCC","D")))))))</f>
        <v/>
      </c>
      <c r="G340" s="12">
        <f>IF(F340="","",INDEX('状态价值'!$D2:$K2,MATCH(F340,'状态价值'!$D$1:$K$1,0)))</f>
        <v/>
      </c>
      <c r="H340" s="15">
        <f>NORM.S.INV(RAND())</f>
        <v/>
      </c>
      <c r="I340" s="15">
        <f>IF('组合输入'!$C3="","",'组合输入'!$H3*$B340+SQRT(1-'组合输入'!$H3^2)*H340)</f>
        <v/>
      </c>
      <c r="J340" s="7">
        <f>IF(I340="","",NORM.S.DIST(I340,TRUE))</f>
        <v/>
      </c>
      <c r="K340" s="13">
        <f>IF(J340="","",IF(J340&lt;='组合输入'!$K3,"AAA",IF(J340&lt;='组合输入'!$L3,"AA",IF(J340&lt;='组合输入'!$M3,"A",IF(J340&lt;='组合输入'!$N3,"BBB",IF(J340&lt;='组合输入'!$O3,"BB",IF(J340&lt;='组合输入'!$P3,"B",IF(J340&lt;='组合输入'!$Q3,"CCC","D")))))))</f>
        <v/>
      </c>
      <c r="L340" s="12">
        <f>IF(K340="","",INDEX('状态价值'!$D3:$K3,MATCH(K340,'状态价值'!$D$1:$K$1,0)))</f>
        <v/>
      </c>
      <c r="M340" s="15">
        <f>NORM.S.INV(RAND())</f>
        <v/>
      </c>
      <c r="N340" s="15">
        <f>IF('组合输入'!$C4="","",'组合输入'!$H4*$B340+SQRT(1-'组合输入'!$H4^2)*M340)</f>
        <v/>
      </c>
      <c r="O340" s="7">
        <f>IF(N340="","",NORM.S.DIST(N340,TRUE))</f>
        <v/>
      </c>
      <c r="P340" s="13">
        <f>IF(O340="","",IF(O340&lt;='组合输入'!$K4,"AAA",IF(O340&lt;='组合输入'!$L4,"AA",IF(O340&lt;='组合输入'!$M4,"A",IF(O340&lt;='组合输入'!$N4,"BBB",IF(O340&lt;='组合输入'!$O4,"BB",IF(O340&lt;='组合输入'!$P4,"B",IF(O340&lt;='组合输入'!$Q4,"CCC","D")))))))</f>
        <v/>
      </c>
      <c r="Q340" s="12">
        <f>IF(P340="","",INDEX('状态价值'!$D4:$K4,MATCH(P340,'状态价值'!$D$1:$K$1,0)))</f>
        <v/>
      </c>
      <c r="R340" s="15">
        <f>NORM.S.INV(RAND())</f>
        <v/>
      </c>
      <c r="S340" s="15">
        <f>IF('组合输入'!$C5="","",'组合输入'!$H5*$B340+SQRT(1-'组合输入'!$H5^2)*R340)</f>
        <v/>
      </c>
      <c r="T340" s="7">
        <f>IF(S340="","",NORM.S.DIST(S340,TRUE))</f>
        <v/>
      </c>
      <c r="U340" s="13">
        <f>IF(T340="","",IF(T340&lt;='组合输入'!$K5,"AAA",IF(T340&lt;='组合输入'!$L5,"AA",IF(T340&lt;='组合输入'!$M5,"A",IF(T340&lt;='组合输入'!$N5,"BBB",IF(T340&lt;='组合输入'!$O5,"BB",IF(T340&lt;='组合输入'!$P5,"B",IF(T340&lt;='组合输入'!$Q5,"CCC","D")))))))</f>
        <v/>
      </c>
      <c r="V340" s="12">
        <f>IF(U340="","",INDEX('状态价值'!$D5:$K5,MATCH(U340,'状态价值'!$D$1:$K$1,0)))</f>
        <v/>
      </c>
      <c r="W340" s="15">
        <f>NORM.S.INV(RAND())</f>
        <v/>
      </c>
      <c r="X340" s="15">
        <f>IF('组合输入'!$C6="","",'组合输入'!$H6*$B340+SQRT(1-'组合输入'!$H6^2)*W340)</f>
        <v/>
      </c>
      <c r="Y340" s="7">
        <f>IF(X340="","",NORM.S.DIST(X340,TRUE))</f>
        <v/>
      </c>
      <c r="Z340" s="13">
        <f>IF(Y340="","",IF(Y340&lt;='组合输入'!$K6,"AAA",IF(Y340&lt;='组合输入'!$L6,"AA",IF(Y340&lt;='组合输入'!$M6,"A",IF(Y340&lt;='组合输入'!$N6,"BBB",IF(Y340&lt;='组合输入'!$O6,"BB",IF(Y340&lt;='组合输入'!$P6,"B",IF(Y340&lt;='组合输入'!$Q6,"CCC","D")))))))</f>
        <v/>
      </c>
      <c r="AA340" s="12">
        <f>IF(Z340="","",INDEX('状态价值'!$D6:$K6,MATCH(Z340,'状态价值'!$D$1:$K$1,0)))</f>
        <v/>
      </c>
      <c r="AB340" s="15">
        <f>NORM.S.INV(RAND())</f>
        <v/>
      </c>
      <c r="AC340" s="15">
        <f>IF('组合输入'!$C7="","",'组合输入'!$H7*$B340+SQRT(1-'组合输入'!$H7^2)*AB340)</f>
        <v/>
      </c>
      <c r="AD340" s="7">
        <f>IF(AC340="","",NORM.S.DIST(AC340,TRUE))</f>
        <v/>
      </c>
      <c r="AE340" s="13">
        <f>IF(AD340="","",IF(AD340&lt;='组合输入'!$K7,"AAA",IF(AD340&lt;='组合输入'!$L7,"AA",IF(AD340&lt;='组合输入'!$M7,"A",IF(AD340&lt;='组合输入'!$N7,"BBB",IF(AD340&lt;='组合输入'!$O7,"BB",IF(AD340&lt;='组合输入'!$P7,"B",IF(AD340&lt;='组合输入'!$Q7,"CCC","D")))))))</f>
        <v/>
      </c>
      <c r="AF340" s="12">
        <f>IF(AE340="","",INDEX('状态价值'!$D7:$K7,MATCH(AE340,'状态价值'!$D$1:$K$1,0)))</f>
        <v/>
      </c>
      <c r="AG340" s="15">
        <f>NORM.S.INV(RAND())</f>
        <v/>
      </c>
      <c r="AH340" s="15">
        <f>IF('组合输入'!$C8="","",'组合输入'!$H8*$B340+SQRT(1-'组合输入'!$H8^2)*AG340)</f>
        <v/>
      </c>
      <c r="AI340" s="7">
        <f>IF(AH340="","",NORM.S.DIST(AH340,TRUE))</f>
        <v/>
      </c>
      <c r="AJ340" s="13">
        <f>IF(AI340="","",IF(AI340&lt;='组合输入'!$K8,"AAA",IF(AI340&lt;='组合输入'!$L8,"AA",IF(AI340&lt;='组合输入'!$M8,"A",IF(AI340&lt;='组合输入'!$N8,"BBB",IF(AI340&lt;='组合输入'!$O8,"BB",IF(AI340&lt;='组合输入'!$P8,"B",IF(AI340&lt;='组合输入'!$Q8,"CCC","D")))))))</f>
        <v/>
      </c>
      <c r="AK340" s="12">
        <f>IF(AJ340="","",INDEX('状态价值'!$D8:$K8,MATCH(AJ340,'状态价值'!$D$1:$K$1,0)))</f>
        <v/>
      </c>
      <c r="AL340" s="15">
        <f>NORM.S.INV(RAND())</f>
        <v/>
      </c>
      <c r="AM340" s="15">
        <f>IF('组合输入'!$C9="","",'组合输入'!$H9*$B340+SQRT(1-'组合输入'!$H9^2)*AL340)</f>
        <v/>
      </c>
      <c r="AN340" s="7">
        <f>IF(AM340="","",NORM.S.DIST(AM340,TRUE))</f>
        <v/>
      </c>
      <c r="AO340" s="13">
        <f>IF(AN340="","",IF(AN340&lt;='组合输入'!$K9,"AAA",IF(AN340&lt;='组合输入'!$L9,"AA",IF(AN340&lt;='组合输入'!$M9,"A",IF(AN340&lt;='组合输入'!$N9,"BBB",IF(AN340&lt;='组合输入'!$O9,"BB",IF(AN340&lt;='组合输入'!$P9,"B",IF(AN340&lt;='组合输入'!$Q9,"CCC","D")))))))</f>
        <v/>
      </c>
      <c r="AP340" s="12">
        <f>IF(AO340="","",INDEX('状态价值'!$D9:$K9,MATCH(AO340,'状态价值'!$D$1:$K$1,0)))</f>
        <v/>
      </c>
      <c r="AQ340" s="15">
        <f>NORM.S.INV(RAND())</f>
        <v/>
      </c>
      <c r="AR340" s="15">
        <f>IF('组合输入'!$C10="","",'组合输入'!$H10*$B340+SQRT(1-'组合输入'!$H10^2)*AQ340)</f>
        <v/>
      </c>
      <c r="AS340" s="7">
        <f>IF(AR340="","",NORM.S.DIST(AR340,TRUE))</f>
        <v/>
      </c>
      <c r="AT340" s="13">
        <f>IF(AS340="","",IF(AS340&lt;='组合输入'!$K10,"AAA",IF(AS340&lt;='组合输入'!$L10,"AA",IF(AS340&lt;='组合输入'!$M10,"A",IF(AS340&lt;='组合输入'!$N10,"BBB",IF(AS340&lt;='组合输入'!$O10,"BB",IF(AS340&lt;='组合输入'!$P10,"B",IF(AS340&lt;='组合输入'!$Q10,"CCC","D")))))))</f>
        <v/>
      </c>
      <c r="AU340" s="12">
        <f>IF(AT340="","",INDEX('状态价值'!$D10:$K10,MATCH(AT340,'状态价值'!$D$1:$K$1,0)))</f>
        <v/>
      </c>
      <c r="AV340" s="15">
        <f>NORM.S.INV(RAND())</f>
        <v/>
      </c>
      <c r="AW340" s="15">
        <f>IF('组合输入'!$C11="","",'组合输入'!$H11*$B340+SQRT(1-'组合输入'!$H11^2)*AV340)</f>
        <v/>
      </c>
      <c r="AX340" s="7">
        <f>IF(AW340="","",NORM.S.DIST(AW340,TRUE))</f>
        <v/>
      </c>
      <c r="AY340" s="13">
        <f>IF(AX340="","",IF(AX340&lt;='组合输入'!$K11,"AAA",IF(AX340&lt;='组合输入'!$L11,"AA",IF(AX340&lt;='组合输入'!$M11,"A",IF(AX340&lt;='组合输入'!$N11,"BBB",IF(AX340&lt;='组合输入'!$O11,"BB",IF(AX340&lt;='组合输入'!$P11,"B",IF(AX340&lt;='组合输入'!$Q11,"CCC","D")))))))</f>
        <v/>
      </c>
      <c r="AZ340" s="12">
        <f>IF(AY340="","",INDEX('状态价值'!$D11:$K11,MATCH(AY340,'状态价值'!$D$1:$K$1,0)))</f>
        <v/>
      </c>
      <c r="BA340" s="12">
        <f>G340+L340+Q340+V340+AA340+AF340+AK340+AP340+AU340+AZ340</f>
        <v/>
      </c>
      <c r="BB340" s="12">
        <f>SUM('组合输入'!$J$2:$J$11)-BA340</f>
        <v/>
      </c>
    </row>
    <row r="341">
      <c r="A341" s="11" t="n">
        <v>340</v>
      </c>
      <c r="B341" s="14">
        <f>NORM.S.INV(RAND())</f>
        <v/>
      </c>
      <c r="C341" s="14">
        <f>NORM.S.INV(RAND())</f>
        <v/>
      </c>
      <c r="D341" s="15">
        <f>IF('组合输入'!$C2="","",'组合输入'!$H2*$B341+SQRT(1-'组合输入'!$H2^2)*C341)</f>
        <v/>
      </c>
      <c r="E341" s="7">
        <f>IF(D341="","",NORM.S.DIST(D341,TRUE))</f>
        <v/>
      </c>
      <c r="F341" s="13">
        <f>IF(E341="","",IF(E341&lt;='组合输入'!$K2,"AAA",IF(E341&lt;='组合输入'!$L2,"AA",IF(E341&lt;='组合输入'!$M2,"A",IF(E341&lt;='组合输入'!$N2,"BBB",IF(E341&lt;='组合输入'!$O2,"BB",IF(E341&lt;='组合输入'!$P2,"B",IF(E341&lt;='组合输入'!$Q2,"CCC","D")))))))</f>
        <v/>
      </c>
      <c r="G341" s="12">
        <f>IF(F341="","",INDEX('状态价值'!$D2:$K2,MATCH(F341,'状态价值'!$D$1:$K$1,0)))</f>
        <v/>
      </c>
      <c r="H341" s="15">
        <f>NORM.S.INV(RAND())</f>
        <v/>
      </c>
      <c r="I341" s="15">
        <f>IF('组合输入'!$C3="","",'组合输入'!$H3*$B341+SQRT(1-'组合输入'!$H3^2)*H341)</f>
        <v/>
      </c>
      <c r="J341" s="7">
        <f>IF(I341="","",NORM.S.DIST(I341,TRUE))</f>
        <v/>
      </c>
      <c r="K341" s="13">
        <f>IF(J341="","",IF(J341&lt;='组合输入'!$K3,"AAA",IF(J341&lt;='组合输入'!$L3,"AA",IF(J341&lt;='组合输入'!$M3,"A",IF(J341&lt;='组合输入'!$N3,"BBB",IF(J341&lt;='组合输入'!$O3,"BB",IF(J341&lt;='组合输入'!$P3,"B",IF(J341&lt;='组合输入'!$Q3,"CCC","D")))))))</f>
        <v/>
      </c>
      <c r="L341" s="12">
        <f>IF(K341="","",INDEX('状态价值'!$D3:$K3,MATCH(K341,'状态价值'!$D$1:$K$1,0)))</f>
        <v/>
      </c>
      <c r="M341" s="15">
        <f>NORM.S.INV(RAND())</f>
        <v/>
      </c>
      <c r="N341" s="15">
        <f>IF('组合输入'!$C4="","",'组合输入'!$H4*$B341+SQRT(1-'组合输入'!$H4^2)*M341)</f>
        <v/>
      </c>
      <c r="O341" s="7">
        <f>IF(N341="","",NORM.S.DIST(N341,TRUE))</f>
        <v/>
      </c>
      <c r="P341" s="13">
        <f>IF(O341="","",IF(O341&lt;='组合输入'!$K4,"AAA",IF(O341&lt;='组合输入'!$L4,"AA",IF(O341&lt;='组合输入'!$M4,"A",IF(O341&lt;='组合输入'!$N4,"BBB",IF(O341&lt;='组合输入'!$O4,"BB",IF(O341&lt;='组合输入'!$P4,"B",IF(O341&lt;='组合输入'!$Q4,"CCC","D")))))))</f>
        <v/>
      </c>
      <c r="Q341" s="12">
        <f>IF(P341="","",INDEX('状态价值'!$D4:$K4,MATCH(P341,'状态价值'!$D$1:$K$1,0)))</f>
        <v/>
      </c>
      <c r="R341" s="15">
        <f>NORM.S.INV(RAND())</f>
        <v/>
      </c>
      <c r="S341" s="15">
        <f>IF('组合输入'!$C5="","",'组合输入'!$H5*$B341+SQRT(1-'组合输入'!$H5^2)*R341)</f>
        <v/>
      </c>
      <c r="T341" s="7">
        <f>IF(S341="","",NORM.S.DIST(S341,TRUE))</f>
        <v/>
      </c>
      <c r="U341" s="13">
        <f>IF(T341="","",IF(T341&lt;='组合输入'!$K5,"AAA",IF(T341&lt;='组合输入'!$L5,"AA",IF(T341&lt;='组合输入'!$M5,"A",IF(T341&lt;='组合输入'!$N5,"BBB",IF(T341&lt;='组合输入'!$O5,"BB",IF(T341&lt;='组合输入'!$P5,"B",IF(T341&lt;='组合输入'!$Q5,"CCC","D")))))))</f>
        <v/>
      </c>
      <c r="V341" s="12">
        <f>IF(U341="","",INDEX('状态价值'!$D5:$K5,MATCH(U341,'状态价值'!$D$1:$K$1,0)))</f>
        <v/>
      </c>
      <c r="W341" s="15">
        <f>NORM.S.INV(RAND())</f>
        <v/>
      </c>
      <c r="X341" s="15">
        <f>IF('组合输入'!$C6="","",'组合输入'!$H6*$B341+SQRT(1-'组合输入'!$H6^2)*W341)</f>
        <v/>
      </c>
      <c r="Y341" s="7">
        <f>IF(X341="","",NORM.S.DIST(X341,TRUE))</f>
        <v/>
      </c>
      <c r="Z341" s="13">
        <f>IF(Y341="","",IF(Y341&lt;='组合输入'!$K6,"AAA",IF(Y341&lt;='组合输入'!$L6,"AA",IF(Y341&lt;='组合输入'!$M6,"A",IF(Y341&lt;='组合输入'!$N6,"BBB",IF(Y341&lt;='组合输入'!$O6,"BB",IF(Y341&lt;='组合输入'!$P6,"B",IF(Y341&lt;='组合输入'!$Q6,"CCC","D")))))))</f>
        <v/>
      </c>
      <c r="AA341" s="12">
        <f>IF(Z341="","",INDEX('状态价值'!$D6:$K6,MATCH(Z341,'状态价值'!$D$1:$K$1,0)))</f>
        <v/>
      </c>
      <c r="AB341" s="15">
        <f>NORM.S.INV(RAND())</f>
        <v/>
      </c>
      <c r="AC341" s="15">
        <f>IF('组合输入'!$C7="","",'组合输入'!$H7*$B341+SQRT(1-'组合输入'!$H7^2)*AB341)</f>
        <v/>
      </c>
      <c r="AD341" s="7">
        <f>IF(AC341="","",NORM.S.DIST(AC341,TRUE))</f>
        <v/>
      </c>
      <c r="AE341" s="13">
        <f>IF(AD341="","",IF(AD341&lt;='组合输入'!$K7,"AAA",IF(AD341&lt;='组合输入'!$L7,"AA",IF(AD341&lt;='组合输入'!$M7,"A",IF(AD341&lt;='组合输入'!$N7,"BBB",IF(AD341&lt;='组合输入'!$O7,"BB",IF(AD341&lt;='组合输入'!$P7,"B",IF(AD341&lt;='组合输入'!$Q7,"CCC","D")))))))</f>
        <v/>
      </c>
      <c r="AF341" s="12">
        <f>IF(AE341="","",INDEX('状态价值'!$D7:$K7,MATCH(AE341,'状态价值'!$D$1:$K$1,0)))</f>
        <v/>
      </c>
      <c r="AG341" s="15">
        <f>NORM.S.INV(RAND())</f>
        <v/>
      </c>
      <c r="AH341" s="15">
        <f>IF('组合输入'!$C8="","",'组合输入'!$H8*$B341+SQRT(1-'组合输入'!$H8^2)*AG341)</f>
        <v/>
      </c>
      <c r="AI341" s="7">
        <f>IF(AH341="","",NORM.S.DIST(AH341,TRUE))</f>
        <v/>
      </c>
      <c r="AJ341" s="13">
        <f>IF(AI341="","",IF(AI341&lt;='组合输入'!$K8,"AAA",IF(AI341&lt;='组合输入'!$L8,"AA",IF(AI341&lt;='组合输入'!$M8,"A",IF(AI341&lt;='组合输入'!$N8,"BBB",IF(AI341&lt;='组合输入'!$O8,"BB",IF(AI341&lt;='组合输入'!$P8,"B",IF(AI341&lt;='组合输入'!$Q8,"CCC","D")))))))</f>
        <v/>
      </c>
      <c r="AK341" s="12">
        <f>IF(AJ341="","",INDEX('状态价值'!$D8:$K8,MATCH(AJ341,'状态价值'!$D$1:$K$1,0)))</f>
        <v/>
      </c>
      <c r="AL341" s="15">
        <f>NORM.S.INV(RAND())</f>
        <v/>
      </c>
      <c r="AM341" s="15">
        <f>IF('组合输入'!$C9="","",'组合输入'!$H9*$B341+SQRT(1-'组合输入'!$H9^2)*AL341)</f>
        <v/>
      </c>
      <c r="AN341" s="7">
        <f>IF(AM341="","",NORM.S.DIST(AM341,TRUE))</f>
        <v/>
      </c>
      <c r="AO341" s="13">
        <f>IF(AN341="","",IF(AN341&lt;='组合输入'!$K9,"AAA",IF(AN341&lt;='组合输入'!$L9,"AA",IF(AN341&lt;='组合输入'!$M9,"A",IF(AN341&lt;='组合输入'!$N9,"BBB",IF(AN341&lt;='组合输入'!$O9,"BB",IF(AN341&lt;='组合输入'!$P9,"B",IF(AN341&lt;='组合输入'!$Q9,"CCC","D")))))))</f>
        <v/>
      </c>
      <c r="AP341" s="12">
        <f>IF(AO341="","",INDEX('状态价值'!$D9:$K9,MATCH(AO341,'状态价值'!$D$1:$K$1,0)))</f>
        <v/>
      </c>
      <c r="AQ341" s="15">
        <f>NORM.S.INV(RAND())</f>
        <v/>
      </c>
      <c r="AR341" s="15">
        <f>IF('组合输入'!$C10="","",'组合输入'!$H10*$B341+SQRT(1-'组合输入'!$H10^2)*AQ341)</f>
        <v/>
      </c>
      <c r="AS341" s="7">
        <f>IF(AR341="","",NORM.S.DIST(AR341,TRUE))</f>
        <v/>
      </c>
      <c r="AT341" s="13">
        <f>IF(AS341="","",IF(AS341&lt;='组合输入'!$K10,"AAA",IF(AS341&lt;='组合输入'!$L10,"AA",IF(AS341&lt;='组合输入'!$M10,"A",IF(AS341&lt;='组合输入'!$N10,"BBB",IF(AS341&lt;='组合输入'!$O10,"BB",IF(AS341&lt;='组合输入'!$P10,"B",IF(AS341&lt;='组合输入'!$Q10,"CCC","D")))))))</f>
        <v/>
      </c>
      <c r="AU341" s="12">
        <f>IF(AT341="","",INDEX('状态价值'!$D10:$K10,MATCH(AT341,'状态价值'!$D$1:$K$1,0)))</f>
        <v/>
      </c>
      <c r="AV341" s="15">
        <f>NORM.S.INV(RAND())</f>
        <v/>
      </c>
      <c r="AW341" s="15">
        <f>IF('组合输入'!$C11="","",'组合输入'!$H11*$B341+SQRT(1-'组合输入'!$H11^2)*AV341)</f>
        <v/>
      </c>
      <c r="AX341" s="7">
        <f>IF(AW341="","",NORM.S.DIST(AW341,TRUE))</f>
        <v/>
      </c>
      <c r="AY341" s="13">
        <f>IF(AX341="","",IF(AX341&lt;='组合输入'!$K11,"AAA",IF(AX341&lt;='组合输入'!$L11,"AA",IF(AX341&lt;='组合输入'!$M11,"A",IF(AX341&lt;='组合输入'!$N11,"BBB",IF(AX341&lt;='组合输入'!$O11,"BB",IF(AX341&lt;='组合输入'!$P11,"B",IF(AX341&lt;='组合输入'!$Q11,"CCC","D")))))))</f>
        <v/>
      </c>
      <c r="AZ341" s="12">
        <f>IF(AY341="","",INDEX('状态价值'!$D11:$K11,MATCH(AY341,'状态价值'!$D$1:$K$1,0)))</f>
        <v/>
      </c>
      <c r="BA341" s="12">
        <f>G341+L341+Q341+V341+AA341+AF341+AK341+AP341+AU341+AZ341</f>
        <v/>
      </c>
      <c r="BB341" s="12">
        <f>SUM('组合输入'!$J$2:$J$11)-BA341</f>
        <v/>
      </c>
    </row>
    <row r="342">
      <c r="A342" s="11" t="n">
        <v>341</v>
      </c>
      <c r="B342" s="14">
        <f>NORM.S.INV(RAND())</f>
        <v/>
      </c>
      <c r="C342" s="14">
        <f>NORM.S.INV(RAND())</f>
        <v/>
      </c>
      <c r="D342" s="15">
        <f>IF('组合输入'!$C2="","",'组合输入'!$H2*$B342+SQRT(1-'组合输入'!$H2^2)*C342)</f>
        <v/>
      </c>
      <c r="E342" s="7">
        <f>IF(D342="","",NORM.S.DIST(D342,TRUE))</f>
        <v/>
      </c>
      <c r="F342" s="13">
        <f>IF(E342="","",IF(E342&lt;='组合输入'!$K2,"AAA",IF(E342&lt;='组合输入'!$L2,"AA",IF(E342&lt;='组合输入'!$M2,"A",IF(E342&lt;='组合输入'!$N2,"BBB",IF(E342&lt;='组合输入'!$O2,"BB",IF(E342&lt;='组合输入'!$P2,"B",IF(E342&lt;='组合输入'!$Q2,"CCC","D")))))))</f>
        <v/>
      </c>
      <c r="G342" s="12">
        <f>IF(F342="","",INDEX('状态价值'!$D2:$K2,MATCH(F342,'状态价值'!$D$1:$K$1,0)))</f>
        <v/>
      </c>
      <c r="H342" s="15">
        <f>NORM.S.INV(RAND())</f>
        <v/>
      </c>
      <c r="I342" s="15">
        <f>IF('组合输入'!$C3="","",'组合输入'!$H3*$B342+SQRT(1-'组合输入'!$H3^2)*H342)</f>
        <v/>
      </c>
      <c r="J342" s="7">
        <f>IF(I342="","",NORM.S.DIST(I342,TRUE))</f>
        <v/>
      </c>
      <c r="K342" s="13">
        <f>IF(J342="","",IF(J342&lt;='组合输入'!$K3,"AAA",IF(J342&lt;='组合输入'!$L3,"AA",IF(J342&lt;='组合输入'!$M3,"A",IF(J342&lt;='组合输入'!$N3,"BBB",IF(J342&lt;='组合输入'!$O3,"BB",IF(J342&lt;='组合输入'!$P3,"B",IF(J342&lt;='组合输入'!$Q3,"CCC","D")))))))</f>
        <v/>
      </c>
      <c r="L342" s="12">
        <f>IF(K342="","",INDEX('状态价值'!$D3:$K3,MATCH(K342,'状态价值'!$D$1:$K$1,0)))</f>
        <v/>
      </c>
      <c r="M342" s="15">
        <f>NORM.S.INV(RAND())</f>
        <v/>
      </c>
      <c r="N342" s="15">
        <f>IF('组合输入'!$C4="","",'组合输入'!$H4*$B342+SQRT(1-'组合输入'!$H4^2)*M342)</f>
        <v/>
      </c>
      <c r="O342" s="7">
        <f>IF(N342="","",NORM.S.DIST(N342,TRUE))</f>
        <v/>
      </c>
      <c r="P342" s="13">
        <f>IF(O342="","",IF(O342&lt;='组合输入'!$K4,"AAA",IF(O342&lt;='组合输入'!$L4,"AA",IF(O342&lt;='组合输入'!$M4,"A",IF(O342&lt;='组合输入'!$N4,"BBB",IF(O342&lt;='组合输入'!$O4,"BB",IF(O342&lt;='组合输入'!$P4,"B",IF(O342&lt;='组合输入'!$Q4,"CCC","D")))))))</f>
        <v/>
      </c>
      <c r="Q342" s="12">
        <f>IF(P342="","",INDEX('状态价值'!$D4:$K4,MATCH(P342,'状态价值'!$D$1:$K$1,0)))</f>
        <v/>
      </c>
      <c r="R342" s="15">
        <f>NORM.S.INV(RAND())</f>
        <v/>
      </c>
      <c r="S342" s="15">
        <f>IF('组合输入'!$C5="","",'组合输入'!$H5*$B342+SQRT(1-'组合输入'!$H5^2)*R342)</f>
        <v/>
      </c>
      <c r="T342" s="7">
        <f>IF(S342="","",NORM.S.DIST(S342,TRUE))</f>
        <v/>
      </c>
      <c r="U342" s="13">
        <f>IF(T342="","",IF(T342&lt;='组合输入'!$K5,"AAA",IF(T342&lt;='组合输入'!$L5,"AA",IF(T342&lt;='组合输入'!$M5,"A",IF(T342&lt;='组合输入'!$N5,"BBB",IF(T342&lt;='组合输入'!$O5,"BB",IF(T342&lt;='组合输入'!$P5,"B",IF(T342&lt;='组合输入'!$Q5,"CCC","D")))))))</f>
        <v/>
      </c>
      <c r="V342" s="12">
        <f>IF(U342="","",INDEX('状态价值'!$D5:$K5,MATCH(U342,'状态价值'!$D$1:$K$1,0)))</f>
        <v/>
      </c>
      <c r="W342" s="15">
        <f>NORM.S.INV(RAND())</f>
        <v/>
      </c>
      <c r="X342" s="15">
        <f>IF('组合输入'!$C6="","",'组合输入'!$H6*$B342+SQRT(1-'组合输入'!$H6^2)*W342)</f>
        <v/>
      </c>
      <c r="Y342" s="7">
        <f>IF(X342="","",NORM.S.DIST(X342,TRUE))</f>
        <v/>
      </c>
      <c r="Z342" s="13">
        <f>IF(Y342="","",IF(Y342&lt;='组合输入'!$K6,"AAA",IF(Y342&lt;='组合输入'!$L6,"AA",IF(Y342&lt;='组合输入'!$M6,"A",IF(Y342&lt;='组合输入'!$N6,"BBB",IF(Y342&lt;='组合输入'!$O6,"BB",IF(Y342&lt;='组合输入'!$P6,"B",IF(Y342&lt;='组合输入'!$Q6,"CCC","D")))))))</f>
        <v/>
      </c>
      <c r="AA342" s="12">
        <f>IF(Z342="","",INDEX('状态价值'!$D6:$K6,MATCH(Z342,'状态价值'!$D$1:$K$1,0)))</f>
        <v/>
      </c>
      <c r="AB342" s="15">
        <f>NORM.S.INV(RAND())</f>
        <v/>
      </c>
      <c r="AC342" s="15">
        <f>IF('组合输入'!$C7="","",'组合输入'!$H7*$B342+SQRT(1-'组合输入'!$H7^2)*AB342)</f>
        <v/>
      </c>
      <c r="AD342" s="7">
        <f>IF(AC342="","",NORM.S.DIST(AC342,TRUE))</f>
        <v/>
      </c>
      <c r="AE342" s="13">
        <f>IF(AD342="","",IF(AD342&lt;='组合输入'!$K7,"AAA",IF(AD342&lt;='组合输入'!$L7,"AA",IF(AD342&lt;='组合输入'!$M7,"A",IF(AD342&lt;='组合输入'!$N7,"BBB",IF(AD342&lt;='组合输入'!$O7,"BB",IF(AD342&lt;='组合输入'!$P7,"B",IF(AD342&lt;='组合输入'!$Q7,"CCC","D")))))))</f>
        <v/>
      </c>
      <c r="AF342" s="12">
        <f>IF(AE342="","",INDEX('状态价值'!$D7:$K7,MATCH(AE342,'状态价值'!$D$1:$K$1,0)))</f>
        <v/>
      </c>
      <c r="AG342" s="15">
        <f>NORM.S.INV(RAND())</f>
        <v/>
      </c>
      <c r="AH342" s="15">
        <f>IF('组合输入'!$C8="","",'组合输入'!$H8*$B342+SQRT(1-'组合输入'!$H8^2)*AG342)</f>
        <v/>
      </c>
      <c r="AI342" s="7">
        <f>IF(AH342="","",NORM.S.DIST(AH342,TRUE))</f>
        <v/>
      </c>
      <c r="AJ342" s="13">
        <f>IF(AI342="","",IF(AI342&lt;='组合输入'!$K8,"AAA",IF(AI342&lt;='组合输入'!$L8,"AA",IF(AI342&lt;='组合输入'!$M8,"A",IF(AI342&lt;='组合输入'!$N8,"BBB",IF(AI342&lt;='组合输入'!$O8,"BB",IF(AI342&lt;='组合输入'!$P8,"B",IF(AI342&lt;='组合输入'!$Q8,"CCC","D")))))))</f>
        <v/>
      </c>
      <c r="AK342" s="12">
        <f>IF(AJ342="","",INDEX('状态价值'!$D8:$K8,MATCH(AJ342,'状态价值'!$D$1:$K$1,0)))</f>
        <v/>
      </c>
      <c r="AL342" s="15">
        <f>NORM.S.INV(RAND())</f>
        <v/>
      </c>
      <c r="AM342" s="15">
        <f>IF('组合输入'!$C9="","",'组合输入'!$H9*$B342+SQRT(1-'组合输入'!$H9^2)*AL342)</f>
        <v/>
      </c>
      <c r="AN342" s="7">
        <f>IF(AM342="","",NORM.S.DIST(AM342,TRUE))</f>
        <v/>
      </c>
      <c r="AO342" s="13">
        <f>IF(AN342="","",IF(AN342&lt;='组合输入'!$K9,"AAA",IF(AN342&lt;='组合输入'!$L9,"AA",IF(AN342&lt;='组合输入'!$M9,"A",IF(AN342&lt;='组合输入'!$N9,"BBB",IF(AN342&lt;='组合输入'!$O9,"BB",IF(AN342&lt;='组合输入'!$P9,"B",IF(AN342&lt;='组合输入'!$Q9,"CCC","D")))))))</f>
        <v/>
      </c>
      <c r="AP342" s="12">
        <f>IF(AO342="","",INDEX('状态价值'!$D9:$K9,MATCH(AO342,'状态价值'!$D$1:$K$1,0)))</f>
        <v/>
      </c>
      <c r="AQ342" s="15">
        <f>NORM.S.INV(RAND())</f>
        <v/>
      </c>
      <c r="AR342" s="15">
        <f>IF('组合输入'!$C10="","",'组合输入'!$H10*$B342+SQRT(1-'组合输入'!$H10^2)*AQ342)</f>
        <v/>
      </c>
      <c r="AS342" s="7">
        <f>IF(AR342="","",NORM.S.DIST(AR342,TRUE))</f>
        <v/>
      </c>
      <c r="AT342" s="13">
        <f>IF(AS342="","",IF(AS342&lt;='组合输入'!$K10,"AAA",IF(AS342&lt;='组合输入'!$L10,"AA",IF(AS342&lt;='组合输入'!$M10,"A",IF(AS342&lt;='组合输入'!$N10,"BBB",IF(AS342&lt;='组合输入'!$O10,"BB",IF(AS342&lt;='组合输入'!$P10,"B",IF(AS342&lt;='组合输入'!$Q10,"CCC","D")))))))</f>
        <v/>
      </c>
      <c r="AU342" s="12">
        <f>IF(AT342="","",INDEX('状态价值'!$D10:$K10,MATCH(AT342,'状态价值'!$D$1:$K$1,0)))</f>
        <v/>
      </c>
      <c r="AV342" s="15">
        <f>NORM.S.INV(RAND())</f>
        <v/>
      </c>
      <c r="AW342" s="15">
        <f>IF('组合输入'!$C11="","",'组合输入'!$H11*$B342+SQRT(1-'组合输入'!$H11^2)*AV342)</f>
        <v/>
      </c>
      <c r="AX342" s="7">
        <f>IF(AW342="","",NORM.S.DIST(AW342,TRUE))</f>
        <v/>
      </c>
      <c r="AY342" s="13">
        <f>IF(AX342="","",IF(AX342&lt;='组合输入'!$K11,"AAA",IF(AX342&lt;='组合输入'!$L11,"AA",IF(AX342&lt;='组合输入'!$M11,"A",IF(AX342&lt;='组合输入'!$N11,"BBB",IF(AX342&lt;='组合输入'!$O11,"BB",IF(AX342&lt;='组合输入'!$P11,"B",IF(AX342&lt;='组合输入'!$Q11,"CCC","D")))))))</f>
        <v/>
      </c>
      <c r="AZ342" s="12">
        <f>IF(AY342="","",INDEX('状态价值'!$D11:$K11,MATCH(AY342,'状态价值'!$D$1:$K$1,0)))</f>
        <v/>
      </c>
      <c r="BA342" s="12">
        <f>G342+L342+Q342+V342+AA342+AF342+AK342+AP342+AU342+AZ342</f>
        <v/>
      </c>
      <c r="BB342" s="12">
        <f>SUM('组合输入'!$J$2:$J$11)-BA342</f>
        <v/>
      </c>
    </row>
    <row r="343">
      <c r="A343" s="11" t="n">
        <v>342</v>
      </c>
      <c r="B343" s="14">
        <f>NORM.S.INV(RAND())</f>
        <v/>
      </c>
      <c r="C343" s="14">
        <f>NORM.S.INV(RAND())</f>
        <v/>
      </c>
      <c r="D343" s="15">
        <f>IF('组合输入'!$C2="","",'组合输入'!$H2*$B343+SQRT(1-'组合输入'!$H2^2)*C343)</f>
        <v/>
      </c>
      <c r="E343" s="7">
        <f>IF(D343="","",NORM.S.DIST(D343,TRUE))</f>
        <v/>
      </c>
      <c r="F343" s="13">
        <f>IF(E343="","",IF(E343&lt;='组合输入'!$K2,"AAA",IF(E343&lt;='组合输入'!$L2,"AA",IF(E343&lt;='组合输入'!$M2,"A",IF(E343&lt;='组合输入'!$N2,"BBB",IF(E343&lt;='组合输入'!$O2,"BB",IF(E343&lt;='组合输入'!$P2,"B",IF(E343&lt;='组合输入'!$Q2,"CCC","D")))))))</f>
        <v/>
      </c>
      <c r="G343" s="12">
        <f>IF(F343="","",INDEX('状态价值'!$D2:$K2,MATCH(F343,'状态价值'!$D$1:$K$1,0)))</f>
        <v/>
      </c>
      <c r="H343" s="15">
        <f>NORM.S.INV(RAND())</f>
        <v/>
      </c>
      <c r="I343" s="15">
        <f>IF('组合输入'!$C3="","",'组合输入'!$H3*$B343+SQRT(1-'组合输入'!$H3^2)*H343)</f>
        <v/>
      </c>
      <c r="J343" s="7">
        <f>IF(I343="","",NORM.S.DIST(I343,TRUE))</f>
        <v/>
      </c>
      <c r="K343" s="13">
        <f>IF(J343="","",IF(J343&lt;='组合输入'!$K3,"AAA",IF(J343&lt;='组合输入'!$L3,"AA",IF(J343&lt;='组合输入'!$M3,"A",IF(J343&lt;='组合输入'!$N3,"BBB",IF(J343&lt;='组合输入'!$O3,"BB",IF(J343&lt;='组合输入'!$P3,"B",IF(J343&lt;='组合输入'!$Q3,"CCC","D")))))))</f>
        <v/>
      </c>
      <c r="L343" s="12">
        <f>IF(K343="","",INDEX('状态价值'!$D3:$K3,MATCH(K343,'状态价值'!$D$1:$K$1,0)))</f>
        <v/>
      </c>
      <c r="M343" s="15">
        <f>NORM.S.INV(RAND())</f>
        <v/>
      </c>
      <c r="N343" s="15">
        <f>IF('组合输入'!$C4="","",'组合输入'!$H4*$B343+SQRT(1-'组合输入'!$H4^2)*M343)</f>
        <v/>
      </c>
      <c r="O343" s="7">
        <f>IF(N343="","",NORM.S.DIST(N343,TRUE))</f>
        <v/>
      </c>
      <c r="P343" s="13">
        <f>IF(O343="","",IF(O343&lt;='组合输入'!$K4,"AAA",IF(O343&lt;='组合输入'!$L4,"AA",IF(O343&lt;='组合输入'!$M4,"A",IF(O343&lt;='组合输入'!$N4,"BBB",IF(O343&lt;='组合输入'!$O4,"BB",IF(O343&lt;='组合输入'!$P4,"B",IF(O343&lt;='组合输入'!$Q4,"CCC","D")))))))</f>
        <v/>
      </c>
      <c r="Q343" s="12">
        <f>IF(P343="","",INDEX('状态价值'!$D4:$K4,MATCH(P343,'状态价值'!$D$1:$K$1,0)))</f>
        <v/>
      </c>
      <c r="R343" s="15">
        <f>NORM.S.INV(RAND())</f>
        <v/>
      </c>
      <c r="S343" s="15">
        <f>IF('组合输入'!$C5="","",'组合输入'!$H5*$B343+SQRT(1-'组合输入'!$H5^2)*R343)</f>
        <v/>
      </c>
      <c r="T343" s="7">
        <f>IF(S343="","",NORM.S.DIST(S343,TRUE))</f>
        <v/>
      </c>
      <c r="U343" s="13">
        <f>IF(T343="","",IF(T343&lt;='组合输入'!$K5,"AAA",IF(T343&lt;='组合输入'!$L5,"AA",IF(T343&lt;='组合输入'!$M5,"A",IF(T343&lt;='组合输入'!$N5,"BBB",IF(T343&lt;='组合输入'!$O5,"BB",IF(T343&lt;='组合输入'!$P5,"B",IF(T343&lt;='组合输入'!$Q5,"CCC","D")))))))</f>
        <v/>
      </c>
      <c r="V343" s="12">
        <f>IF(U343="","",INDEX('状态价值'!$D5:$K5,MATCH(U343,'状态价值'!$D$1:$K$1,0)))</f>
        <v/>
      </c>
      <c r="W343" s="15">
        <f>NORM.S.INV(RAND())</f>
        <v/>
      </c>
      <c r="X343" s="15">
        <f>IF('组合输入'!$C6="","",'组合输入'!$H6*$B343+SQRT(1-'组合输入'!$H6^2)*W343)</f>
        <v/>
      </c>
      <c r="Y343" s="7">
        <f>IF(X343="","",NORM.S.DIST(X343,TRUE))</f>
        <v/>
      </c>
      <c r="Z343" s="13">
        <f>IF(Y343="","",IF(Y343&lt;='组合输入'!$K6,"AAA",IF(Y343&lt;='组合输入'!$L6,"AA",IF(Y343&lt;='组合输入'!$M6,"A",IF(Y343&lt;='组合输入'!$N6,"BBB",IF(Y343&lt;='组合输入'!$O6,"BB",IF(Y343&lt;='组合输入'!$P6,"B",IF(Y343&lt;='组合输入'!$Q6,"CCC","D")))))))</f>
        <v/>
      </c>
      <c r="AA343" s="12">
        <f>IF(Z343="","",INDEX('状态价值'!$D6:$K6,MATCH(Z343,'状态价值'!$D$1:$K$1,0)))</f>
        <v/>
      </c>
      <c r="AB343" s="15">
        <f>NORM.S.INV(RAND())</f>
        <v/>
      </c>
      <c r="AC343" s="15">
        <f>IF('组合输入'!$C7="","",'组合输入'!$H7*$B343+SQRT(1-'组合输入'!$H7^2)*AB343)</f>
        <v/>
      </c>
      <c r="AD343" s="7">
        <f>IF(AC343="","",NORM.S.DIST(AC343,TRUE))</f>
        <v/>
      </c>
      <c r="AE343" s="13">
        <f>IF(AD343="","",IF(AD343&lt;='组合输入'!$K7,"AAA",IF(AD343&lt;='组合输入'!$L7,"AA",IF(AD343&lt;='组合输入'!$M7,"A",IF(AD343&lt;='组合输入'!$N7,"BBB",IF(AD343&lt;='组合输入'!$O7,"BB",IF(AD343&lt;='组合输入'!$P7,"B",IF(AD343&lt;='组合输入'!$Q7,"CCC","D")))))))</f>
        <v/>
      </c>
      <c r="AF343" s="12">
        <f>IF(AE343="","",INDEX('状态价值'!$D7:$K7,MATCH(AE343,'状态价值'!$D$1:$K$1,0)))</f>
        <v/>
      </c>
      <c r="AG343" s="15">
        <f>NORM.S.INV(RAND())</f>
        <v/>
      </c>
      <c r="AH343" s="15">
        <f>IF('组合输入'!$C8="","",'组合输入'!$H8*$B343+SQRT(1-'组合输入'!$H8^2)*AG343)</f>
        <v/>
      </c>
      <c r="AI343" s="7">
        <f>IF(AH343="","",NORM.S.DIST(AH343,TRUE))</f>
        <v/>
      </c>
      <c r="AJ343" s="13">
        <f>IF(AI343="","",IF(AI343&lt;='组合输入'!$K8,"AAA",IF(AI343&lt;='组合输入'!$L8,"AA",IF(AI343&lt;='组合输入'!$M8,"A",IF(AI343&lt;='组合输入'!$N8,"BBB",IF(AI343&lt;='组合输入'!$O8,"BB",IF(AI343&lt;='组合输入'!$P8,"B",IF(AI343&lt;='组合输入'!$Q8,"CCC","D")))))))</f>
        <v/>
      </c>
      <c r="AK343" s="12">
        <f>IF(AJ343="","",INDEX('状态价值'!$D8:$K8,MATCH(AJ343,'状态价值'!$D$1:$K$1,0)))</f>
        <v/>
      </c>
      <c r="AL343" s="15">
        <f>NORM.S.INV(RAND())</f>
        <v/>
      </c>
      <c r="AM343" s="15">
        <f>IF('组合输入'!$C9="","",'组合输入'!$H9*$B343+SQRT(1-'组合输入'!$H9^2)*AL343)</f>
        <v/>
      </c>
      <c r="AN343" s="7">
        <f>IF(AM343="","",NORM.S.DIST(AM343,TRUE))</f>
        <v/>
      </c>
      <c r="AO343" s="13">
        <f>IF(AN343="","",IF(AN343&lt;='组合输入'!$K9,"AAA",IF(AN343&lt;='组合输入'!$L9,"AA",IF(AN343&lt;='组合输入'!$M9,"A",IF(AN343&lt;='组合输入'!$N9,"BBB",IF(AN343&lt;='组合输入'!$O9,"BB",IF(AN343&lt;='组合输入'!$P9,"B",IF(AN343&lt;='组合输入'!$Q9,"CCC","D")))))))</f>
        <v/>
      </c>
      <c r="AP343" s="12">
        <f>IF(AO343="","",INDEX('状态价值'!$D9:$K9,MATCH(AO343,'状态价值'!$D$1:$K$1,0)))</f>
        <v/>
      </c>
      <c r="AQ343" s="15">
        <f>NORM.S.INV(RAND())</f>
        <v/>
      </c>
      <c r="AR343" s="15">
        <f>IF('组合输入'!$C10="","",'组合输入'!$H10*$B343+SQRT(1-'组合输入'!$H10^2)*AQ343)</f>
        <v/>
      </c>
      <c r="AS343" s="7">
        <f>IF(AR343="","",NORM.S.DIST(AR343,TRUE))</f>
        <v/>
      </c>
      <c r="AT343" s="13">
        <f>IF(AS343="","",IF(AS343&lt;='组合输入'!$K10,"AAA",IF(AS343&lt;='组合输入'!$L10,"AA",IF(AS343&lt;='组合输入'!$M10,"A",IF(AS343&lt;='组合输入'!$N10,"BBB",IF(AS343&lt;='组合输入'!$O10,"BB",IF(AS343&lt;='组合输入'!$P10,"B",IF(AS343&lt;='组合输入'!$Q10,"CCC","D")))))))</f>
        <v/>
      </c>
      <c r="AU343" s="12">
        <f>IF(AT343="","",INDEX('状态价值'!$D10:$K10,MATCH(AT343,'状态价值'!$D$1:$K$1,0)))</f>
        <v/>
      </c>
      <c r="AV343" s="15">
        <f>NORM.S.INV(RAND())</f>
        <v/>
      </c>
      <c r="AW343" s="15">
        <f>IF('组合输入'!$C11="","",'组合输入'!$H11*$B343+SQRT(1-'组合输入'!$H11^2)*AV343)</f>
        <v/>
      </c>
      <c r="AX343" s="7">
        <f>IF(AW343="","",NORM.S.DIST(AW343,TRUE))</f>
        <v/>
      </c>
      <c r="AY343" s="13">
        <f>IF(AX343="","",IF(AX343&lt;='组合输入'!$K11,"AAA",IF(AX343&lt;='组合输入'!$L11,"AA",IF(AX343&lt;='组合输入'!$M11,"A",IF(AX343&lt;='组合输入'!$N11,"BBB",IF(AX343&lt;='组合输入'!$O11,"BB",IF(AX343&lt;='组合输入'!$P11,"B",IF(AX343&lt;='组合输入'!$Q11,"CCC","D")))))))</f>
        <v/>
      </c>
      <c r="AZ343" s="12">
        <f>IF(AY343="","",INDEX('状态价值'!$D11:$K11,MATCH(AY343,'状态价值'!$D$1:$K$1,0)))</f>
        <v/>
      </c>
      <c r="BA343" s="12">
        <f>G343+L343+Q343+V343+AA343+AF343+AK343+AP343+AU343+AZ343</f>
        <v/>
      </c>
      <c r="BB343" s="12">
        <f>SUM('组合输入'!$J$2:$J$11)-BA343</f>
        <v/>
      </c>
    </row>
    <row r="344">
      <c r="A344" s="11" t="n">
        <v>343</v>
      </c>
      <c r="B344" s="14">
        <f>NORM.S.INV(RAND())</f>
        <v/>
      </c>
      <c r="C344" s="14">
        <f>NORM.S.INV(RAND())</f>
        <v/>
      </c>
      <c r="D344" s="15">
        <f>IF('组合输入'!$C2="","",'组合输入'!$H2*$B344+SQRT(1-'组合输入'!$H2^2)*C344)</f>
        <v/>
      </c>
      <c r="E344" s="7">
        <f>IF(D344="","",NORM.S.DIST(D344,TRUE))</f>
        <v/>
      </c>
      <c r="F344" s="13">
        <f>IF(E344="","",IF(E344&lt;='组合输入'!$K2,"AAA",IF(E344&lt;='组合输入'!$L2,"AA",IF(E344&lt;='组合输入'!$M2,"A",IF(E344&lt;='组合输入'!$N2,"BBB",IF(E344&lt;='组合输入'!$O2,"BB",IF(E344&lt;='组合输入'!$P2,"B",IF(E344&lt;='组合输入'!$Q2,"CCC","D")))))))</f>
        <v/>
      </c>
      <c r="G344" s="12">
        <f>IF(F344="","",INDEX('状态价值'!$D2:$K2,MATCH(F344,'状态价值'!$D$1:$K$1,0)))</f>
        <v/>
      </c>
      <c r="H344" s="15">
        <f>NORM.S.INV(RAND())</f>
        <v/>
      </c>
      <c r="I344" s="15">
        <f>IF('组合输入'!$C3="","",'组合输入'!$H3*$B344+SQRT(1-'组合输入'!$H3^2)*H344)</f>
        <v/>
      </c>
      <c r="J344" s="7">
        <f>IF(I344="","",NORM.S.DIST(I344,TRUE))</f>
        <v/>
      </c>
      <c r="K344" s="13">
        <f>IF(J344="","",IF(J344&lt;='组合输入'!$K3,"AAA",IF(J344&lt;='组合输入'!$L3,"AA",IF(J344&lt;='组合输入'!$M3,"A",IF(J344&lt;='组合输入'!$N3,"BBB",IF(J344&lt;='组合输入'!$O3,"BB",IF(J344&lt;='组合输入'!$P3,"B",IF(J344&lt;='组合输入'!$Q3,"CCC","D")))))))</f>
        <v/>
      </c>
      <c r="L344" s="12">
        <f>IF(K344="","",INDEX('状态价值'!$D3:$K3,MATCH(K344,'状态价值'!$D$1:$K$1,0)))</f>
        <v/>
      </c>
      <c r="M344" s="15">
        <f>NORM.S.INV(RAND())</f>
        <v/>
      </c>
      <c r="N344" s="15">
        <f>IF('组合输入'!$C4="","",'组合输入'!$H4*$B344+SQRT(1-'组合输入'!$H4^2)*M344)</f>
        <v/>
      </c>
      <c r="O344" s="7">
        <f>IF(N344="","",NORM.S.DIST(N344,TRUE))</f>
        <v/>
      </c>
      <c r="P344" s="13">
        <f>IF(O344="","",IF(O344&lt;='组合输入'!$K4,"AAA",IF(O344&lt;='组合输入'!$L4,"AA",IF(O344&lt;='组合输入'!$M4,"A",IF(O344&lt;='组合输入'!$N4,"BBB",IF(O344&lt;='组合输入'!$O4,"BB",IF(O344&lt;='组合输入'!$P4,"B",IF(O344&lt;='组合输入'!$Q4,"CCC","D")))))))</f>
        <v/>
      </c>
      <c r="Q344" s="12">
        <f>IF(P344="","",INDEX('状态价值'!$D4:$K4,MATCH(P344,'状态价值'!$D$1:$K$1,0)))</f>
        <v/>
      </c>
      <c r="R344" s="15">
        <f>NORM.S.INV(RAND())</f>
        <v/>
      </c>
      <c r="S344" s="15">
        <f>IF('组合输入'!$C5="","",'组合输入'!$H5*$B344+SQRT(1-'组合输入'!$H5^2)*R344)</f>
        <v/>
      </c>
      <c r="T344" s="7">
        <f>IF(S344="","",NORM.S.DIST(S344,TRUE))</f>
        <v/>
      </c>
      <c r="U344" s="13">
        <f>IF(T344="","",IF(T344&lt;='组合输入'!$K5,"AAA",IF(T344&lt;='组合输入'!$L5,"AA",IF(T344&lt;='组合输入'!$M5,"A",IF(T344&lt;='组合输入'!$N5,"BBB",IF(T344&lt;='组合输入'!$O5,"BB",IF(T344&lt;='组合输入'!$P5,"B",IF(T344&lt;='组合输入'!$Q5,"CCC","D")))))))</f>
        <v/>
      </c>
      <c r="V344" s="12">
        <f>IF(U344="","",INDEX('状态价值'!$D5:$K5,MATCH(U344,'状态价值'!$D$1:$K$1,0)))</f>
        <v/>
      </c>
      <c r="W344" s="15">
        <f>NORM.S.INV(RAND())</f>
        <v/>
      </c>
      <c r="X344" s="15">
        <f>IF('组合输入'!$C6="","",'组合输入'!$H6*$B344+SQRT(1-'组合输入'!$H6^2)*W344)</f>
        <v/>
      </c>
      <c r="Y344" s="7">
        <f>IF(X344="","",NORM.S.DIST(X344,TRUE))</f>
        <v/>
      </c>
      <c r="Z344" s="13">
        <f>IF(Y344="","",IF(Y344&lt;='组合输入'!$K6,"AAA",IF(Y344&lt;='组合输入'!$L6,"AA",IF(Y344&lt;='组合输入'!$M6,"A",IF(Y344&lt;='组合输入'!$N6,"BBB",IF(Y344&lt;='组合输入'!$O6,"BB",IF(Y344&lt;='组合输入'!$P6,"B",IF(Y344&lt;='组合输入'!$Q6,"CCC","D")))))))</f>
        <v/>
      </c>
      <c r="AA344" s="12">
        <f>IF(Z344="","",INDEX('状态价值'!$D6:$K6,MATCH(Z344,'状态价值'!$D$1:$K$1,0)))</f>
        <v/>
      </c>
      <c r="AB344" s="15">
        <f>NORM.S.INV(RAND())</f>
        <v/>
      </c>
      <c r="AC344" s="15">
        <f>IF('组合输入'!$C7="","",'组合输入'!$H7*$B344+SQRT(1-'组合输入'!$H7^2)*AB344)</f>
        <v/>
      </c>
      <c r="AD344" s="7">
        <f>IF(AC344="","",NORM.S.DIST(AC344,TRUE))</f>
        <v/>
      </c>
      <c r="AE344" s="13">
        <f>IF(AD344="","",IF(AD344&lt;='组合输入'!$K7,"AAA",IF(AD344&lt;='组合输入'!$L7,"AA",IF(AD344&lt;='组合输入'!$M7,"A",IF(AD344&lt;='组合输入'!$N7,"BBB",IF(AD344&lt;='组合输入'!$O7,"BB",IF(AD344&lt;='组合输入'!$P7,"B",IF(AD344&lt;='组合输入'!$Q7,"CCC","D")))))))</f>
        <v/>
      </c>
      <c r="AF344" s="12">
        <f>IF(AE344="","",INDEX('状态价值'!$D7:$K7,MATCH(AE344,'状态价值'!$D$1:$K$1,0)))</f>
        <v/>
      </c>
      <c r="AG344" s="15">
        <f>NORM.S.INV(RAND())</f>
        <v/>
      </c>
      <c r="AH344" s="15">
        <f>IF('组合输入'!$C8="","",'组合输入'!$H8*$B344+SQRT(1-'组合输入'!$H8^2)*AG344)</f>
        <v/>
      </c>
      <c r="AI344" s="7">
        <f>IF(AH344="","",NORM.S.DIST(AH344,TRUE))</f>
        <v/>
      </c>
      <c r="AJ344" s="13">
        <f>IF(AI344="","",IF(AI344&lt;='组合输入'!$K8,"AAA",IF(AI344&lt;='组合输入'!$L8,"AA",IF(AI344&lt;='组合输入'!$M8,"A",IF(AI344&lt;='组合输入'!$N8,"BBB",IF(AI344&lt;='组合输入'!$O8,"BB",IF(AI344&lt;='组合输入'!$P8,"B",IF(AI344&lt;='组合输入'!$Q8,"CCC","D")))))))</f>
        <v/>
      </c>
      <c r="AK344" s="12">
        <f>IF(AJ344="","",INDEX('状态价值'!$D8:$K8,MATCH(AJ344,'状态价值'!$D$1:$K$1,0)))</f>
        <v/>
      </c>
      <c r="AL344" s="15">
        <f>NORM.S.INV(RAND())</f>
        <v/>
      </c>
      <c r="AM344" s="15">
        <f>IF('组合输入'!$C9="","",'组合输入'!$H9*$B344+SQRT(1-'组合输入'!$H9^2)*AL344)</f>
        <v/>
      </c>
      <c r="AN344" s="7">
        <f>IF(AM344="","",NORM.S.DIST(AM344,TRUE))</f>
        <v/>
      </c>
      <c r="AO344" s="13">
        <f>IF(AN344="","",IF(AN344&lt;='组合输入'!$K9,"AAA",IF(AN344&lt;='组合输入'!$L9,"AA",IF(AN344&lt;='组合输入'!$M9,"A",IF(AN344&lt;='组合输入'!$N9,"BBB",IF(AN344&lt;='组合输入'!$O9,"BB",IF(AN344&lt;='组合输入'!$P9,"B",IF(AN344&lt;='组合输入'!$Q9,"CCC","D")))))))</f>
        <v/>
      </c>
      <c r="AP344" s="12">
        <f>IF(AO344="","",INDEX('状态价值'!$D9:$K9,MATCH(AO344,'状态价值'!$D$1:$K$1,0)))</f>
        <v/>
      </c>
      <c r="AQ344" s="15">
        <f>NORM.S.INV(RAND())</f>
        <v/>
      </c>
      <c r="AR344" s="15">
        <f>IF('组合输入'!$C10="","",'组合输入'!$H10*$B344+SQRT(1-'组合输入'!$H10^2)*AQ344)</f>
        <v/>
      </c>
      <c r="AS344" s="7">
        <f>IF(AR344="","",NORM.S.DIST(AR344,TRUE))</f>
        <v/>
      </c>
      <c r="AT344" s="13">
        <f>IF(AS344="","",IF(AS344&lt;='组合输入'!$K10,"AAA",IF(AS344&lt;='组合输入'!$L10,"AA",IF(AS344&lt;='组合输入'!$M10,"A",IF(AS344&lt;='组合输入'!$N10,"BBB",IF(AS344&lt;='组合输入'!$O10,"BB",IF(AS344&lt;='组合输入'!$P10,"B",IF(AS344&lt;='组合输入'!$Q10,"CCC","D")))))))</f>
        <v/>
      </c>
      <c r="AU344" s="12">
        <f>IF(AT344="","",INDEX('状态价值'!$D10:$K10,MATCH(AT344,'状态价值'!$D$1:$K$1,0)))</f>
        <v/>
      </c>
      <c r="AV344" s="15">
        <f>NORM.S.INV(RAND())</f>
        <v/>
      </c>
      <c r="AW344" s="15">
        <f>IF('组合输入'!$C11="","",'组合输入'!$H11*$B344+SQRT(1-'组合输入'!$H11^2)*AV344)</f>
        <v/>
      </c>
      <c r="AX344" s="7">
        <f>IF(AW344="","",NORM.S.DIST(AW344,TRUE))</f>
        <v/>
      </c>
      <c r="AY344" s="13">
        <f>IF(AX344="","",IF(AX344&lt;='组合输入'!$K11,"AAA",IF(AX344&lt;='组合输入'!$L11,"AA",IF(AX344&lt;='组合输入'!$M11,"A",IF(AX344&lt;='组合输入'!$N11,"BBB",IF(AX344&lt;='组合输入'!$O11,"BB",IF(AX344&lt;='组合输入'!$P11,"B",IF(AX344&lt;='组合输入'!$Q11,"CCC","D")))))))</f>
        <v/>
      </c>
      <c r="AZ344" s="12">
        <f>IF(AY344="","",INDEX('状态价值'!$D11:$K11,MATCH(AY344,'状态价值'!$D$1:$K$1,0)))</f>
        <v/>
      </c>
      <c r="BA344" s="12">
        <f>G344+L344+Q344+V344+AA344+AF344+AK344+AP344+AU344+AZ344</f>
        <v/>
      </c>
      <c r="BB344" s="12">
        <f>SUM('组合输入'!$J$2:$J$11)-BA344</f>
        <v/>
      </c>
    </row>
    <row r="345">
      <c r="A345" s="11" t="n">
        <v>344</v>
      </c>
      <c r="B345" s="14">
        <f>NORM.S.INV(RAND())</f>
        <v/>
      </c>
      <c r="C345" s="14">
        <f>NORM.S.INV(RAND())</f>
        <v/>
      </c>
      <c r="D345" s="15">
        <f>IF('组合输入'!$C2="","",'组合输入'!$H2*$B345+SQRT(1-'组合输入'!$H2^2)*C345)</f>
        <v/>
      </c>
      <c r="E345" s="7">
        <f>IF(D345="","",NORM.S.DIST(D345,TRUE))</f>
        <v/>
      </c>
      <c r="F345" s="13">
        <f>IF(E345="","",IF(E345&lt;='组合输入'!$K2,"AAA",IF(E345&lt;='组合输入'!$L2,"AA",IF(E345&lt;='组合输入'!$M2,"A",IF(E345&lt;='组合输入'!$N2,"BBB",IF(E345&lt;='组合输入'!$O2,"BB",IF(E345&lt;='组合输入'!$P2,"B",IF(E345&lt;='组合输入'!$Q2,"CCC","D")))))))</f>
        <v/>
      </c>
      <c r="G345" s="12">
        <f>IF(F345="","",INDEX('状态价值'!$D2:$K2,MATCH(F345,'状态价值'!$D$1:$K$1,0)))</f>
        <v/>
      </c>
      <c r="H345" s="15">
        <f>NORM.S.INV(RAND())</f>
        <v/>
      </c>
      <c r="I345" s="15">
        <f>IF('组合输入'!$C3="","",'组合输入'!$H3*$B345+SQRT(1-'组合输入'!$H3^2)*H345)</f>
        <v/>
      </c>
      <c r="J345" s="7">
        <f>IF(I345="","",NORM.S.DIST(I345,TRUE))</f>
        <v/>
      </c>
      <c r="K345" s="13">
        <f>IF(J345="","",IF(J345&lt;='组合输入'!$K3,"AAA",IF(J345&lt;='组合输入'!$L3,"AA",IF(J345&lt;='组合输入'!$M3,"A",IF(J345&lt;='组合输入'!$N3,"BBB",IF(J345&lt;='组合输入'!$O3,"BB",IF(J345&lt;='组合输入'!$P3,"B",IF(J345&lt;='组合输入'!$Q3,"CCC","D")))))))</f>
        <v/>
      </c>
      <c r="L345" s="12">
        <f>IF(K345="","",INDEX('状态价值'!$D3:$K3,MATCH(K345,'状态价值'!$D$1:$K$1,0)))</f>
        <v/>
      </c>
      <c r="M345" s="15">
        <f>NORM.S.INV(RAND())</f>
        <v/>
      </c>
      <c r="N345" s="15">
        <f>IF('组合输入'!$C4="","",'组合输入'!$H4*$B345+SQRT(1-'组合输入'!$H4^2)*M345)</f>
        <v/>
      </c>
      <c r="O345" s="7">
        <f>IF(N345="","",NORM.S.DIST(N345,TRUE))</f>
        <v/>
      </c>
      <c r="P345" s="13">
        <f>IF(O345="","",IF(O345&lt;='组合输入'!$K4,"AAA",IF(O345&lt;='组合输入'!$L4,"AA",IF(O345&lt;='组合输入'!$M4,"A",IF(O345&lt;='组合输入'!$N4,"BBB",IF(O345&lt;='组合输入'!$O4,"BB",IF(O345&lt;='组合输入'!$P4,"B",IF(O345&lt;='组合输入'!$Q4,"CCC","D")))))))</f>
        <v/>
      </c>
      <c r="Q345" s="12">
        <f>IF(P345="","",INDEX('状态价值'!$D4:$K4,MATCH(P345,'状态价值'!$D$1:$K$1,0)))</f>
        <v/>
      </c>
      <c r="R345" s="15">
        <f>NORM.S.INV(RAND())</f>
        <v/>
      </c>
      <c r="S345" s="15">
        <f>IF('组合输入'!$C5="","",'组合输入'!$H5*$B345+SQRT(1-'组合输入'!$H5^2)*R345)</f>
        <v/>
      </c>
      <c r="T345" s="7">
        <f>IF(S345="","",NORM.S.DIST(S345,TRUE))</f>
        <v/>
      </c>
      <c r="U345" s="13">
        <f>IF(T345="","",IF(T345&lt;='组合输入'!$K5,"AAA",IF(T345&lt;='组合输入'!$L5,"AA",IF(T345&lt;='组合输入'!$M5,"A",IF(T345&lt;='组合输入'!$N5,"BBB",IF(T345&lt;='组合输入'!$O5,"BB",IF(T345&lt;='组合输入'!$P5,"B",IF(T345&lt;='组合输入'!$Q5,"CCC","D")))))))</f>
        <v/>
      </c>
      <c r="V345" s="12">
        <f>IF(U345="","",INDEX('状态价值'!$D5:$K5,MATCH(U345,'状态价值'!$D$1:$K$1,0)))</f>
        <v/>
      </c>
      <c r="W345" s="15">
        <f>NORM.S.INV(RAND())</f>
        <v/>
      </c>
      <c r="X345" s="15">
        <f>IF('组合输入'!$C6="","",'组合输入'!$H6*$B345+SQRT(1-'组合输入'!$H6^2)*W345)</f>
        <v/>
      </c>
      <c r="Y345" s="7">
        <f>IF(X345="","",NORM.S.DIST(X345,TRUE))</f>
        <v/>
      </c>
      <c r="Z345" s="13">
        <f>IF(Y345="","",IF(Y345&lt;='组合输入'!$K6,"AAA",IF(Y345&lt;='组合输入'!$L6,"AA",IF(Y345&lt;='组合输入'!$M6,"A",IF(Y345&lt;='组合输入'!$N6,"BBB",IF(Y345&lt;='组合输入'!$O6,"BB",IF(Y345&lt;='组合输入'!$P6,"B",IF(Y345&lt;='组合输入'!$Q6,"CCC","D")))))))</f>
        <v/>
      </c>
      <c r="AA345" s="12">
        <f>IF(Z345="","",INDEX('状态价值'!$D6:$K6,MATCH(Z345,'状态价值'!$D$1:$K$1,0)))</f>
        <v/>
      </c>
      <c r="AB345" s="15">
        <f>NORM.S.INV(RAND())</f>
        <v/>
      </c>
      <c r="AC345" s="15">
        <f>IF('组合输入'!$C7="","",'组合输入'!$H7*$B345+SQRT(1-'组合输入'!$H7^2)*AB345)</f>
        <v/>
      </c>
      <c r="AD345" s="7">
        <f>IF(AC345="","",NORM.S.DIST(AC345,TRUE))</f>
        <v/>
      </c>
      <c r="AE345" s="13">
        <f>IF(AD345="","",IF(AD345&lt;='组合输入'!$K7,"AAA",IF(AD345&lt;='组合输入'!$L7,"AA",IF(AD345&lt;='组合输入'!$M7,"A",IF(AD345&lt;='组合输入'!$N7,"BBB",IF(AD345&lt;='组合输入'!$O7,"BB",IF(AD345&lt;='组合输入'!$P7,"B",IF(AD345&lt;='组合输入'!$Q7,"CCC","D")))))))</f>
        <v/>
      </c>
      <c r="AF345" s="12">
        <f>IF(AE345="","",INDEX('状态价值'!$D7:$K7,MATCH(AE345,'状态价值'!$D$1:$K$1,0)))</f>
        <v/>
      </c>
      <c r="AG345" s="15">
        <f>NORM.S.INV(RAND())</f>
        <v/>
      </c>
      <c r="AH345" s="15">
        <f>IF('组合输入'!$C8="","",'组合输入'!$H8*$B345+SQRT(1-'组合输入'!$H8^2)*AG345)</f>
        <v/>
      </c>
      <c r="AI345" s="7">
        <f>IF(AH345="","",NORM.S.DIST(AH345,TRUE))</f>
        <v/>
      </c>
      <c r="AJ345" s="13">
        <f>IF(AI345="","",IF(AI345&lt;='组合输入'!$K8,"AAA",IF(AI345&lt;='组合输入'!$L8,"AA",IF(AI345&lt;='组合输入'!$M8,"A",IF(AI345&lt;='组合输入'!$N8,"BBB",IF(AI345&lt;='组合输入'!$O8,"BB",IF(AI345&lt;='组合输入'!$P8,"B",IF(AI345&lt;='组合输入'!$Q8,"CCC","D")))))))</f>
        <v/>
      </c>
      <c r="AK345" s="12">
        <f>IF(AJ345="","",INDEX('状态价值'!$D8:$K8,MATCH(AJ345,'状态价值'!$D$1:$K$1,0)))</f>
        <v/>
      </c>
      <c r="AL345" s="15">
        <f>NORM.S.INV(RAND())</f>
        <v/>
      </c>
      <c r="AM345" s="15">
        <f>IF('组合输入'!$C9="","",'组合输入'!$H9*$B345+SQRT(1-'组合输入'!$H9^2)*AL345)</f>
        <v/>
      </c>
      <c r="AN345" s="7">
        <f>IF(AM345="","",NORM.S.DIST(AM345,TRUE))</f>
        <v/>
      </c>
      <c r="AO345" s="13">
        <f>IF(AN345="","",IF(AN345&lt;='组合输入'!$K9,"AAA",IF(AN345&lt;='组合输入'!$L9,"AA",IF(AN345&lt;='组合输入'!$M9,"A",IF(AN345&lt;='组合输入'!$N9,"BBB",IF(AN345&lt;='组合输入'!$O9,"BB",IF(AN345&lt;='组合输入'!$P9,"B",IF(AN345&lt;='组合输入'!$Q9,"CCC","D")))))))</f>
        <v/>
      </c>
      <c r="AP345" s="12">
        <f>IF(AO345="","",INDEX('状态价值'!$D9:$K9,MATCH(AO345,'状态价值'!$D$1:$K$1,0)))</f>
        <v/>
      </c>
      <c r="AQ345" s="15">
        <f>NORM.S.INV(RAND())</f>
        <v/>
      </c>
      <c r="AR345" s="15">
        <f>IF('组合输入'!$C10="","",'组合输入'!$H10*$B345+SQRT(1-'组合输入'!$H10^2)*AQ345)</f>
        <v/>
      </c>
      <c r="AS345" s="7">
        <f>IF(AR345="","",NORM.S.DIST(AR345,TRUE))</f>
        <v/>
      </c>
      <c r="AT345" s="13">
        <f>IF(AS345="","",IF(AS345&lt;='组合输入'!$K10,"AAA",IF(AS345&lt;='组合输入'!$L10,"AA",IF(AS345&lt;='组合输入'!$M10,"A",IF(AS345&lt;='组合输入'!$N10,"BBB",IF(AS345&lt;='组合输入'!$O10,"BB",IF(AS345&lt;='组合输入'!$P10,"B",IF(AS345&lt;='组合输入'!$Q10,"CCC","D")))))))</f>
        <v/>
      </c>
      <c r="AU345" s="12">
        <f>IF(AT345="","",INDEX('状态价值'!$D10:$K10,MATCH(AT345,'状态价值'!$D$1:$K$1,0)))</f>
        <v/>
      </c>
      <c r="AV345" s="15">
        <f>NORM.S.INV(RAND())</f>
        <v/>
      </c>
      <c r="AW345" s="15">
        <f>IF('组合输入'!$C11="","",'组合输入'!$H11*$B345+SQRT(1-'组合输入'!$H11^2)*AV345)</f>
        <v/>
      </c>
      <c r="AX345" s="7">
        <f>IF(AW345="","",NORM.S.DIST(AW345,TRUE))</f>
        <v/>
      </c>
      <c r="AY345" s="13">
        <f>IF(AX345="","",IF(AX345&lt;='组合输入'!$K11,"AAA",IF(AX345&lt;='组合输入'!$L11,"AA",IF(AX345&lt;='组合输入'!$M11,"A",IF(AX345&lt;='组合输入'!$N11,"BBB",IF(AX345&lt;='组合输入'!$O11,"BB",IF(AX345&lt;='组合输入'!$P11,"B",IF(AX345&lt;='组合输入'!$Q11,"CCC","D")))))))</f>
        <v/>
      </c>
      <c r="AZ345" s="12">
        <f>IF(AY345="","",INDEX('状态价值'!$D11:$K11,MATCH(AY345,'状态价值'!$D$1:$K$1,0)))</f>
        <v/>
      </c>
      <c r="BA345" s="12">
        <f>G345+L345+Q345+V345+AA345+AF345+AK345+AP345+AU345+AZ345</f>
        <v/>
      </c>
      <c r="BB345" s="12">
        <f>SUM('组合输入'!$J$2:$J$11)-BA345</f>
        <v/>
      </c>
    </row>
    <row r="346">
      <c r="A346" s="11" t="n">
        <v>345</v>
      </c>
      <c r="B346" s="14">
        <f>NORM.S.INV(RAND())</f>
        <v/>
      </c>
      <c r="C346" s="14">
        <f>NORM.S.INV(RAND())</f>
        <v/>
      </c>
      <c r="D346" s="15">
        <f>IF('组合输入'!$C2="","",'组合输入'!$H2*$B346+SQRT(1-'组合输入'!$H2^2)*C346)</f>
        <v/>
      </c>
      <c r="E346" s="7">
        <f>IF(D346="","",NORM.S.DIST(D346,TRUE))</f>
        <v/>
      </c>
      <c r="F346" s="13">
        <f>IF(E346="","",IF(E346&lt;='组合输入'!$K2,"AAA",IF(E346&lt;='组合输入'!$L2,"AA",IF(E346&lt;='组合输入'!$M2,"A",IF(E346&lt;='组合输入'!$N2,"BBB",IF(E346&lt;='组合输入'!$O2,"BB",IF(E346&lt;='组合输入'!$P2,"B",IF(E346&lt;='组合输入'!$Q2,"CCC","D")))))))</f>
        <v/>
      </c>
      <c r="G346" s="12">
        <f>IF(F346="","",INDEX('状态价值'!$D2:$K2,MATCH(F346,'状态价值'!$D$1:$K$1,0)))</f>
        <v/>
      </c>
      <c r="H346" s="15">
        <f>NORM.S.INV(RAND())</f>
        <v/>
      </c>
      <c r="I346" s="15">
        <f>IF('组合输入'!$C3="","",'组合输入'!$H3*$B346+SQRT(1-'组合输入'!$H3^2)*H346)</f>
        <v/>
      </c>
      <c r="J346" s="7">
        <f>IF(I346="","",NORM.S.DIST(I346,TRUE))</f>
        <v/>
      </c>
      <c r="K346" s="13">
        <f>IF(J346="","",IF(J346&lt;='组合输入'!$K3,"AAA",IF(J346&lt;='组合输入'!$L3,"AA",IF(J346&lt;='组合输入'!$M3,"A",IF(J346&lt;='组合输入'!$N3,"BBB",IF(J346&lt;='组合输入'!$O3,"BB",IF(J346&lt;='组合输入'!$P3,"B",IF(J346&lt;='组合输入'!$Q3,"CCC","D")))))))</f>
        <v/>
      </c>
      <c r="L346" s="12">
        <f>IF(K346="","",INDEX('状态价值'!$D3:$K3,MATCH(K346,'状态价值'!$D$1:$K$1,0)))</f>
        <v/>
      </c>
      <c r="M346" s="15">
        <f>NORM.S.INV(RAND())</f>
        <v/>
      </c>
      <c r="N346" s="15">
        <f>IF('组合输入'!$C4="","",'组合输入'!$H4*$B346+SQRT(1-'组合输入'!$H4^2)*M346)</f>
        <v/>
      </c>
      <c r="O346" s="7">
        <f>IF(N346="","",NORM.S.DIST(N346,TRUE))</f>
        <v/>
      </c>
      <c r="P346" s="13">
        <f>IF(O346="","",IF(O346&lt;='组合输入'!$K4,"AAA",IF(O346&lt;='组合输入'!$L4,"AA",IF(O346&lt;='组合输入'!$M4,"A",IF(O346&lt;='组合输入'!$N4,"BBB",IF(O346&lt;='组合输入'!$O4,"BB",IF(O346&lt;='组合输入'!$P4,"B",IF(O346&lt;='组合输入'!$Q4,"CCC","D")))))))</f>
        <v/>
      </c>
      <c r="Q346" s="12">
        <f>IF(P346="","",INDEX('状态价值'!$D4:$K4,MATCH(P346,'状态价值'!$D$1:$K$1,0)))</f>
        <v/>
      </c>
      <c r="R346" s="15">
        <f>NORM.S.INV(RAND())</f>
        <v/>
      </c>
      <c r="S346" s="15">
        <f>IF('组合输入'!$C5="","",'组合输入'!$H5*$B346+SQRT(1-'组合输入'!$H5^2)*R346)</f>
        <v/>
      </c>
      <c r="T346" s="7">
        <f>IF(S346="","",NORM.S.DIST(S346,TRUE))</f>
        <v/>
      </c>
      <c r="U346" s="13">
        <f>IF(T346="","",IF(T346&lt;='组合输入'!$K5,"AAA",IF(T346&lt;='组合输入'!$L5,"AA",IF(T346&lt;='组合输入'!$M5,"A",IF(T346&lt;='组合输入'!$N5,"BBB",IF(T346&lt;='组合输入'!$O5,"BB",IF(T346&lt;='组合输入'!$P5,"B",IF(T346&lt;='组合输入'!$Q5,"CCC","D")))))))</f>
        <v/>
      </c>
      <c r="V346" s="12">
        <f>IF(U346="","",INDEX('状态价值'!$D5:$K5,MATCH(U346,'状态价值'!$D$1:$K$1,0)))</f>
        <v/>
      </c>
      <c r="W346" s="15">
        <f>NORM.S.INV(RAND())</f>
        <v/>
      </c>
      <c r="X346" s="15">
        <f>IF('组合输入'!$C6="","",'组合输入'!$H6*$B346+SQRT(1-'组合输入'!$H6^2)*W346)</f>
        <v/>
      </c>
      <c r="Y346" s="7">
        <f>IF(X346="","",NORM.S.DIST(X346,TRUE))</f>
        <v/>
      </c>
      <c r="Z346" s="13">
        <f>IF(Y346="","",IF(Y346&lt;='组合输入'!$K6,"AAA",IF(Y346&lt;='组合输入'!$L6,"AA",IF(Y346&lt;='组合输入'!$M6,"A",IF(Y346&lt;='组合输入'!$N6,"BBB",IF(Y346&lt;='组合输入'!$O6,"BB",IF(Y346&lt;='组合输入'!$P6,"B",IF(Y346&lt;='组合输入'!$Q6,"CCC","D")))))))</f>
        <v/>
      </c>
      <c r="AA346" s="12">
        <f>IF(Z346="","",INDEX('状态价值'!$D6:$K6,MATCH(Z346,'状态价值'!$D$1:$K$1,0)))</f>
        <v/>
      </c>
      <c r="AB346" s="15">
        <f>NORM.S.INV(RAND())</f>
        <v/>
      </c>
      <c r="AC346" s="15">
        <f>IF('组合输入'!$C7="","",'组合输入'!$H7*$B346+SQRT(1-'组合输入'!$H7^2)*AB346)</f>
        <v/>
      </c>
      <c r="AD346" s="7">
        <f>IF(AC346="","",NORM.S.DIST(AC346,TRUE))</f>
        <v/>
      </c>
      <c r="AE346" s="13">
        <f>IF(AD346="","",IF(AD346&lt;='组合输入'!$K7,"AAA",IF(AD346&lt;='组合输入'!$L7,"AA",IF(AD346&lt;='组合输入'!$M7,"A",IF(AD346&lt;='组合输入'!$N7,"BBB",IF(AD346&lt;='组合输入'!$O7,"BB",IF(AD346&lt;='组合输入'!$P7,"B",IF(AD346&lt;='组合输入'!$Q7,"CCC","D")))))))</f>
        <v/>
      </c>
      <c r="AF346" s="12">
        <f>IF(AE346="","",INDEX('状态价值'!$D7:$K7,MATCH(AE346,'状态价值'!$D$1:$K$1,0)))</f>
        <v/>
      </c>
      <c r="AG346" s="15">
        <f>NORM.S.INV(RAND())</f>
        <v/>
      </c>
      <c r="AH346" s="15">
        <f>IF('组合输入'!$C8="","",'组合输入'!$H8*$B346+SQRT(1-'组合输入'!$H8^2)*AG346)</f>
        <v/>
      </c>
      <c r="AI346" s="7">
        <f>IF(AH346="","",NORM.S.DIST(AH346,TRUE))</f>
        <v/>
      </c>
      <c r="AJ346" s="13">
        <f>IF(AI346="","",IF(AI346&lt;='组合输入'!$K8,"AAA",IF(AI346&lt;='组合输入'!$L8,"AA",IF(AI346&lt;='组合输入'!$M8,"A",IF(AI346&lt;='组合输入'!$N8,"BBB",IF(AI346&lt;='组合输入'!$O8,"BB",IF(AI346&lt;='组合输入'!$P8,"B",IF(AI346&lt;='组合输入'!$Q8,"CCC","D")))))))</f>
        <v/>
      </c>
      <c r="AK346" s="12">
        <f>IF(AJ346="","",INDEX('状态价值'!$D8:$K8,MATCH(AJ346,'状态价值'!$D$1:$K$1,0)))</f>
        <v/>
      </c>
      <c r="AL346" s="15">
        <f>NORM.S.INV(RAND())</f>
        <v/>
      </c>
      <c r="AM346" s="15">
        <f>IF('组合输入'!$C9="","",'组合输入'!$H9*$B346+SQRT(1-'组合输入'!$H9^2)*AL346)</f>
        <v/>
      </c>
      <c r="AN346" s="7">
        <f>IF(AM346="","",NORM.S.DIST(AM346,TRUE))</f>
        <v/>
      </c>
      <c r="AO346" s="13">
        <f>IF(AN346="","",IF(AN346&lt;='组合输入'!$K9,"AAA",IF(AN346&lt;='组合输入'!$L9,"AA",IF(AN346&lt;='组合输入'!$M9,"A",IF(AN346&lt;='组合输入'!$N9,"BBB",IF(AN346&lt;='组合输入'!$O9,"BB",IF(AN346&lt;='组合输入'!$P9,"B",IF(AN346&lt;='组合输入'!$Q9,"CCC","D")))))))</f>
        <v/>
      </c>
      <c r="AP346" s="12">
        <f>IF(AO346="","",INDEX('状态价值'!$D9:$K9,MATCH(AO346,'状态价值'!$D$1:$K$1,0)))</f>
        <v/>
      </c>
      <c r="AQ346" s="15">
        <f>NORM.S.INV(RAND())</f>
        <v/>
      </c>
      <c r="AR346" s="15">
        <f>IF('组合输入'!$C10="","",'组合输入'!$H10*$B346+SQRT(1-'组合输入'!$H10^2)*AQ346)</f>
        <v/>
      </c>
      <c r="AS346" s="7">
        <f>IF(AR346="","",NORM.S.DIST(AR346,TRUE))</f>
        <v/>
      </c>
      <c r="AT346" s="13">
        <f>IF(AS346="","",IF(AS346&lt;='组合输入'!$K10,"AAA",IF(AS346&lt;='组合输入'!$L10,"AA",IF(AS346&lt;='组合输入'!$M10,"A",IF(AS346&lt;='组合输入'!$N10,"BBB",IF(AS346&lt;='组合输入'!$O10,"BB",IF(AS346&lt;='组合输入'!$P10,"B",IF(AS346&lt;='组合输入'!$Q10,"CCC","D")))))))</f>
        <v/>
      </c>
      <c r="AU346" s="12">
        <f>IF(AT346="","",INDEX('状态价值'!$D10:$K10,MATCH(AT346,'状态价值'!$D$1:$K$1,0)))</f>
        <v/>
      </c>
      <c r="AV346" s="15">
        <f>NORM.S.INV(RAND())</f>
        <v/>
      </c>
      <c r="AW346" s="15">
        <f>IF('组合输入'!$C11="","",'组合输入'!$H11*$B346+SQRT(1-'组合输入'!$H11^2)*AV346)</f>
        <v/>
      </c>
      <c r="AX346" s="7">
        <f>IF(AW346="","",NORM.S.DIST(AW346,TRUE))</f>
        <v/>
      </c>
      <c r="AY346" s="13">
        <f>IF(AX346="","",IF(AX346&lt;='组合输入'!$K11,"AAA",IF(AX346&lt;='组合输入'!$L11,"AA",IF(AX346&lt;='组合输入'!$M11,"A",IF(AX346&lt;='组合输入'!$N11,"BBB",IF(AX346&lt;='组合输入'!$O11,"BB",IF(AX346&lt;='组合输入'!$P11,"B",IF(AX346&lt;='组合输入'!$Q11,"CCC","D")))))))</f>
        <v/>
      </c>
      <c r="AZ346" s="12">
        <f>IF(AY346="","",INDEX('状态价值'!$D11:$K11,MATCH(AY346,'状态价值'!$D$1:$K$1,0)))</f>
        <v/>
      </c>
      <c r="BA346" s="12">
        <f>G346+L346+Q346+V346+AA346+AF346+AK346+AP346+AU346+AZ346</f>
        <v/>
      </c>
      <c r="BB346" s="12">
        <f>SUM('组合输入'!$J$2:$J$11)-BA346</f>
        <v/>
      </c>
    </row>
    <row r="347">
      <c r="A347" s="11" t="n">
        <v>346</v>
      </c>
      <c r="B347" s="14">
        <f>NORM.S.INV(RAND())</f>
        <v/>
      </c>
      <c r="C347" s="14">
        <f>NORM.S.INV(RAND())</f>
        <v/>
      </c>
      <c r="D347" s="15">
        <f>IF('组合输入'!$C2="","",'组合输入'!$H2*$B347+SQRT(1-'组合输入'!$H2^2)*C347)</f>
        <v/>
      </c>
      <c r="E347" s="7">
        <f>IF(D347="","",NORM.S.DIST(D347,TRUE))</f>
        <v/>
      </c>
      <c r="F347" s="13">
        <f>IF(E347="","",IF(E347&lt;='组合输入'!$K2,"AAA",IF(E347&lt;='组合输入'!$L2,"AA",IF(E347&lt;='组合输入'!$M2,"A",IF(E347&lt;='组合输入'!$N2,"BBB",IF(E347&lt;='组合输入'!$O2,"BB",IF(E347&lt;='组合输入'!$P2,"B",IF(E347&lt;='组合输入'!$Q2,"CCC","D")))))))</f>
        <v/>
      </c>
      <c r="G347" s="12">
        <f>IF(F347="","",INDEX('状态价值'!$D2:$K2,MATCH(F347,'状态价值'!$D$1:$K$1,0)))</f>
        <v/>
      </c>
      <c r="H347" s="15">
        <f>NORM.S.INV(RAND())</f>
        <v/>
      </c>
      <c r="I347" s="15">
        <f>IF('组合输入'!$C3="","",'组合输入'!$H3*$B347+SQRT(1-'组合输入'!$H3^2)*H347)</f>
        <v/>
      </c>
      <c r="J347" s="7">
        <f>IF(I347="","",NORM.S.DIST(I347,TRUE))</f>
        <v/>
      </c>
      <c r="K347" s="13">
        <f>IF(J347="","",IF(J347&lt;='组合输入'!$K3,"AAA",IF(J347&lt;='组合输入'!$L3,"AA",IF(J347&lt;='组合输入'!$M3,"A",IF(J347&lt;='组合输入'!$N3,"BBB",IF(J347&lt;='组合输入'!$O3,"BB",IF(J347&lt;='组合输入'!$P3,"B",IF(J347&lt;='组合输入'!$Q3,"CCC","D")))))))</f>
        <v/>
      </c>
      <c r="L347" s="12">
        <f>IF(K347="","",INDEX('状态价值'!$D3:$K3,MATCH(K347,'状态价值'!$D$1:$K$1,0)))</f>
        <v/>
      </c>
      <c r="M347" s="15">
        <f>NORM.S.INV(RAND())</f>
        <v/>
      </c>
      <c r="N347" s="15">
        <f>IF('组合输入'!$C4="","",'组合输入'!$H4*$B347+SQRT(1-'组合输入'!$H4^2)*M347)</f>
        <v/>
      </c>
      <c r="O347" s="7">
        <f>IF(N347="","",NORM.S.DIST(N347,TRUE))</f>
        <v/>
      </c>
      <c r="P347" s="13">
        <f>IF(O347="","",IF(O347&lt;='组合输入'!$K4,"AAA",IF(O347&lt;='组合输入'!$L4,"AA",IF(O347&lt;='组合输入'!$M4,"A",IF(O347&lt;='组合输入'!$N4,"BBB",IF(O347&lt;='组合输入'!$O4,"BB",IF(O347&lt;='组合输入'!$P4,"B",IF(O347&lt;='组合输入'!$Q4,"CCC","D")))))))</f>
        <v/>
      </c>
      <c r="Q347" s="12">
        <f>IF(P347="","",INDEX('状态价值'!$D4:$K4,MATCH(P347,'状态价值'!$D$1:$K$1,0)))</f>
        <v/>
      </c>
      <c r="R347" s="15">
        <f>NORM.S.INV(RAND())</f>
        <v/>
      </c>
      <c r="S347" s="15">
        <f>IF('组合输入'!$C5="","",'组合输入'!$H5*$B347+SQRT(1-'组合输入'!$H5^2)*R347)</f>
        <v/>
      </c>
      <c r="T347" s="7">
        <f>IF(S347="","",NORM.S.DIST(S347,TRUE))</f>
        <v/>
      </c>
      <c r="U347" s="13">
        <f>IF(T347="","",IF(T347&lt;='组合输入'!$K5,"AAA",IF(T347&lt;='组合输入'!$L5,"AA",IF(T347&lt;='组合输入'!$M5,"A",IF(T347&lt;='组合输入'!$N5,"BBB",IF(T347&lt;='组合输入'!$O5,"BB",IF(T347&lt;='组合输入'!$P5,"B",IF(T347&lt;='组合输入'!$Q5,"CCC","D")))))))</f>
        <v/>
      </c>
      <c r="V347" s="12">
        <f>IF(U347="","",INDEX('状态价值'!$D5:$K5,MATCH(U347,'状态价值'!$D$1:$K$1,0)))</f>
        <v/>
      </c>
      <c r="W347" s="15">
        <f>NORM.S.INV(RAND())</f>
        <v/>
      </c>
      <c r="X347" s="15">
        <f>IF('组合输入'!$C6="","",'组合输入'!$H6*$B347+SQRT(1-'组合输入'!$H6^2)*W347)</f>
        <v/>
      </c>
      <c r="Y347" s="7">
        <f>IF(X347="","",NORM.S.DIST(X347,TRUE))</f>
        <v/>
      </c>
      <c r="Z347" s="13">
        <f>IF(Y347="","",IF(Y347&lt;='组合输入'!$K6,"AAA",IF(Y347&lt;='组合输入'!$L6,"AA",IF(Y347&lt;='组合输入'!$M6,"A",IF(Y347&lt;='组合输入'!$N6,"BBB",IF(Y347&lt;='组合输入'!$O6,"BB",IF(Y347&lt;='组合输入'!$P6,"B",IF(Y347&lt;='组合输入'!$Q6,"CCC","D")))))))</f>
        <v/>
      </c>
      <c r="AA347" s="12">
        <f>IF(Z347="","",INDEX('状态价值'!$D6:$K6,MATCH(Z347,'状态价值'!$D$1:$K$1,0)))</f>
        <v/>
      </c>
      <c r="AB347" s="15">
        <f>NORM.S.INV(RAND())</f>
        <v/>
      </c>
      <c r="AC347" s="15">
        <f>IF('组合输入'!$C7="","",'组合输入'!$H7*$B347+SQRT(1-'组合输入'!$H7^2)*AB347)</f>
        <v/>
      </c>
      <c r="AD347" s="7">
        <f>IF(AC347="","",NORM.S.DIST(AC347,TRUE))</f>
        <v/>
      </c>
      <c r="AE347" s="13">
        <f>IF(AD347="","",IF(AD347&lt;='组合输入'!$K7,"AAA",IF(AD347&lt;='组合输入'!$L7,"AA",IF(AD347&lt;='组合输入'!$M7,"A",IF(AD347&lt;='组合输入'!$N7,"BBB",IF(AD347&lt;='组合输入'!$O7,"BB",IF(AD347&lt;='组合输入'!$P7,"B",IF(AD347&lt;='组合输入'!$Q7,"CCC","D")))))))</f>
        <v/>
      </c>
      <c r="AF347" s="12">
        <f>IF(AE347="","",INDEX('状态价值'!$D7:$K7,MATCH(AE347,'状态价值'!$D$1:$K$1,0)))</f>
        <v/>
      </c>
      <c r="AG347" s="15">
        <f>NORM.S.INV(RAND())</f>
        <v/>
      </c>
      <c r="AH347" s="15">
        <f>IF('组合输入'!$C8="","",'组合输入'!$H8*$B347+SQRT(1-'组合输入'!$H8^2)*AG347)</f>
        <v/>
      </c>
      <c r="AI347" s="7">
        <f>IF(AH347="","",NORM.S.DIST(AH347,TRUE))</f>
        <v/>
      </c>
      <c r="AJ347" s="13">
        <f>IF(AI347="","",IF(AI347&lt;='组合输入'!$K8,"AAA",IF(AI347&lt;='组合输入'!$L8,"AA",IF(AI347&lt;='组合输入'!$M8,"A",IF(AI347&lt;='组合输入'!$N8,"BBB",IF(AI347&lt;='组合输入'!$O8,"BB",IF(AI347&lt;='组合输入'!$P8,"B",IF(AI347&lt;='组合输入'!$Q8,"CCC","D")))))))</f>
        <v/>
      </c>
      <c r="AK347" s="12">
        <f>IF(AJ347="","",INDEX('状态价值'!$D8:$K8,MATCH(AJ347,'状态价值'!$D$1:$K$1,0)))</f>
        <v/>
      </c>
      <c r="AL347" s="15">
        <f>NORM.S.INV(RAND())</f>
        <v/>
      </c>
      <c r="AM347" s="15">
        <f>IF('组合输入'!$C9="","",'组合输入'!$H9*$B347+SQRT(1-'组合输入'!$H9^2)*AL347)</f>
        <v/>
      </c>
      <c r="AN347" s="7">
        <f>IF(AM347="","",NORM.S.DIST(AM347,TRUE))</f>
        <v/>
      </c>
      <c r="AO347" s="13">
        <f>IF(AN347="","",IF(AN347&lt;='组合输入'!$K9,"AAA",IF(AN347&lt;='组合输入'!$L9,"AA",IF(AN347&lt;='组合输入'!$M9,"A",IF(AN347&lt;='组合输入'!$N9,"BBB",IF(AN347&lt;='组合输入'!$O9,"BB",IF(AN347&lt;='组合输入'!$P9,"B",IF(AN347&lt;='组合输入'!$Q9,"CCC","D")))))))</f>
        <v/>
      </c>
      <c r="AP347" s="12">
        <f>IF(AO347="","",INDEX('状态价值'!$D9:$K9,MATCH(AO347,'状态价值'!$D$1:$K$1,0)))</f>
        <v/>
      </c>
      <c r="AQ347" s="15">
        <f>NORM.S.INV(RAND())</f>
        <v/>
      </c>
      <c r="AR347" s="15">
        <f>IF('组合输入'!$C10="","",'组合输入'!$H10*$B347+SQRT(1-'组合输入'!$H10^2)*AQ347)</f>
        <v/>
      </c>
      <c r="AS347" s="7">
        <f>IF(AR347="","",NORM.S.DIST(AR347,TRUE))</f>
        <v/>
      </c>
      <c r="AT347" s="13">
        <f>IF(AS347="","",IF(AS347&lt;='组合输入'!$K10,"AAA",IF(AS347&lt;='组合输入'!$L10,"AA",IF(AS347&lt;='组合输入'!$M10,"A",IF(AS347&lt;='组合输入'!$N10,"BBB",IF(AS347&lt;='组合输入'!$O10,"BB",IF(AS347&lt;='组合输入'!$P10,"B",IF(AS347&lt;='组合输入'!$Q10,"CCC","D")))))))</f>
        <v/>
      </c>
      <c r="AU347" s="12">
        <f>IF(AT347="","",INDEX('状态价值'!$D10:$K10,MATCH(AT347,'状态价值'!$D$1:$K$1,0)))</f>
        <v/>
      </c>
      <c r="AV347" s="15">
        <f>NORM.S.INV(RAND())</f>
        <v/>
      </c>
      <c r="AW347" s="15">
        <f>IF('组合输入'!$C11="","",'组合输入'!$H11*$B347+SQRT(1-'组合输入'!$H11^2)*AV347)</f>
        <v/>
      </c>
      <c r="AX347" s="7">
        <f>IF(AW347="","",NORM.S.DIST(AW347,TRUE))</f>
        <v/>
      </c>
      <c r="AY347" s="13">
        <f>IF(AX347="","",IF(AX347&lt;='组合输入'!$K11,"AAA",IF(AX347&lt;='组合输入'!$L11,"AA",IF(AX347&lt;='组合输入'!$M11,"A",IF(AX347&lt;='组合输入'!$N11,"BBB",IF(AX347&lt;='组合输入'!$O11,"BB",IF(AX347&lt;='组合输入'!$P11,"B",IF(AX347&lt;='组合输入'!$Q11,"CCC","D")))))))</f>
        <v/>
      </c>
      <c r="AZ347" s="12">
        <f>IF(AY347="","",INDEX('状态价值'!$D11:$K11,MATCH(AY347,'状态价值'!$D$1:$K$1,0)))</f>
        <v/>
      </c>
      <c r="BA347" s="12">
        <f>G347+L347+Q347+V347+AA347+AF347+AK347+AP347+AU347+AZ347</f>
        <v/>
      </c>
      <c r="BB347" s="12">
        <f>SUM('组合输入'!$J$2:$J$11)-BA347</f>
        <v/>
      </c>
    </row>
    <row r="348">
      <c r="A348" s="11" t="n">
        <v>347</v>
      </c>
      <c r="B348" s="14">
        <f>NORM.S.INV(RAND())</f>
        <v/>
      </c>
      <c r="C348" s="14">
        <f>NORM.S.INV(RAND())</f>
        <v/>
      </c>
      <c r="D348" s="15">
        <f>IF('组合输入'!$C2="","",'组合输入'!$H2*$B348+SQRT(1-'组合输入'!$H2^2)*C348)</f>
        <v/>
      </c>
      <c r="E348" s="7">
        <f>IF(D348="","",NORM.S.DIST(D348,TRUE))</f>
        <v/>
      </c>
      <c r="F348" s="13">
        <f>IF(E348="","",IF(E348&lt;='组合输入'!$K2,"AAA",IF(E348&lt;='组合输入'!$L2,"AA",IF(E348&lt;='组合输入'!$M2,"A",IF(E348&lt;='组合输入'!$N2,"BBB",IF(E348&lt;='组合输入'!$O2,"BB",IF(E348&lt;='组合输入'!$P2,"B",IF(E348&lt;='组合输入'!$Q2,"CCC","D")))))))</f>
        <v/>
      </c>
      <c r="G348" s="12">
        <f>IF(F348="","",INDEX('状态价值'!$D2:$K2,MATCH(F348,'状态价值'!$D$1:$K$1,0)))</f>
        <v/>
      </c>
      <c r="H348" s="15">
        <f>NORM.S.INV(RAND())</f>
        <v/>
      </c>
      <c r="I348" s="15">
        <f>IF('组合输入'!$C3="","",'组合输入'!$H3*$B348+SQRT(1-'组合输入'!$H3^2)*H348)</f>
        <v/>
      </c>
      <c r="J348" s="7">
        <f>IF(I348="","",NORM.S.DIST(I348,TRUE))</f>
        <v/>
      </c>
      <c r="K348" s="13">
        <f>IF(J348="","",IF(J348&lt;='组合输入'!$K3,"AAA",IF(J348&lt;='组合输入'!$L3,"AA",IF(J348&lt;='组合输入'!$M3,"A",IF(J348&lt;='组合输入'!$N3,"BBB",IF(J348&lt;='组合输入'!$O3,"BB",IF(J348&lt;='组合输入'!$P3,"B",IF(J348&lt;='组合输入'!$Q3,"CCC","D")))))))</f>
        <v/>
      </c>
      <c r="L348" s="12">
        <f>IF(K348="","",INDEX('状态价值'!$D3:$K3,MATCH(K348,'状态价值'!$D$1:$K$1,0)))</f>
        <v/>
      </c>
      <c r="M348" s="15">
        <f>NORM.S.INV(RAND())</f>
        <v/>
      </c>
      <c r="N348" s="15">
        <f>IF('组合输入'!$C4="","",'组合输入'!$H4*$B348+SQRT(1-'组合输入'!$H4^2)*M348)</f>
        <v/>
      </c>
      <c r="O348" s="7">
        <f>IF(N348="","",NORM.S.DIST(N348,TRUE))</f>
        <v/>
      </c>
      <c r="P348" s="13">
        <f>IF(O348="","",IF(O348&lt;='组合输入'!$K4,"AAA",IF(O348&lt;='组合输入'!$L4,"AA",IF(O348&lt;='组合输入'!$M4,"A",IF(O348&lt;='组合输入'!$N4,"BBB",IF(O348&lt;='组合输入'!$O4,"BB",IF(O348&lt;='组合输入'!$P4,"B",IF(O348&lt;='组合输入'!$Q4,"CCC","D")))))))</f>
        <v/>
      </c>
      <c r="Q348" s="12">
        <f>IF(P348="","",INDEX('状态价值'!$D4:$K4,MATCH(P348,'状态价值'!$D$1:$K$1,0)))</f>
        <v/>
      </c>
      <c r="R348" s="15">
        <f>NORM.S.INV(RAND())</f>
        <v/>
      </c>
      <c r="S348" s="15">
        <f>IF('组合输入'!$C5="","",'组合输入'!$H5*$B348+SQRT(1-'组合输入'!$H5^2)*R348)</f>
        <v/>
      </c>
      <c r="T348" s="7">
        <f>IF(S348="","",NORM.S.DIST(S348,TRUE))</f>
        <v/>
      </c>
      <c r="U348" s="13">
        <f>IF(T348="","",IF(T348&lt;='组合输入'!$K5,"AAA",IF(T348&lt;='组合输入'!$L5,"AA",IF(T348&lt;='组合输入'!$M5,"A",IF(T348&lt;='组合输入'!$N5,"BBB",IF(T348&lt;='组合输入'!$O5,"BB",IF(T348&lt;='组合输入'!$P5,"B",IF(T348&lt;='组合输入'!$Q5,"CCC","D")))))))</f>
        <v/>
      </c>
      <c r="V348" s="12">
        <f>IF(U348="","",INDEX('状态价值'!$D5:$K5,MATCH(U348,'状态价值'!$D$1:$K$1,0)))</f>
        <v/>
      </c>
      <c r="W348" s="15">
        <f>NORM.S.INV(RAND())</f>
        <v/>
      </c>
      <c r="X348" s="15">
        <f>IF('组合输入'!$C6="","",'组合输入'!$H6*$B348+SQRT(1-'组合输入'!$H6^2)*W348)</f>
        <v/>
      </c>
      <c r="Y348" s="7">
        <f>IF(X348="","",NORM.S.DIST(X348,TRUE))</f>
        <v/>
      </c>
      <c r="Z348" s="13">
        <f>IF(Y348="","",IF(Y348&lt;='组合输入'!$K6,"AAA",IF(Y348&lt;='组合输入'!$L6,"AA",IF(Y348&lt;='组合输入'!$M6,"A",IF(Y348&lt;='组合输入'!$N6,"BBB",IF(Y348&lt;='组合输入'!$O6,"BB",IF(Y348&lt;='组合输入'!$P6,"B",IF(Y348&lt;='组合输入'!$Q6,"CCC","D")))))))</f>
        <v/>
      </c>
      <c r="AA348" s="12">
        <f>IF(Z348="","",INDEX('状态价值'!$D6:$K6,MATCH(Z348,'状态价值'!$D$1:$K$1,0)))</f>
        <v/>
      </c>
      <c r="AB348" s="15">
        <f>NORM.S.INV(RAND())</f>
        <v/>
      </c>
      <c r="AC348" s="15">
        <f>IF('组合输入'!$C7="","",'组合输入'!$H7*$B348+SQRT(1-'组合输入'!$H7^2)*AB348)</f>
        <v/>
      </c>
      <c r="AD348" s="7">
        <f>IF(AC348="","",NORM.S.DIST(AC348,TRUE))</f>
        <v/>
      </c>
      <c r="AE348" s="13">
        <f>IF(AD348="","",IF(AD348&lt;='组合输入'!$K7,"AAA",IF(AD348&lt;='组合输入'!$L7,"AA",IF(AD348&lt;='组合输入'!$M7,"A",IF(AD348&lt;='组合输入'!$N7,"BBB",IF(AD348&lt;='组合输入'!$O7,"BB",IF(AD348&lt;='组合输入'!$P7,"B",IF(AD348&lt;='组合输入'!$Q7,"CCC","D")))))))</f>
        <v/>
      </c>
      <c r="AF348" s="12">
        <f>IF(AE348="","",INDEX('状态价值'!$D7:$K7,MATCH(AE348,'状态价值'!$D$1:$K$1,0)))</f>
        <v/>
      </c>
      <c r="AG348" s="15">
        <f>NORM.S.INV(RAND())</f>
        <v/>
      </c>
      <c r="AH348" s="15">
        <f>IF('组合输入'!$C8="","",'组合输入'!$H8*$B348+SQRT(1-'组合输入'!$H8^2)*AG348)</f>
        <v/>
      </c>
      <c r="AI348" s="7">
        <f>IF(AH348="","",NORM.S.DIST(AH348,TRUE))</f>
        <v/>
      </c>
      <c r="AJ348" s="13">
        <f>IF(AI348="","",IF(AI348&lt;='组合输入'!$K8,"AAA",IF(AI348&lt;='组合输入'!$L8,"AA",IF(AI348&lt;='组合输入'!$M8,"A",IF(AI348&lt;='组合输入'!$N8,"BBB",IF(AI348&lt;='组合输入'!$O8,"BB",IF(AI348&lt;='组合输入'!$P8,"B",IF(AI348&lt;='组合输入'!$Q8,"CCC","D")))))))</f>
        <v/>
      </c>
      <c r="AK348" s="12">
        <f>IF(AJ348="","",INDEX('状态价值'!$D8:$K8,MATCH(AJ348,'状态价值'!$D$1:$K$1,0)))</f>
        <v/>
      </c>
      <c r="AL348" s="15">
        <f>NORM.S.INV(RAND())</f>
        <v/>
      </c>
      <c r="AM348" s="15">
        <f>IF('组合输入'!$C9="","",'组合输入'!$H9*$B348+SQRT(1-'组合输入'!$H9^2)*AL348)</f>
        <v/>
      </c>
      <c r="AN348" s="7">
        <f>IF(AM348="","",NORM.S.DIST(AM348,TRUE))</f>
        <v/>
      </c>
      <c r="AO348" s="13">
        <f>IF(AN348="","",IF(AN348&lt;='组合输入'!$K9,"AAA",IF(AN348&lt;='组合输入'!$L9,"AA",IF(AN348&lt;='组合输入'!$M9,"A",IF(AN348&lt;='组合输入'!$N9,"BBB",IF(AN348&lt;='组合输入'!$O9,"BB",IF(AN348&lt;='组合输入'!$P9,"B",IF(AN348&lt;='组合输入'!$Q9,"CCC","D")))))))</f>
        <v/>
      </c>
      <c r="AP348" s="12">
        <f>IF(AO348="","",INDEX('状态价值'!$D9:$K9,MATCH(AO348,'状态价值'!$D$1:$K$1,0)))</f>
        <v/>
      </c>
      <c r="AQ348" s="15">
        <f>NORM.S.INV(RAND())</f>
        <v/>
      </c>
      <c r="AR348" s="15">
        <f>IF('组合输入'!$C10="","",'组合输入'!$H10*$B348+SQRT(1-'组合输入'!$H10^2)*AQ348)</f>
        <v/>
      </c>
      <c r="AS348" s="7">
        <f>IF(AR348="","",NORM.S.DIST(AR348,TRUE))</f>
        <v/>
      </c>
      <c r="AT348" s="13">
        <f>IF(AS348="","",IF(AS348&lt;='组合输入'!$K10,"AAA",IF(AS348&lt;='组合输入'!$L10,"AA",IF(AS348&lt;='组合输入'!$M10,"A",IF(AS348&lt;='组合输入'!$N10,"BBB",IF(AS348&lt;='组合输入'!$O10,"BB",IF(AS348&lt;='组合输入'!$P10,"B",IF(AS348&lt;='组合输入'!$Q10,"CCC","D")))))))</f>
        <v/>
      </c>
      <c r="AU348" s="12">
        <f>IF(AT348="","",INDEX('状态价值'!$D10:$K10,MATCH(AT348,'状态价值'!$D$1:$K$1,0)))</f>
        <v/>
      </c>
      <c r="AV348" s="15">
        <f>NORM.S.INV(RAND())</f>
        <v/>
      </c>
      <c r="AW348" s="15">
        <f>IF('组合输入'!$C11="","",'组合输入'!$H11*$B348+SQRT(1-'组合输入'!$H11^2)*AV348)</f>
        <v/>
      </c>
      <c r="AX348" s="7">
        <f>IF(AW348="","",NORM.S.DIST(AW348,TRUE))</f>
        <v/>
      </c>
      <c r="AY348" s="13">
        <f>IF(AX348="","",IF(AX348&lt;='组合输入'!$K11,"AAA",IF(AX348&lt;='组合输入'!$L11,"AA",IF(AX348&lt;='组合输入'!$M11,"A",IF(AX348&lt;='组合输入'!$N11,"BBB",IF(AX348&lt;='组合输入'!$O11,"BB",IF(AX348&lt;='组合输入'!$P11,"B",IF(AX348&lt;='组合输入'!$Q11,"CCC","D")))))))</f>
        <v/>
      </c>
      <c r="AZ348" s="12">
        <f>IF(AY348="","",INDEX('状态价值'!$D11:$K11,MATCH(AY348,'状态价值'!$D$1:$K$1,0)))</f>
        <v/>
      </c>
      <c r="BA348" s="12">
        <f>G348+L348+Q348+V348+AA348+AF348+AK348+AP348+AU348+AZ348</f>
        <v/>
      </c>
      <c r="BB348" s="12">
        <f>SUM('组合输入'!$J$2:$J$11)-BA348</f>
        <v/>
      </c>
    </row>
    <row r="349">
      <c r="A349" s="11" t="n">
        <v>348</v>
      </c>
      <c r="B349" s="14">
        <f>NORM.S.INV(RAND())</f>
        <v/>
      </c>
      <c r="C349" s="14">
        <f>NORM.S.INV(RAND())</f>
        <v/>
      </c>
      <c r="D349" s="15">
        <f>IF('组合输入'!$C2="","",'组合输入'!$H2*$B349+SQRT(1-'组合输入'!$H2^2)*C349)</f>
        <v/>
      </c>
      <c r="E349" s="7">
        <f>IF(D349="","",NORM.S.DIST(D349,TRUE))</f>
        <v/>
      </c>
      <c r="F349" s="13">
        <f>IF(E349="","",IF(E349&lt;='组合输入'!$K2,"AAA",IF(E349&lt;='组合输入'!$L2,"AA",IF(E349&lt;='组合输入'!$M2,"A",IF(E349&lt;='组合输入'!$N2,"BBB",IF(E349&lt;='组合输入'!$O2,"BB",IF(E349&lt;='组合输入'!$P2,"B",IF(E349&lt;='组合输入'!$Q2,"CCC","D")))))))</f>
        <v/>
      </c>
      <c r="G349" s="12">
        <f>IF(F349="","",INDEX('状态价值'!$D2:$K2,MATCH(F349,'状态价值'!$D$1:$K$1,0)))</f>
        <v/>
      </c>
      <c r="H349" s="15">
        <f>NORM.S.INV(RAND())</f>
        <v/>
      </c>
      <c r="I349" s="15">
        <f>IF('组合输入'!$C3="","",'组合输入'!$H3*$B349+SQRT(1-'组合输入'!$H3^2)*H349)</f>
        <v/>
      </c>
      <c r="J349" s="7">
        <f>IF(I349="","",NORM.S.DIST(I349,TRUE))</f>
        <v/>
      </c>
      <c r="K349" s="13">
        <f>IF(J349="","",IF(J349&lt;='组合输入'!$K3,"AAA",IF(J349&lt;='组合输入'!$L3,"AA",IF(J349&lt;='组合输入'!$M3,"A",IF(J349&lt;='组合输入'!$N3,"BBB",IF(J349&lt;='组合输入'!$O3,"BB",IF(J349&lt;='组合输入'!$P3,"B",IF(J349&lt;='组合输入'!$Q3,"CCC","D")))))))</f>
        <v/>
      </c>
      <c r="L349" s="12">
        <f>IF(K349="","",INDEX('状态价值'!$D3:$K3,MATCH(K349,'状态价值'!$D$1:$K$1,0)))</f>
        <v/>
      </c>
      <c r="M349" s="15">
        <f>NORM.S.INV(RAND())</f>
        <v/>
      </c>
      <c r="N349" s="15">
        <f>IF('组合输入'!$C4="","",'组合输入'!$H4*$B349+SQRT(1-'组合输入'!$H4^2)*M349)</f>
        <v/>
      </c>
      <c r="O349" s="7">
        <f>IF(N349="","",NORM.S.DIST(N349,TRUE))</f>
        <v/>
      </c>
      <c r="P349" s="13">
        <f>IF(O349="","",IF(O349&lt;='组合输入'!$K4,"AAA",IF(O349&lt;='组合输入'!$L4,"AA",IF(O349&lt;='组合输入'!$M4,"A",IF(O349&lt;='组合输入'!$N4,"BBB",IF(O349&lt;='组合输入'!$O4,"BB",IF(O349&lt;='组合输入'!$P4,"B",IF(O349&lt;='组合输入'!$Q4,"CCC","D")))))))</f>
        <v/>
      </c>
      <c r="Q349" s="12">
        <f>IF(P349="","",INDEX('状态价值'!$D4:$K4,MATCH(P349,'状态价值'!$D$1:$K$1,0)))</f>
        <v/>
      </c>
      <c r="R349" s="15">
        <f>NORM.S.INV(RAND())</f>
        <v/>
      </c>
      <c r="S349" s="15">
        <f>IF('组合输入'!$C5="","",'组合输入'!$H5*$B349+SQRT(1-'组合输入'!$H5^2)*R349)</f>
        <v/>
      </c>
      <c r="T349" s="7">
        <f>IF(S349="","",NORM.S.DIST(S349,TRUE))</f>
        <v/>
      </c>
      <c r="U349" s="13">
        <f>IF(T349="","",IF(T349&lt;='组合输入'!$K5,"AAA",IF(T349&lt;='组合输入'!$L5,"AA",IF(T349&lt;='组合输入'!$M5,"A",IF(T349&lt;='组合输入'!$N5,"BBB",IF(T349&lt;='组合输入'!$O5,"BB",IF(T349&lt;='组合输入'!$P5,"B",IF(T349&lt;='组合输入'!$Q5,"CCC","D")))))))</f>
        <v/>
      </c>
      <c r="V349" s="12">
        <f>IF(U349="","",INDEX('状态价值'!$D5:$K5,MATCH(U349,'状态价值'!$D$1:$K$1,0)))</f>
        <v/>
      </c>
      <c r="W349" s="15">
        <f>NORM.S.INV(RAND())</f>
        <v/>
      </c>
      <c r="X349" s="15">
        <f>IF('组合输入'!$C6="","",'组合输入'!$H6*$B349+SQRT(1-'组合输入'!$H6^2)*W349)</f>
        <v/>
      </c>
      <c r="Y349" s="7">
        <f>IF(X349="","",NORM.S.DIST(X349,TRUE))</f>
        <v/>
      </c>
      <c r="Z349" s="13">
        <f>IF(Y349="","",IF(Y349&lt;='组合输入'!$K6,"AAA",IF(Y349&lt;='组合输入'!$L6,"AA",IF(Y349&lt;='组合输入'!$M6,"A",IF(Y349&lt;='组合输入'!$N6,"BBB",IF(Y349&lt;='组合输入'!$O6,"BB",IF(Y349&lt;='组合输入'!$P6,"B",IF(Y349&lt;='组合输入'!$Q6,"CCC","D")))))))</f>
        <v/>
      </c>
      <c r="AA349" s="12">
        <f>IF(Z349="","",INDEX('状态价值'!$D6:$K6,MATCH(Z349,'状态价值'!$D$1:$K$1,0)))</f>
        <v/>
      </c>
      <c r="AB349" s="15">
        <f>NORM.S.INV(RAND())</f>
        <v/>
      </c>
      <c r="AC349" s="15">
        <f>IF('组合输入'!$C7="","",'组合输入'!$H7*$B349+SQRT(1-'组合输入'!$H7^2)*AB349)</f>
        <v/>
      </c>
      <c r="AD349" s="7">
        <f>IF(AC349="","",NORM.S.DIST(AC349,TRUE))</f>
        <v/>
      </c>
      <c r="AE349" s="13">
        <f>IF(AD349="","",IF(AD349&lt;='组合输入'!$K7,"AAA",IF(AD349&lt;='组合输入'!$L7,"AA",IF(AD349&lt;='组合输入'!$M7,"A",IF(AD349&lt;='组合输入'!$N7,"BBB",IF(AD349&lt;='组合输入'!$O7,"BB",IF(AD349&lt;='组合输入'!$P7,"B",IF(AD349&lt;='组合输入'!$Q7,"CCC","D")))))))</f>
        <v/>
      </c>
      <c r="AF349" s="12">
        <f>IF(AE349="","",INDEX('状态价值'!$D7:$K7,MATCH(AE349,'状态价值'!$D$1:$K$1,0)))</f>
        <v/>
      </c>
      <c r="AG349" s="15">
        <f>NORM.S.INV(RAND())</f>
        <v/>
      </c>
      <c r="AH349" s="15">
        <f>IF('组合输入'!$C8="","",'组合输入'!$H8*$B349+SQRT(1-'组合输入'!$H8^2)*AG349)</f>
        <v/>
      </c>
      <c r="AI349" s="7">
        <f>IF(AH349="","",NORM.S.DIST(AH349,TRUE))</f>
        <v/>
      </c>
      <c r="AJ349" s="13">
        <f>IF(AI349="","",IF(AI349&lt;='组合输入'!$K8,"AAA",IF(AI349&lt;='组合输入'!$L8,"AA",IF(AI349&lt;='组合输入'!$M8,"A",IF(AI349&lt;='组合输入'!$N8,"BBB",IF(AI349&lt;='组合输入'!$O8,"BB",IF(AI349&lt;='组合输入'!$P8,"B",IF(AI349&lt;='组合输入'!$Q8,"CCC","D")))))))</f>
        <v/>
      </c>
      <c r="AK349" s="12">
        <f>IF(AJ349="","",INDEX('状态价值'!$D8:$K8,MATCH(AJ349,'状态价值'!$D$1:$K$1,0)))</f>
        <v/>
      </c>
      <c r="AL349" s="15">
        <f>NORM.S.INV(RAND())</f>
        <v/>
      </c>
      <c r="AM349" s="15">
        <f>IF('组合输入'!$C9="","",'组合输入'!$H9*$B349+SQRT(1-'组合输入'!$H9^2)*AL349)</f>
        <v/>
      </c>
      <c r="AN349" s="7">
        <f>IF(AM349="","",NORM.S.DIST(AM349,TRUE))</f>
        <v/>
      </c>
      <c r="AO349" s="13">
        <f>IF(AN349="","",IF(AN349&lt;='组合输入'!$K9,"AAA",IF(AN349&lt;='组合输入'!$L9,"AA",IF(AN349&lt;='组合输入'!$M9,"A",IF(AN349&lt;='组合输入'!$N9,"BBB",IF(AN349&lt;='组合输入'!$O9,"BB",IF(AN349&lt;='组合输入'!$P9,"B",IF(AN349&lt;='组合输入'!$Q9,"CCC","D")))))))</f>
        <v/>
      </c>
      <c r="AP349" s="12">
        <f>IF(AO349="","",INDEX('状态价值'!$D9:$K9,MATCH(AO349,'状态价值'!$D$1:$K$1,0)))</f>
        <v/>
      </c>
      <c r="AQ349" s="15">
        <f>NORM.S.INV(RAND())</f>
        <v/>
      </c>
      <c r="AR349" s="15">
        <f>IF('组合输入'!$C10="","",'组合输入'!$H10*$B349+SQRT(1-'组合输入'!$H10^2)*AQ349)</f>
        <v/>
      </c>
      <c r="AS349" s="7">
        <f>IF(AR349="","",NORM.S.DIST(AR349,TRUE))</f>
        <v/>
      </c>
      <c r="AT349" s="13">
        <f>IF(AS349="","",IF(AS349&lt;='组合输入'!$K10,"AAA",IF(AS349&lt;='组合输入'!$L10,"AA",IF(AS349&lt;='组合输入'!$M10,"A",IF(AS349&lt;='组合输入'!$N10,"BBB",IF(AS349&lt;='组合输入'!$O10,"BB",IF(AS349&lt;='组合输入'!$P10,"B",IF(AS349&lt;='组合输入'!$Q10,"CCC","D")))))))</f>
        <v/>
      </c>
      <c r="AU349" s="12">
        <f>IF(AT349="","",INDEX('状态价值'!$D10:$K10,MATCH(AT349,'状态价值'!$D$1:$K$1,0)))</f>
        <v/>
      </c>
      <c r="AV349" s="15">
        <f>NORM.S.INV(RAND())</f>
        <v/>
      </c>
      <c r="AW349" s="15">
        <f>IF('组合输入'!$C11="","",'组合输入'!$H11*$B349+SQRT(1-'组合输入'!$H11^2)*AV349)</f>
        <v/>
      </c>
      <c r="AX349" s="7">
        <f>IF(AW349="","",NORM.S.DIST(AW349,TRUE))</f>
        <v/>
      </c>
      <c r="AY349" s="13">
        <f>IF(AX349="","",IF(AX349&lt;='组合输入'!$K11,"AAA",IF(AX349&lt;='组合输入'!$L11,"AA",IF(AX349&lt;='组合输入'!$M11,"A",IF(AX349&lt;='组合输入'!$N11,"BBB",IF(AX349&lt;='组合输入'!$O11,"BB",IF(AX349&lt;='组合输入'!$P11,"B",IF(AX349&lt;='组合输入'!$Q11,"CCC","D")))))))</f>
        <v/>
      </c>
      <c r="AZ349" s="12">
        <f>IF(AY349="","",INDEX('状态价值'!$D11:$K11,MATCH(AY349,'状态价值'!$D$1:$K$1,0)))</f>
        <v/>
      </c>
      <c r="BA349" s="12">
        <f>G349+L349+Q349+V349+AA349+AF349+AK349+AP349+AU349+AZ349</f>
        <v/>
      </c>
      <c r="BB349" s="12">
        <f>SUM('组合输入'!$J$2:$J$11)-BA349</f>
        <v/>
      </c>
    </row>
    <row r="350">
      <c r="A350" s="11" t="n">
        <v>349</v>
      </c>
      <c r="B350" s="14">
        <f>NORM.S.INV(RAND())</f>
        <v/>
      </c>
      <c r="C350" s="14">
        <f>NORM.S.INV(RAND())</f>
        <v/>
      </c>
      <c r="D350" s="15">
        <f>IF('组合输入'!$C2="","",'组合输入'!$H2*$B350+SQRT(1-'组合输入'!$H2^2)*C350)</f>
        <v/>
      </c>
      <c r="E350" s="7">
        <f>IF(D350="","",NORM.S.DIST(D350,TRUE))</f>
        <v/>
      </c>
      <c r="F350" s="13">
        <f>IF(E350="","",IF(E350&lt;='组合输入'!$K2,"AAA",IF(E350&lt;='组合输入'!$L2,"AA",IF(E350&lt;='组合输入'!$M2,"A",IF(E350&lt;='组合输入'!$N2,"BBB",IF(E350&lt;='组合输入'!$O2,"BB",IF(E350&lt;='组合输入'!$P2,"B",IF(E350&lt;='组合输入'!$Q2,"CCC","D")))))))</f>
        <v/>
      </c>
      <c r="G350" s="12">
        <f>IF(F350="","",INDEX('状态价值'!$D2:$K2,MATCH(F350,'状态价值'!$D$1:$K$1,0)))</f>
        <v/>
      </c>
      <c r="H350" s="15">
        <f>NORM.S.INV(RAND())</f>
        <v/>
      </c>
      <c r="I350" s="15">
        <f>IF('组合输入'!$C3="","",'组合输入'!$H3*$B350+SQRT(1-'组合输入'!$H3^2)*H350)</f>
        <v/>
      </c>
      <c r="J350" s="7">
        <f>IF(I350="","",NORM.S.DIST(I350,TRUE))</f>
        <v/>
      </c>
      <c r="K350" s="13">
        <f>IF(J350="","",IF(J350&lt;='组合输入'!$K3,"AAA",IF(J350&lt;='组合输入'!$L3,"AA",IF(J350&lt;='组合输入'!$M3,"A",IF(J350&lt;='组合输入'!$N3,"BBB",IF(J350&lt;='组合输入'!$O3,"BB",IF(J350&lt;='组合输入'!$P3,"B",IF(J350&lt;='组合输入'!$Q3,"CCC","D")))))))</f>
        <v/>
      </c>
      <c r="L350" s="12">
        <f>IF(K350="","",INDEX('状态价值'!$D3:$K3,MATCH(K350,'状态价值'!$D$1:$K$1,0)))</f>
        <v/>
      </c>
      <c r="M350" s="15">
        <f>NORM.S.INV(RAND())</f>
        <v/>
      </c>
      <c r="N350" s="15">
        <f>IF('组合输入'!$C4="","",'组合输入'!$H4*$B350+SQRT(1-'组合输入'!$H4^2)*M350)</f>
        <v/>
      </c>
      <c r="O350" s="7">
        <f>IF(N350="","",NORM.S.DIST(N350,TRUE))</f>
        <v/>
      </c>
      <c r="P350" s="13">
        <f>IF(O350="","",IF(O350&lt;='组合输入'!$K4,"AAA",IF(O350&lt;='组合输入'!$L4,"AA",IF(O350&lt;='组合输入'!$M4,"A",IF(O350&lt;='组合输入'!$N4,"BBB",IF(O350&lt;='组合输入'!$O4,"BB",IF(O350&lt;='组合输入'!$P4,"B",IF(O350&lt;='组合输入'!$Q4,"CCC","D")))))))</f>
        <v/>
      </c>
      <c r="Q350" s="12">
        <f>IF(P350="","",INDEX('状态价值'!$D4:$K4,MATCH(P350,'状态价值'!$D$1:$K$1,0)))</f>
        <v/>
      </c>
      <c r="R350" s="15">
        <f>NORM.S.INV(RAND())</f>
        <v/>
      </c>
      <c r="S350" s="15">
        <f>IF('组合输入'!$C5="","",'组合输入'!$H5*$B350+SQRT(1-'组合输入'!$H5^2)*R350)</f>
        <v/>
      </c>
      <c r="T350" s="7">
        <f>IF(S350="","",NORM.S.DIST(S350,TRUE))</f>
        <v/>
      </c>
      <c r="U350" s="13">
        <f>IF(T350="","",IF(T350&lt;='组合输入'!$K5,"AAA",IF(T350&lt;='组合输入'!$L5,"AA",IF(T350&lt;='组合输入'!$M5,"A",IF(T350&lt;='组合输入'!$N5,"BBB",IF(T350&lt;='组合输入'!$O5,"BB",IF(T350&lt;='组合输入'!$P5,"B",IF(T350&lt;='组合输入'!$Q5,"CCC","D")))))))</f>
        <v/>
      </c>
      <c r="V350" s="12">
        <f>IF(U350="","",INDEX('状态价值'!$D5:$K5,MATCH(U350,'状态价值'!$D$1:$K$1,0)))</f>
        <v/>
      </c>
      <c r="W350" s="15">
        <f>NORM.S.INV(RAND())</f>
        <v/>
      </c>
      <c r="X350" s="15">
        <f>IF('组合输入'!$C6="","",'组合输入'!$H6*$B350+SQRT(1-'组合输入'!$H6^2)*W350)</f>
        <v/>
      </c>
      <c r="Y350" s="7">
        <f>IF(X350="","",NORM.S.DIST(X350,TRUE))</f>
        <v/>
      </c>
      <c r="Z350" s="13">
        <f>IF(Y350="","",IF(Y350&lt;='组合输入'!$K6,"AAA",IF(Y350&lt;='组合输入'!$L6,"AA",IF(Y350&lt;='组合输入'!$M6,"A",IF(Y350&lt;='组合输入'!$N6,"BBB",IF(Y350&lt;='组合输入'!$O6,"BB",IF(Y350&lt;='组合输入'!$P6,"B",IF(Y350&lt;='组合输入'!$Q6,"CCC","D")))))))</f>
        <v/>
      </c>
      <c r="AA350" s="12">
        <f>IF(Z350="","",INDEX('状态价值'!$D6:$K6,MATCH(Z350,'状态价值'!$D$1:$K$1,0)))</f>
        <v/>
      </c>
      <c r="AB350" s="15">
        <f>NORM.S.INV(RAND())</f>
        <v/>
      </c>
      <c r="AC350" s="15">
        <f>IF('组合输入'!$C7="","",'组合输入'!$H7*$B350+SQRT(1-'组合输入'!$H7^2)*AB350)</f>
        <v/>
      </c>
      <c r="AD350" s="7">
        <f>IF(AC350="","",NORM.S.DIST(AC350,TRUE))</f>
        <v/>
      </c>
      <c r="AE350" s="13">
        <f>IF(AD350="","",IF(AD350&lt;='组合输入'!$K7,"AAA",IF(AD350&lt;='组合输入'!$L7,"AA",IF(AD350&lt;='组合输入'!$M7,"A",IF(AD350&lt;='组合输入'!$N7,"BBB",IF(AD350&lt;='组合输入'!$O7,"BB",IF(AD350&lt;='组合输入'!$P7,"B",IF(AD350&lt;='组合输入'!$Q7,"CCC","D")))))))</f>
        <v/>
      </c>
      <c r="AF350" s="12">
        <f>IF(AE350="","",INDEX('状态价值'!$D7:$K7,MATCH(AE350,'状态价值'!$D$1:$K$1,0)))</f>
        <v/>
      </c>
      <c r="AG350" s="15">
        <f>NORM.S.INV(RAND())</f>
        <v/>
      </c>
      <c r="AH350" s="15">
        <f>IF('组合输入'!$C8="","",'组合输入'!$H8*$B350+SQRT(1-'组合输入'!$H8^2)*AG350)</f>
        <v/>
      </c>
      <c r="AI350" s="7">
        <f>IF(AH350="","",NORM.S.DIST(AH350,TRUE))</f>
        <v/>
      </c>
      <c r="AJ350" s="13">
        <f>IF(AI350="","",IF(AI350&lt;='组合输入'!$K8,"AAA",IF(AI350&lt;='组合输入'!$L8,"AA",IF(AI350&lt;='组合输入'!$M8,"A",IF(AI350&lt;='组合输入'!$N8,"BBB",IF(AI350&lt;='组合输入'!$O8,"BB",IF(AI350&lt;='组合输入'!$P8,"B",IF(AI350&lt;='组合输入'!$Q8,"CCC","D")))))))</f>
        <v/>
      </c>
      <c r="AK350" s="12">
        <f>IF(AJ350="","",INDEX('状态价值'!$D8:$K8,MATCH(AJ350,'状态价值'!$D$1:$K$1,0)))</f>
        <v/>
      </c>
      <c r="AL350" s="15">
        <f>NORM.S.INV(RAND())</f>
        <v/>
      </c>
      <c r="AM350" s="15">
        <f>IF('组合输入'!$C9="","",'组合输入'!$H9*$B350+SQRT(1-'组合输入'!$H9^2)*AL350)</f>
        <v/>
      </c>
      <c r="AN350" s="7">
        <f>IF(AM350="","",NORM.S.DIST(AM350,TRUE))</f>
        <v/>
      </c>
      <c r="AO350" s="13">
        <f>IF(AN350="","",IF(AN350&lt;='组合输入'!$K9,"AAA",IF(AN350&lt;='组合输入'!$L9,"AA",IF(AN350&lt;='组合输入'!$M9,"A",IF(AN350&lt;='组合输入'!$N9,"BBB",IF(AN350&lt;='组合输入'!$O9,"BB",IF(AN350&lt;='组合输入'!$P9,"B",IF(AN350&lt;='组合输入'!$Q9,"CCC","D")))))))</f>
        <v/>
      </c>
      <c r="AP350" s="12">
        <f>IF(AO350="","",INDEX('状态价值'!$D9:$K9,MATCH(AO350,'状态价值'!$D$1:$K$1,0)))</f>
        <v/>
      </c>
      <c r="AQ350" s="15">
        <f>NORM.S.INV(RAND())</f>
        <v/>
      </c>
      <c r="AR350" s="15">
        <f>IF('组合输入'!$C10="","",'组合输入'!$H10*$B350+SQRT(1-'组合输入'!$H10^2)*AQ350)</f>
        <v/>
      </c>
      <c r="AS350" s="7">
        <f>IF(AR350="","",NORM.S.DIST(AR350,TRUE))</f>
        <v/>
      </c>
      <c r="AT350" s="13">
        <f>IF(AS350="","",IF(AS350&lt;='组合输入'!$K10,"AAA",IF(AS350&lt;='组合输入'!$L10,"AA",IF(AS350&lt;='组合输入'!$M10,"A",IF(AS350&lt;='组合输入'!$N10,"BBB",IF(AS350&lt;='组合输入'!$O10,"BB",IF(AS350&lt;='组合输入'!$P10,"B",IF(AS350&lt;='组合输入'!$Q10,"CCC","D")))))))</f>
        <v/>
      </c>
      <c r="AU350" s="12">
        <f>IF(AT350="","",INDEX('状态价值'!$D10:$K10,MATCH(AT350,'状态价值'!$D$1:$K$1,0)))</f>
        <v/>
      </c>
      <c r="AV350" s="15">
        <f>NORM.S.INV(RAND())</f>
        <v/>
      </c>
      <c r="AW350" s="15">
        <f>IF('组合输入'!$C11="","",'组合输入'!$H11*$B350+SQRT(1-'组合输入'!$H11^2)*AV350)</f>
        <v/>
      </c>
      <c r="AX350" s="7">
        <f>IF(AW350="","",NORM.S.DIST(AW350,TRUE))</f>
        <v/>
      </c>
      <c r="AY350" s="13">
        <f>IF(AX350="","",IF(AX350&lt;='组合输入'!$K11,"AAA",IF(AX350&lt;='组合输入'!$L11,"AA",IF(AX350&lt;='组合输入'!$M11,"A",IF(AX350&lt;='组合输入'!$N11,"BBB",IF(AX350&lt;='组合输入'!$O11,"BB",IF(AX350&lt;='组合输入'!$P11,"B",IF(AX350&lt;='组合输入'!$Q11,"CCC","D")))))))</f>
        <v/>
      </c>
      <c r="AZ350" s="12">
        <f>IF(AY350="","",INDEX('状态价值'!$D11:$K11,MATCH(AY350,'状态价值'!$D$1:$K$1,0)))</f>
        <v/>
      </c>
      <c r="BA350" s="12">
        <f>G350+L350+Q350+V350+AA350+AF350+AK350+AP350+AU350+AZ350</f>
        <v/>
      </c>
      <c r="BB350" s="12">
        <f>SUM('组合输入'!$J$2:$J$11)-BA350</f>
        <v/>
      </c>
    </row>
    <row r="351">
      <c r="A351" s="11" t="n">
        <v>350</v>
      </c>
      <c r="B351" s="14">
        <f>NORM.S.INV(RAND())</f>
        <v/>
      </c>
      <c r="C351" s="14">
        <f>NORM.S.INV(RAND())</f>
        <v/>
      </c>
      <c r="D351" s="15">
        <f>IF('组合输入'!$C2="","",'组合输入'!$H2*$B351+SQRT(1-'组合输入'!$H2^2)*C351)</f>
        <v/>
      </c>
      <c r="E351" s="7">
        <f>IF(D351="","",NORM.S.DIST(D351,TRUE))</f>
        <v/>
      </c>
      <c r="F351" s="13">
        <f>IF(E351="","",IF(E351&lt;='组合输入'!$K2,"AAA",IF(E351&lt;='组合输入'!$L2,"AA",IF(E351&lt;='组合输入'!$M2,"A",IF(E351&lt;='组合输入'!$N2,"BBB",IF(E351&lt;='组合输入'!$O2,"BB",IF(E351&lt;='组合输入'!$P2,"B",IF(E351&lt;='组合输入'!$Q2,"CCC","D")))))))</f>
        <v/>
      </c>
      <c r="G351" s="12">
        <f>IF(F351="","",INDEX('状态价值'!$D2:$K2,MATCH(F351,'状态价值'!$D$1:$K$1,0)))</f>
        <v/>
      </c>
      <c r="H351" s="15">
        <f>NORM.S.INV(RAND())</f>
        <v/>
      </c>
      <c r="I351" s="15">
        <f>IF('组合输入'!$C3="","",'组合输入'!$H3*$B351+SQRT(1-'组合输入'!$H3^2)*H351)</f>
        <v/>
      </c>
      <c r="J351" s="7">
        <f>IF(I351="","",NORM.S.DIST(I351,TRUE))</f>
        <v/>
      </c>
      <c r="K351" s="13">
        <f>IF(J351="","",IF(J351&lt;='组合输入'!$K3,"AAA",IF(J351&lt;='组合输入'!$L3,"AA",IF(J351&lt;='组合输入'!$M3,"A",IF(J351&lt;='组合输入'!$N3,"BBB",IF(J351&lt;='组合输入'!$O3,"BB",IF(J351&lt;='组合输入'!$P3,"B",IF(J351&lt;='组合输入'!$Q3,"CCC","D")))))))</f>
        <v/>
      </c>
      <c r="L351" s="12">
        <f>IF(K351="","",INDEX('状态价值'!$D3:$K3,MATCH(K351,'状态价值'!$D$1:$K$1,0)))</f>
        <v/>
      </c>
      <c r="M351" s="15">
        <f>NORM.S.INV(RAND())</f>
        <v/>
      </c>
      <c r="N351" s="15">
        <f>IF('组合输入'!$C4="","",'组合输入'!$H4*$B351+SQRT(1-'组合输入'!$H4^2)*M351)</f>
        <v/>
      </c>
      <c r="O351" s="7">
        <f>IF(N351="","",NORM.S.DIST(N351,TRUE))</f>
        <v/>
      </c>
      <c r="P351" s="13">
        <f>IF(O351="","",IF(O351&lt;='组合输入'!$K4,"AAA",IF(O351&lt;='组合输入'!$L4,"AA",IF(O351&lt;='组合输入'!$M4,"A",IF(O351&lt;='组合输入'!$N4,"BBB",IF(O351&lt;='组合输入'!$O4,"BB",IF(O351&lt;='组合输入'!$P4,"B",IF(O351&lt;='组合输入'!$Q4,"CCC","D")))))))</f>
        <v/>
      </c>
      <c r="Q351" s="12">
        <f>IF(P351="","",INDEX('状态价值'!$D4:$K4,MATCH(P351,'状态价值'!$D$1:$K$1,0)))</f>
        <v/>
      </c>
      <c r="R351" s="15">
        <f>NORM.S.INV(RAND())</f>
        <v/>
      </c>
      <c r="S351" s="15">
        <f>IF('组合输入'!$C5="","",'组合输入'!$H5*$B351+SQRT(1-'组合输入'!$H5^2)*R351)</f>
        <v/>
      </c>
      <c r="T351" s="7">
        <f>IF(S351="","",NORM.S.DIST(S351,TRUE))</f>
        <v/>
      </c>
      <c r="U351" s="13">
        <f>IF(T351="","",IF(T351&lt;='组合输入'!$K5,"AAA",IF(T351&lt;='组合输入'!$L5,"AA",IF(T351&lt;='组合输入'!$M5,"A",IF(T351&lt;='组合输入'!$N5,"BBB",IF(T351&lt;='组合输入'!$O5,"BB",IF(T351&lt;='组合输入'!$P5,"B",IF(T351&lt;='组合输入'!$Q5,"CCC","D")))))))</f>
        <v/>
      </c>
      <c r="V351" s="12">
        <f>IF(U351="","",INDEX('状态价值'!$D5:$K5,MATCH(U351,'状态价值'!$D$1:$K$1,0)))</f>
        <v/>
      </c>
      <c r="W351" s="15">
        <f>NORM.S.INV(RAND())</f>
        <v/>
      </c>
      <c r="X351" s="15">
        <f>IF('组合输入'!$C6="","",'组合输入'!$H6*$B351+SQRT(1-'组合输入'!$H6^2)*W351)</f>
        <v/>
      </c>
      <c r="Y351" s="7">
        <f>IF(X351="","",NORM.S.DIST(X351,TRUE))</f>
        <v/>
      </c>
      <c r="Z351" s="13">
        <f>IF(Y351="","",IF(Y351&lt;='组合输入'!$K6,"AAA",IF(Y351&lt;='组合输入'!$L6,"AA",IF(Y351&lt;='组合输入'!$M6,"A",IF(Y351&lt;='组合输入'!$N6,"BBB",IF(Y351&lt;='组合输入'!$O6,"BB",IF(Y351&lt;='组合输入'!$P6,"B",IF(Y351&lt;='组合输入'!$Q6,"CCC","D")))))))</f>
        <v/>
      </c>
      <c r="AA351" s="12">
        <f>IF(Z351="","",INDEX('状态价值'!$D6:$K6,MATCH(Z351,'状态价值'!$D$1:$K$1,0)))</f>
        <v/>
      </c>
      <c r="AB351" s="15">
        <f>NORM.S.INV(RAND())</f>
        <v/>
      </c>
      <c r="AC351" s="15">
        <f>IF('组合输入'!$C7="","",'组合输入'!$H7*$B351+SQRT(1-'组合输入'!$H7^2)*AB351)</f>
        <v/>
      </c>
      <c r="AD351" s="7">
        <f>IF(AC351="","",NORM.S.DIST(AC351,TRUE))</f>
        <v/>
      </c>
      <c r="AE351" s="13">
        <f>IF(AD351="","",IF(AD351&lt;='组合输入'!$K7,"AAA",IF(AD351&lt;='组合输入'!$L7,"AA",IF(AD351&lt;='组合输入'!$M7,"A",IF(AD351&lt;='组合输入'!$N7,"BBB",IF(AD351&lt;='组合输入'!$O7,"BB",IF(AD351&lt;='组合输入'!$P7,"B",IF(AD351&lt;='组合输入'!$Q7,"CCC","D")))))))</f>
        <v/>
      </c>
      <c r="AF351" s="12">
        <f>IF(AE351="","",INDEX('状态价值'!$D7:$K7,MATCH(AE351,'状态价值'!$D$1:$K$1,0)))</f>
        <v/>
      </c>
      <c r="AG351" s="15">
        <f>NORM.S.INV(RAND())</f>
        <v/>
      </c>
      <c r="AH351" s="15">
        <f>IF('组合输入'!$C8="","",'组合输入'!$H8*$B351+SQRT(1-'组合输入'!$H8^2)*AG351)</f>
        <v/>
      </c>
      <c r="AI351" s="7">
        <f>IF(AH351="","",NORM.S.DIST(AH351,TRUE))</f>
        <v/>
      </c>
      <c r="AJ351" s="13">
        <f>IF(AI351="","",IF(AI351&lt;='组合输入'!$K8,"AAA",IF(AI351&lt;='组合输入'!$L8,"AA",IF(AI351&lt;='组合输入'!$M8,"A",IF(AI351&lt;='组合输入'!$N8,"BBB",IF(AI351&lt;='组合输入'!$O8,"BB",IF(AI351&lt;='组合输入'!$P8,"B",IF(AI351&lt;='组合输入'!$Q8,"CCC","D")))))))</f>
        <v/>
      </c>
      <c r="AK351" s="12">
        <f>IF(AJ351="","",INDEX('状态价值'!$D8:$K8,MATCH(AJ351,'状态价值'!$D$1:$K$1,0)))</f>
        <v/>
      </c>
      <c r="AL351" s="15">
        <f>NORM.S.INV(RAND())</f>
        <v/>
      </c>
      <c r="AM351" s="15">
        <f>IF('组合输入'!$C9="","",'组合输入'!$H9*$B351+SQRT(1-'组合输入'!$H9^2)*AL351)</f>
        <v/>
      </c>
      <c r="AN351" s="7">
        <f>IF(AM351="","",NORM.S.DIST(AM351,TRUE))</f>
        <v/>
      </c>
      <c r="AO351" s="13">
        <f>IF(AN351="","",IF(AN351&lt;='组合输入'!$K9,"AAA",IF(AN351&lt;='组合输入'!$L9,"AA",IF(AN351&lt;='组合输入'!$M9,"A",IF(AN351&lt;='组合输入'!$N9,"BBB",IF(AN351&lt;='组合输入'!$O9,"BB",IF(AN351&lt;='组合输入'!$P9,"B",IF(AN351&lt;='组合输入'!$Q9,"CCC","D")))))))</f>
        <v/>
      </c>
      <c r="AP351" s="12">
        <f>IF(AO351="","",INDEX('状态价值'!$D9:$K9,MATCH(AO351,'状态价值'!$D$1:$K$1,0)))</f>
        <v/>
      </c>
      <c r="AQ351" s="15">
        <f>NORM.S.INV(RAND())</f>
        <v/>
      </c>
      <c r="AR351" s="15">
        <f>IF('组合输入'!$C10="","",'组合输入'!$H10*$B351+SQRT(1-'组合输入'!$H10^2)*AQ351)</f>
        <v/>
      </c>
      <c r="AS351" s="7">
        <f>IF(AR351="","",NORM.S.DIST(AR351,TRUE))</f>
        <v/>
      </c>
      <c r="AT351" s="13">
        <f>IF(AS351="","",IF(AS351&lt;='组合输入'!$K10,"AAA",IF(AS351&lt;='组合输入'!$L10,"AA",IF(AS351&lt;='组合输入'!$M10,"A",IF(AS351&lt;='组合输入'!$N10,"BBB",IF(AS351&lt;='组合输入'!$O10,"BB",IF(AS351&lt;='组合输入'!$P10,"B",IF(AS351&lt;='组合输入'!$Q10,"CCC","D")))))))</f>
        <v/>
      </c>
      <c r="AU351" s="12">
        <f>IF(AT351="","",INDEX('状态价值'!$D10:$K10,MATCH(AT351,'状态价值'!$D$1:$K$1,0)))</f>
        <v/>
      </c>
      <c r="AV351" s="15">
        <f>NORM.S.INV(RAND())</f>
        <v/>
      </c>
      <c r="AW351" s="15">
        <f>IF('组合输入'!$C11="","",'组合输入'!$H11*$B351+SQRT(1-'组合输入'!$H11^2)*AV351)</f>
        <v/>
      </c>
      <c r="AX351" s="7">
        <f>IF(AW351="","",NORM.S.DIST(AW351,TRUE))</f>
        <v/>
      </c>
      <c r="AY351" s="13">
        <f>IF(AX351="","",IF(AX351&lt;='组合输入'!$K11,"AAA",IF(AX351&lt;='组合输入'!$L11,"AA",IF(AX351&lt;='组合输入'!$M11,"A",IF(AX351&lt;='组合输入'!$N11,"BBB",IF(AX351&lt;='组合输入'!$O11,"BB",IF(AX351&lt;='组合输入'!$P11,"B",IF(AX351&lt;='组合输入'!$Q11,"CCC","D")))))))</f>
        <v/>
      </c>
      <c r="AZ351" s="12">
        <f>IF(AY351="","",INDEX('状态价值'!$D11:$K11,MATCH(AY351,'状态价值'!$D$1:$K$1,0)))</f>
        <v/>
      </c>
      <c r="BA351" s="12">
        <f>G351+L351+Q351+V351+AA351+AF351+AK351+AP351+AU351+AZ351</f>
        <v/>
      </c>
      <c r="BB351" s="12">
        <f>SUM('组合输入'!$J$2:$J$11)-BA351</f>
        <v/>
      </c>
    </row>
    <row r="352">
      <c r="A352" s="11" t="n">
        <v>351</v>
      </c>
      <c r="B352" s="14">
        <f>NORM.S.INV(RAND())</f>
        <v/>
      </c>
      <c r="C352" s="14">
        <f>NORM.S.INV(RAND())</f>
        <v/>
      </c>
      <c r="D352" s="15">
        <f>IF('组合输入'!$C2="","",'组合输入'!$H2*$B352+SQRT(1-'组合输入'!$H2^2)*C352)</f>
        <v/>
      </c>
      <c r="E352" s="7">
        <f>IF(D352="","",NORM.S.DIST(D352,TRUE))</f>
        <v/>
      </c>
      <c r="F352" s="13">
        <f>IF(E352="","",IF(E352&lt;='组合输入'!$K2,"AAA",IF(E352&lt;='组合输入'!$L2,"AA",IF(E352&lt;='组合输入'!$M2,"A",IF(E352&lt;='组合输入'!$N2,"BBB",IF(E352&lt;='组合输入'!$O2,"BB",IF(E352&lt;='组合输入'!$P2,"B",IF(E352&lt;='组合输入'!$Q2,"CCC","D")))))))</f>
        <v/>
      </c>
      <c r="G352" s="12">
        <f>IF(F352="","",INDEX('状态价值'!$D2:$K2,MATCH(F352,'状态价值'!$D$1:$K$1,0)))</f>
        <v/>
      </c>
      <c r="H352" s="15">
        <f>NORM.S.INV(RAND())</f>
        <v/>
      </c>
      <c r="I352" s="15">
        <f>IF('组合输入'!$C3="","",'组合输入'!$H3*$B352+SQRT(1-'组合输入'!$H3^2)*H352)</f>
        <v/>
      </c>
      <c r="J352" s="7">
        <f>IF(I352="","",NORM.S.DIST(I352,TRUE))</f>
        <v/>
      </c>
      <c r="K352" s="13">
        <f>IF(J352="","",IF(J352&lt;='组合输入'!$K3,"AAA",IF(J352&lt;='组合输入'!$L3,"AA",IF(J352&lt;='组合输入'!$M3,"A",IF(J352&lt;='组合输入'!$N3,"BBB",IF(J352&lt;='组合输入'!$O3,"BB",IF(J352&lt;='组合输入'!$P3,"B",IF(J352&lt;='组合输入'!$Q3,"CCC","D")))))))</f>
        <v/>
      </c>
      <c r="L352" s="12">
        <f>IF(K352="","",INDEX('状态价值'!$D3:$K3,MATCH(K352,'状态价值'!$D$1:$K$1,0)))</f>
        <v/>
      </c>
      <c r="M352" s="15">
        <f>NORM.S.INV(RAND())</f>
        <v/>
      </c>
      <c r="N352" s="15">
        <f>IF('组合输入'!$C4="","",'组合输入'!$H4*$B352+SQRT(1-'组合输入'!$H4^2)*M352)</f>
        <v/>
      </c>
      <c r="O352" s="7">
        <f>IF(N352="","",NORM.S.DIST(N352,TRUE))</f>
        <v/>
      </c>
      <c r="P352" s="13">
        <f>IF(O352="","",IF(O352&lt;='组合输入'!$K4,"AAA",IF(O352&lt;='组合输入'!$L4,"AA",IF(O352&lt;='组合输入'!$M4,"A",IF(O352&lt;='组合输入'!$N4,"BBB",IF(O352&lt;='组合输入'!$O4,"BB",IF(O352&lt;='组合输入'!$P4,"B",IF(O352&lt;='组合输入'!$Q4,"CCC","D")))))))</f>
        <v/>
      </c>
      <c r="Q352" s="12">
        <f>IF(P352="","",INDEX('状态价值'!$D4:$K4,MATCH(P352,'状态价值'!$D$1:$K$1,0)))</f>
        <v/>
      </c>
      <c r="R352" s="15">
        <f>NORM.S.INV(RAND())</f>
        <v/>
      </c>
      <c r="S352" s="15">
        <f>IF('组合输入'!$C5="","",'组合输入'!$H5*$B352+SQRT(1-'组合输入'!$H5^2)*R352)</f>
        <v/>
      </c>
      <c r="T352" s="7">
        <f>IF(S352="","",NORM.S.DIST(S352,TRUE))</f>
        <v/>
      </c>
      <c r="U352" s="13">
        <f>IF(T352="","",IF(T352&lt;='组合输入'!$K5,"AAA",IF(T352&lt;='组合输入'!$L5,"AA",IF(T352&lt;='组合输入'!$M5,"A",IF(T352&lt;='组合输入'!$N5,"BBB",IF(T352&lt;='组合输入'!$O5,"BB",IF(T352&lt;='组合输入'!$P5,"B",IF(T352&lt;='组合输入'!$Q5,"CCC","D")))))))</f>
        <v/>
      </c>
      <c r="V352" s="12">
        <f>IF(U352="","",INDEX('状态价值'!$D5:$K5,MATCH(U352,'状态价值'!$D$1:$K$1,0)))</f>
        <v/>
      </c>
      <c r="W352" s="15">
        <f>NORM.S.INV(RAND())</f>
        <v/>
      </c>
      <c r="X352" s="15">
        <f>IF('组合输入'!$C6="","",'组合输入'!$H6*$B352+SQRT(1-'组合输入'!$H6^2)*W352)</f>
        <v/>
      </c>
      <c r="Y352" s="7">
        <f>IF(X352="","",NORM.S.DIST(X352,TRUE))</f>
        <v/>
      </c>
      <c r="Z352" s="13">
        <f>IF(Y352="","",IF(Y352&lt;='组合输入'!$K6,"AAA",IF(Y352&lt;='组合输入'!$L6,"AA",IF(Y352&lt;='组合输入'!$M6,"A",IF(Y352&lt;='组合输入'!$N6,"BBB",IF(Y352&lt;='组合输入'!$O6,"BB",IF(Y352&lt;='组合输入'!$P6,"B",IF(Y352&lt;='组合输入'!$Q6,"CCC","D")))))))</f>
        <v/>
      </c>
      <c r="AA352" s="12">
        <f>IF(Z352="","",INDEX('状态价值'!$D6:$K6,MATCH(Z352,'状态价值'!$D$1:$K$1,0)))</f>
        <v/>
      </c>
      <c r="AB352" s="15">
        <f>NORM.S.INV(RAND())</f>
        <v/>
      </c>
      <c r="AC352" s="15">
        <f>IF('组合输入'!$C7="","",'组合输入'!$H7*$B352+SQRT(1-'组合输入'!$H7^2)*AB352)</f>
        <v/>
      </c>
      <c r="AD352" s="7">
        <f>IF(AC352="","",NORM.S.DIST(AC352,TRUE))</f>
        <v/>
      </c>
      <c r="AE352" s="13">
        <f>IF(AD352="","",IF(AD352&lt;='组合输入'!$K7,"AAA",IF(AD352&lt;='组合输入'!$L7,"AA",IF(AD352&lt;='组合输入'!$M7,"A",IF(AD352&lt;='组合输入'!$N7,"BBB",IF(AD352&lt;='组合输入'!$O7,"BB",IF(AD352&lt;='组合输入'!$P7,"B",IF(AD352&lt;='组合输入'!$Q7,"CCC","D")))))))</f>
        <v/>
      </c>
      <c r="AF352" s="12">
        <f>IF(AE352="","",INDEX('状态价值'!$D7:$K7,MATCH(AE352,'状态价值'!$D$1:$K$1,0)))</f>
        <v/>
      </c>
      <c r="AG352" s="15">
        <f>NORM.S.INV(RAND())</f>
        <v/>
      </c>
      <c r="AH352" s="15">
        <f>IF('组合输入'!$C8="","",'组合输入'!$H8*$B352+SQRT(1-'组合输入'!$H8^2)*AG352)</f>
        <v/>
      </c>
      <c r="AI352" s="7">
        <f>IF(AH352="","",NORM.S.DIST(AH352,TRUE))</f>
        <v/>
      </c>
      <c r="AJ352" s="13">
        <f>IF(AI352="","",IF(AI352&lt;='组合输入'!$K8,"AAA",IF(AI352&lt;='组合输入'!$L8,"AA",IF(AI352&lt;='组合输入'!$M8,"A",IF(AI352&lt;='组合输入'!$N8,"BBB",IF(AI352&lt;='组合输入'!$O8,"BB",IF(AI352&lt;='组合输入'!$P8,"B",IF(AI352&lt;='组合输入'!$Q8,"CCC","D")))))))</f>
        <v/>
      </c>
      <c r="AK352" s="12">
        <f>IF(AJ352="","",INDEX('状态价值'!$D8:$K8,MATCH(AJ352,'状态价值'!$D$1:$K$1,0)))</f>
        <v/>
      </c>
      <c r="AL352" s="15">
        <f>NORM.S.INV(RAND())</f>
        <v/>
      </c>
      <c r="AM352" s="15">
        <f>IF('组合输入'!$C9="","",'组合输入'!$H9*$B352+SQRT(1-'组合输入'!$H9^2)*AL352)</f>
        <v/>
      </c>
      <c r="AN352" s="7">
        <f>IF(AM352="","",NORM.S.DIST(AM352,TRUE))</f>
        <v/>
      </c>
      <c r="AO352" s="13">
        <f>IF(AN352="","",IF(AN352&lt;='组合输入'!$K9,"AAA",IF(AN352&lt;='组合输入'!$L9,"AA",IF(AN352&lt;='组合输入'!$M9,"A",IF(AN352&lt;='组合输入'!$N9,"BBB",IF(AN352&lt;='组合输入'!$O9,"BB",IF(AN352&lt;='组合输入'!$P9,"B",IF(AN352&lt;='组合输入'!$Q9,"CCC","D")))))))</f>
        <v/>
      </c>
      <c r="AP352" s="12">
        <f>IF(AO352="","",INDEX('状态价值'!$D9:$K9,MATCH(AO352,'状态价值'!$D$1:$K$1,0)))</f>
        <v/>
      </c>
      <c r="AQ352" s="15">
        <f>NORM.S.INV(RAND())</f>
        <v/>
      </c>
      <c r="AR352" s="15">
        <f>IF('组合输入'!$C10="","",'组合输入'!$H10*$B352+SQRT(1-'组合输入'!$H10^2)*AQ352)</f>
        <v/>
      </c>
      <c r="AS352" s="7">
        <f>IF(AR352="","",NORM.S.DIST(AR352,TRUE))</f>
        <v/>
      </c>
      <c r="AT352" s="13">
        <f>IF(AS352="","",IF(AS352&lt;='组合输入'!$K10,"AAA",IF(AS352&lt;='组合输入'!$L10,"AA",IF(AS352&lt;='组合输入'!$M10,"A",IF(AS352&lt;='组合输入'!$N10,"BBB",IF(AS352&lt;='组合输入'!$O10,"BB",IF(AS352&lt;='组合输入'!$P10,"B",IF(AS352&lt;='组合输入'!$Q10,"CCC","D")))))))</f>
        <v/>
      </c>
      <c r="AU352" s="12">
        <f>IF(AT352="","",INDEX('状态价值'!$D10:$K10,MATCH(AT352,'状态价值'!$D$1:$K$1,0)))</f>
        <v/>
      </c>
      <c r="AV352" s="15">
        <f>NORM.S.INV(RAND())</f>
        <v/>
      </c>
      <c r="AW352" s="15">
        <f>IF('组合输入'!$C11="","",'组合输入'!$H11*$B352+SQRT(1-'组合输入'!$H11^2)*AV352)</f>
        <v/>
      </c>
      <c r="AX352" s="7">
        <f>IF(AW352="","",NORM.S.DIST(AW352,TRUE))</f>
        <v/>
      </c>
      <c r="AY352" s="13">
        <f>IF(AX352="","",IF(AX352&lt;='组合输入'!$K11,"AAA",IF(AX352&lt;='组合输入'!$L11,"AA",IF(AX352&lt;='组合输入'!$M11,"A",IF(AX352&lt;='组合输入'!$N11,"BBB",IF(AX352&lt;='组合输入'!$O11,"BB",IF(AX352&lt;='组合输入'!$P11,"B",IF(AX352&lt;='组合输入'!$Q11,"CCC","D")))))))</f>
        <v/>
      </c>
      <c r="AZ352" s="12">
        <f>IF(AY352="","",INDEX('状态价值'!$D11:$K11,MATCH(AY352,'状态价值'!$D$1:$K$1,0)))</f>
        <v/>
      </c>
      <c r="BA352" s="12">
        <f>G352+L352+Q352+V352+AA352+AF352+AK352+AP352+AU352+AZ352</f>
        <v/>
      </c>
      <c r="BB352" s="12">
        <f>SUM('组合输入'!$J$2:$J$11)-BA352</f>
        <v/>
      </c>
    </row>
    <row r="353">
      <c r="A353" s="11" t="n">
        <v>352</v>
      </c>
      <c r="B353" s="14">
        <f>NORM.S.INV(RAND())</f>
        <v/>
      </c>
      <c r="C353" s="14">
        <f>NORM.S.INV(RAND())</f>
        <v/>
      </c>
      <c r="D353" s="15">
        <f>IF('组合输入'!$C2="","",'组合输入'!$H2*$B353+SQRT(1-'组合输入'!$H2^2)*C353)</f>
        <v/>
      </c>
      <c r="E353" s="7">
        <f>IF(D353="","",NORM.S.DIST(D353,TRUE))</f>
        <v/>
      </c>
      <c r="F353" s="13">
        <f>IF(E353="","",IF(E353&lt;='组合输入'!$K2,"AAA",IF(E353&lt;='组合输入'!$L2,"AA",IF(E353&lt;='组合输入'!$M2,"A",IF(E353&lt;='组合输入'!$N2,"BBB",IF(E353&lt;='组合输入'!$O2,"BB",IF(E353&lt;='组合输入'!$P2,"B",IF(E353&lt;='组合输入'!$Q2,"CCC","D")))))))</f>
        <v/>
      </c>
      <c r="G353" s="12">
        <f>IF(F353="","",INDEX('状态价值'!$D2:$K2,MATCH(F353,'状态价值'!$D$1:$K$1,0)))</f>
        <v/>
      </c>
      <c r="H353" s="15">
        <f>NORM.S.INV(RAND())</f>
        <v/>
      </c>
      <c r="I353" s="15">
        <f>IF('组合输入'!$C3="","",'组合输入'!$H3*$B353+SQRT(1-'组合输入'!$H3^2)*H353)</f>
        <v/>
      </c>
      <c r="J353" s="7">
        <f>IF(I353="","",NORM.S.DIST(I353,TRUE))</f>
        <v/>
      </c>
      <c r="K353" s="13">
        <f>IF(J353="","",IF(J353&lt;='组合输入'!$K3,"AAA",IF(J353&lt;='组合输入'!$L3,"AA",IF(J353&lt;='组合输入'!$M3,"A",IF(J353&lt;='组合输入'!$N3,"BBB",IF(J353&lt;='组合输入'!$O3,"BB",IF(J353&lt;='组合输入'!$P3,"B",IF(J353&lt;='组合输入'!$Q3,"CCC","D")))))))</f>
        <v/>
      </c>
      <c r="L353" s="12">
        <f>IF(K353="","",INDEX('状态价值'!$D3:$K3,MATCH(K353,'状态价值'!$D$1:$K$1,0)))</f>
        <v/>
      </c>
      <c r="M353" s="15">
        <f>NORM.S.INV(RAND())</f>
        <v/>
      </c>
      <c r="N353" s="15">
        <f>IF('组合输入'!$C4="","",'组合输入'!$H4*$B353+SQRT(1-'组合输入'!$H4^2)*M353)</f>
        <v/>
      </c>
      <c r="O353" s="7">
        <f>IF(N353="","",NORM.S.DIST(N353,TRUE))</f>
        <v/>
      </c>
      <c r="P353" s="13">
        <f>IF(O353="","",IF(O353&lt;='组合输入'!$K4,"AAA",IF(O353&lt;='组合输入'!$L4,"AA",IF(O353&lt;='组合输入'!$M4,"A",IF(O353&lt;='组合输入'!$N4,"BBB",IF(O353&lt;='组合输入'!$O4,"BB",IF(O353&lt;='组合输入'!$P4,"B",IF(O353&lt;='组合输入'!$Q4,"CCC","D")))))))</f>
        <v/>
      </c>
      <c r="Q353" s="12">
        <f>IF(P353="","",INDEX('状态价值'!$D4:$K4,MATCH(P353,'状态价值'!$D$1:$K$1,0)))</f>
        <v/>
      </c>
      <c r="R353" s="15">
        <f>NORM.S.INV(RAND())</f>
        <v/>
      </c>
      <c r="S353" s="15">
        <f>IF('组合输入'!$C5="","",'组合输入'!$H5*$B353+SQRT(1-'组合输入'!$H5^2)*R353)</f>
        <v/>
      </c>
      <c r="T353" s="7">
        <f>IF(S353="","",NORM.S.DIST(S353,TRUE))</f>
        <v/>
      </c>
      <c r="U353" s="13">
        <f>IF(T353="","",IF(T353&lt;='组合输入'!$K5,"AAA",IF(T353&lt;='组合输入'!$L5,"AA",IF(T353&lt;='组合输入'!$M5,"A",IF(T353&lt;='组合输入'!$N5,"BBB",IF(T353&lt;='组合输入'!$O5,"BB",IF(T353&lt;='组合输入'!$P5,"B",IF(T353&lt;='组合输入'!$Q5,"CCC","D")))))))</f>
        <v/>
      </c>
      <c r="V353" s="12">
        <f>IF(U353="","",INDEX('状态价值'!$D5:$K5,MATCH(U353,'状态价值'!$D$1:$K$1,0)))</f>
        <v/>
      </c>
      <c r="W353" s="15">
        <f>NORM.S.INV(RAND())</f>
        <v/>
      </c>
      <c r="X353" s="15">
        <f>IF('组合输入'!$C6="","",'组合输入'!$H6*$B353+SQRT(1-'组合输入'!$H6^2)*W353)</f>
        <v/>
      </c>
      <c r="Y353" s="7">
        <f>IF(X353="","",NORM.S.DIST(X353,TRUE))</f>
        <v/>
      </c>
      <c r="Z353" s="13">
        <f>IF(Y353="","",IF(Y353&lt;='组合输入'!$K6,"AAA",IF(Y353&lt;='组合输入'!$L6,"AA",IF(Y353&lt;='组合输入'!$M6,"A",IF(Y353&lt;='组合输入'!$N6,"BBB",IF(Y353&lt;='组合输入'!$O6,"BB",IF(Y353&lt;='组合输入'!$P6,"B",IF(Y353&lt;='组合输入'!$Q6,"CCC","D")))))))</f>
        <v/>
      </c>
      <c r="AA353" s="12">
        <f>IF(Z353="","",INDEX('状态价值'!$D6:$K6,MATCH(Z353,'状态价值'!$D$1:$K$1,0)))</f>
        <v/>
      </c>
      <c r="AB353" s="15">
        <f>NORM.S.INV(RAND())</f>
        <v/>
      </c>
      <c r="AC353" s="15">
        <f>IF('组合输入'!$C7="","",'组合输入'!$H7*$B353+SQRT(1-'组合输入'!$H7^2)*AB353)</f>
        <v/>
      </c>
      <c r="AD353" s="7">
        <f>IF(AC353="","",NORM.S.DIST(AC353,TRUE))</f>
        <v/>
      </c>
      <c r="AE353" s="13">
        <f>IF(AD353="","",IF(AD353&lt;='组合输入'!$K7,"AAA",IF(AD353&lt;='组合输入'!$L7,"AA",IF(AD353&lt;='组合输入'!$M7,"A",IF(AD353&lt;='组合输入'!$N7,"BBB",IF(AD353&lt;='组合输入'!$O7,"BB",IF(AD353&lt;='组合输入'!$P7,"B",IF(AD353&lt;='组合输入'!$Q7,"CCC","D")))))))</f>
        <v/>
      </c>
      <c r="AF353" s="12">
        <f>IF(AE353="","",INDEX('状态价值'!$D7:$K7,MATCH(AE353,'状态价值'!$D$1:$K$1,0)))</f>
        <v/>
      </c>
      <c r="AG353" s="15">
        <f>NORM.S.INV(RAND())</f>
        <v/>
      </c>
      <c r="AH353" s="15">
        <f>IF('组合输入'!$C8="","",'组合输入'!$H8*$B353+SQRT(1-'组合输入'!$H8^2)*AG353)</f>
        <v/>
      </c>
      <c r="AI353" s="7">
        <f>IF(AH353="","",NORM.S.DIST(AH353,TRUE))</f>
        <v/>
      </c>
      <c r="AJ353" s="13">
        <f>IF(AI353="","",IF(AI353&lt;='组合输入'!$K8,"AAA",IF(AI353&lt;='组合输入'!$L8,"AA",IF(AI353&lt;='组合输入'!$M8,"A",IF(AI353&lt;='组合输入'!$N8,"BBB",IF(AI353&lt;='组合输入'!$O8,"BB",IF(AI353&lt;='组合输入'!$P8,"B",IF(AI353&lt;='组合输入'!$Q8,"CCC","D")))))))</f>
        <v/>
      </c>
      <c r="AK353" s="12">
        <f>IF(AJ353="","",INDEX('状态价值'!$D8:$K8,MATCH(AJ353,'状态价值'!$D$1:$K$1,0)))</f>
        <v/>
      </c>
      <c r="AL353" s="15">
        <f>NORM.S.INV(RAND())</f>
        <v/>
      </c>
      <c r="AM353" s="15">
        <f>IF('组合输入'!$C9="","",'组合输入'!$H9*$B353+SQRT(1-'组合输入'!$H9^2)*AL353)</f>
        <v/>
      </c>
      <c r="AN353" s="7">
        <f>IF(AM353="","",NORM.S.DIST(AM353,TRUE))</f>
        <v/>
      </c>
      <c r="AO353" s="13">
        <f>IF(AN353="","",IF(AN353&lt;='组合输入'!$K9,"AAA",IF(AN353&lt;='组合输入'!$L9,"AA",IF(AN353&lt;='组合输入'!$M9,"A",IF(AN353&lt;='组合输入'!$N9,"BBB",IF(AN353&lt;='组合输入'!$O9,"BB",IF(AN353&lt;='组合输入'!$P9,"B",IF(AN353&lt;='组合输入'!$Q9,"CCC","D")))))))</f>
        <v/>
      </c>
      <c r="AP353" s="12">
        <f>IF(AO353="","",INDEX('状态价值'!$D9:$K9,MATCH(AO353,'状态价值'!$D$1:$K$1,0)))</f>
        <v/>
      </c>
      <c r="AQ353" s="15">
        <f>NORM.S.INV(RAND())</f>
        <v/>
      </c>
      <c r="AR353" s="15">
        <f>IF('组合输入'!$C10="","",'组合输入'!$H10*$B353+SQRT(1-'组合输入'!$H10^2)*AQ353)</f>
        <v/>
      </c>
      <c r="AS353" s="7">
        <f>IF(AR353="","",NORM.S.DIST(AR353,TRUE))</f>
        <v/>
      </c>
      <c r="AT353" s="13">
        <f>IF(AS353="","",IF(AS353&lt;='组合输入'!$K10,"AAA",IF(AS353&lt;='组合输入'!$L10,"AA",IF(AS353&lt;='组合输入'!$M10,"A",IF(AS353&lt;='组合输入'!$N10,"BBB",IF(AS353&lt;='组合输入'!$O10,"BB",IF(AS353&lt;='组合输入'!$P10,"B",IF(AS353&lt;='组合输入'!$Q10,"CCC","D")))))))</f>
        <v/>
      </c>
      <c r="AU353" s="12">
        <f>IF(AT353="","",INDEX('状态价值'!$D10:$K10,MATCH(AT353,'状态价值'!$D$1:$K$1,0)))</f>
        <v/>
      </c>
      <c r="AV353" s="15">
        <f>NORM.S.INV(RAND())</f>
        <v/>
      </c>
      <c r="AW353" s="15">
        <f>IF('组合输入'!$C11="","",'组合输入'!$H11*$B353+SQRT(1-'组合输入'!$H11^2)*AV353)</f>
        <v/>
      </c>
      <c r="AX353" s="7">
        <f>IF(AW353="","",NORM.S.DIST(AW353,TRUE))</f>
        <v/>
      </c>
      <c r="AY353" s="13">
        <f>IF(AX353="","",IF(AX353&lt;='组合输入'!$K11,"AAA",IF(AX353&lt;='组合输入'!$L11,"AA",IF(AX353&lt;='组合输入'!$M11,"A",IF(AX353&lt;='组合输入'!$N11,"BBB",IF(AX353&lt;='组合输入'!$O11,"BB",IF(AX353&lt;='组合输入'!$P11,"B",IF(AX353&lt;='组合输入'!$Q11,"CCC","D")))))))</f>
        <v/>
      </c>
      <c r="AZ353" s="12">
        <f>IF(AY353="","",INDEX('状态价值'!$D11:$K11,MATCH(AY353,'状态价值'!$D$1:$K$1,0)))</f>
        <v/>
      </c>
      <c r="BA353" s="12">
        <f>G353+L353+Q353+V353+AA353+AF353+AK353+AP353+AU353+AZ353</f>
        <v/>
      </c>
      <c r="BB353" s="12">
        <f>SUM('组合输入'!$J$2:$J$11)-BA353</f>
        <v/>
      </c>
    </row>
    <row r="354">
      <c r="A354" s="11" t="n">
        <v>353</v>
      </c>
      <c r="B354" s="14">
        <f>NORM.S.INV(RAND())</f>
        <v/>
      </c>
      <c r="C354" s="14">
        <f>NORM.S.INV(RAND())</f>
        <v/>
      </c>
      <c r="D354" s="15">
        <f>IF('组合输入'!$C2="","",'组合输入'!$H2*$B354+SQRT(1-'组合输入'!$H2^2)*C354)</f>
        <v/>
      </c>
      <c r="E354" s="7">
        <f>IF(D354="","",NORM.S.DIST(D354,TRUE))</f>
        <v/>
      </c>
      <c r="F354" s="13">
        <f>IF(E354="","",IF(E354&lt;='组合输入'!$K2,"AAA",IF(E354&lt;='组合输入'!$L2,"AA",IF(E354&lt;='组合输入'!$M2,"A",IF(E354&lt;='组合输入'!$N2,"BBB",IF(E354&lt;='组合输入'!$O2,"BB",IF(E354&lt;='组合输入'!$P2,"B",IF(E354&lt;='组合输入'!$Q2,"CCC","D")))))))</f>
        <v/>
      </c>
      <c r="G354" s="12">
        <f>IF(F354="","",INDEX('状态价值'!$D2:$K2,MATCH(F354,'状态价值'!$D$1:$K$1,0)))</f>
        <v/>
      </c>
      <c r="H354" s="15">
        <f>NORM.S.INV(RAND())</f>
        <v/>
      </c>
      <c r="I354" s="15">
        <f>IF('组合输入'!$C3="","",'组合输入'!$H3*$B354+SQRT(1-'组合输入'!$H3^2)*H354)</f>
        <v/>
      </c>
      <c r="J354" s="7">
        <f>IF(I354="","",NORM.S.DIST(I354,TRUE))</f>
        <v/>
      </c>
      <c r="K354" s="13">
        <f>IF(J354="","",IF(J354&lt;='组合输入'!$K3,"AAA",IF(J354&lt;='组合输入'!$L3,"AA",IF(J354&lt;='组合输入'!$M3,"A",IF(J354&lt;='组合输入'!$N3,"BBB",IF(J354&lt;='组合输入'!$O3,"BB",IF(J354&lt;='组合输入'!$P3,"B",IF(J354&lt;='组合输入'!$Q3,"CCC","D")))))))</f>
        <v/>
      </c>
      <c r="L354" s="12">
        <f>IF(K354="","",INDEX('状态价值'!$D3:$K3,MATCH(K354,'状态价值'!$D$1:$K$1,0)))</f>
        <v/>
      </c>
      <c r="M354" s="15">
        <f>NORM.S.INV(RAND())</f>
        <v/>
      </c>
      <c r="N354" s="15">
        <f>IF('组合输入'!$C4="","",'组合输入'!$H4*$B354+SQRT(1-'组合输入'!$H4^2)*M354)</f>
        <v/>
      </c>
      <c r="O354" s="7">
        <f>IF(N354="","",NORM.S.DIST(N354,TRUE))</f>
        <v/>
      </c>
      <c r="P354" s="13">
        <f>IF(O354="","",IF(O354&lt;='组合输入'!$K4,"AAA",IF(O354&lt;='组合输入'!$L4,"AA",IF(O354&lt;='组合输入'!$M4,"A",IF(O354&lt;='组合输入'!$N4,"BBB",IF(O354&lt;='组合输入'!$O4,"BB",IF(O354&lt;='组合输入'!$P4,"B",IF(O354&lt;='组合输入'!$Q4,"CCC","D")))))))</f>
        <v/>
      </c>
      <c r="Q354" s="12">
        <f>IF(P354="","",INDEX('状态价值'!$D4:$K4,MATCH(P354,'状态价值'!$D$1:$K$1,0)))</f>
        <v/>
      </c>
      <c r="R354" s="15">
        <f>NORM.S.INV(RAND())</f>
        <v/>
      </c>
      <c r="S354" s="15">
        <f>IF('组合输入'!$C5="","",'组合输入'!$H5*$B354+SQRT(1-'组合输入'!$H5^2)*R354)</f>
        <v/>
      </c>
      <c r="T354" s="7">
        <f>IF(S354="","",NORM.S.DIST(S354,TRUE))</f>
        <v/>
      </c>
      <c r="U354" s="13">
        <f>IF(T354="","",IF(T354&lt;='组合输入'!$K5,"AAA",IF(T354&lt;='组合输入'!$L5,"AA",IF(T354&lt;='组合输入'!$M5,"A",IF(T354&lt;='组合输入'!$N5,"BBB",IF(T354&lt;='组合输入'!$O5,"BB",IF(T354&lt;='组合输入'!$P5,"B",IF(T354&lt;='组合输入'!$Q5,"CCC","D")))))))</f>
        <v/>
      </c>
      <c r="V354" s="12">
        <f>IF(U354="","",INDEX('状态价值'!$D5:$K5,MATCH(U354,'状态价值'!$D$1:$K$1,0)))</f>
        <v/>
      </c>
      <c r="W354" s="15">
        <f>NORM.S.INV(RAND())</f>
        <v/>
      </c>
      <c r="X354" s="15">
        <f>IF('组合输入'!$C6="","",'组合输入'!$H6*$B354+SQRT(1-'组合输入'!$H6^2)*W354)</f>
        <v/>
      </c>
      <c r="Y354" s="7">
        <f>IF(X354="","",NORM.S.DIST(X354,TRUE))</f>
        <v/>
      </c>
      <c r="Z354" s="13">
        <f>IF(Y354="","",IF(Y354&lt;='组合输入'!$K6,"AAA",IF(Y354&lt;='组合输入'!$L6,"AA",IF(Y354&lt;='组合输入'!$M6,"A",IF(Y354&lt;='组合输入'!$N6,"BBB",IF(Y354&lt;='组合输入'!$O6,"BB",IF(Y354&lt;='组合输入'!$P6,"B",IF(Y354&lt;='组合输入'!$Q6,"CCC","D")))))))</f>
        <v/>
      </c>
      <c r="AA354" s="12">
        <f>IF(Z354="","",INDEX('状态价值'!$D6:$K6,MATCH(Z354,'状态价值'!$D$1:$K$1,0)))</f>
        <v/>
      </c>
      <c r="AB354" s="15">
        <f>NORM.S.INV(RAND())</f>
        <v/>
      </c>
      <c r="AC354" s="15">
        <f>IF('组合输入'!$C7="","",'组合输入'!$H7*$B354+SQRT(1-'组合输入'!$H7^2)*AB354)</f>
        <v/>
      </c>
      <c r="AD354" s="7">
        <f>IF(AC354="","",NORM.S.DIST(AC354,TRUE))</f>
        <v/>
      </c>
      <c r="AE354" s="13">
        <f>IF(AD354="","",IF(AD354&lt;='组合输入'!$K7,"AAA",IF(AD354&lt;='组合输入'!$L7,"AA",IF(AD354&lt;='组合输入'!$M7,"A",IF(AD354&lt;='组合输入'!$N7,"BBB",IF(AD354&lt;='组合输入'!$O7,"BB",IF(AD354&lt;='组合输入'!$P7,"B",IF(AD354&lt;='组合输入'!$Q7,"CCC","D")))))))</f>
        <v/>
      </c>
      <c r="AF354" s="12">
        <f>IF(AE354="","",INDEX('状态价值'!$D7:$K7,MATCH(AE354,'状态价值'!$D$1:$K$1,0)))</f>
        <v/>
      </c>
      <c r="AG354" s="15">
        <f>NORM.S.INV(RAND())</f>
        <v/>
      </c>
      <c r="AH354" s="15">
        <f>IF('组合输入'!$C8="","",'组合输入'!$H8*$B354+SQRT(1-'组合输入'!$H8^2)*AG354)</f>
        <v/>
      </c>
      <c r="AI354" s="7">
        <f>IF(AH354="","",NORM.S.DIST(AH354,TRUE))</f>
        <v/>
      </c>
      <c r="AJ354" s="13">
        <f>IF(AI354="","",IF(AI354&lt;='组合输入'!$K8,"AAA",IF(AI354&lt;='组合输入'!$L8,"AA",IF(AI354&lt;='组合输入'!$M8,"A",IF(AI354&lt;='组合输入'!$N8,"BBB",IF(AI354&lt;='组合输入'!$O8,"BB",IF(AI354&lt;='组合输入'!$P8,"B",IF(AI354&lt;='组合输入'!$Q8,"CCC","D")))))))</f>
        <v/>
      </c>
      <c r="AK354" s="12">
        <f>IF(AJ354="","",INDEX('状态价值'!$D8:$K8,MATCH(AJ354,'状态价值'!$D$1:$K$1,0)))</f>
        <v/>
      </c>
      <c r="AL354" s="15">
        <f>NORM.S.INV(RAND())</f>
        <v/>
      </c>
      <c r="AM354" s="15">
        <f>IF('组合输入'!$C9="","",'组合输入'!$H9*$B354+SQRT(1-'组合输入'!$H9^2)*AL354)</f>
        <v/>
      </c>
      <c r="AN354" s="7">
        <f>IF(AM354="","",NORM.S.DIST(AM354,TRUE))</f>
        <v/>
      </c>
      <c r="AO354" s="13">
        <f>IF(AN354="","",IF(AN354&lt;='组合输入'!$K9,"AAA",IF(AN354&lt;='组合输入'!$L9,"AA",IF(AN354&lt;='组合输入'!$M9,"A",IF(AN354&lt;='组合输入'!$N9,"BBB",IF(AN354&lt;='组合输入'!$O9,"BB",IF(AN354&lt;='组合输入'!$P9,"B",IF(AN354&lt;='组合输入'!$Q9,"CCC","D")))))))</f>
        <v/>
      </c>
      <c r="AP354" s="12">
        <f>IF(AO354="","",INDEX('状态价值'!$D9:$K9,MATCH(AO354,'状态价值'!$D$1:$K$1,0)))</f>
        <v/>
      </c>
      <c r="AQ354" s="15">
        <f>NORM.S.INV(RAND())</f>
        <v/>
      </c>
      <c r="AR354" s="15">
        <f>IF('组合输入'!$C10="","",'组合输入'!$H10*$B354+SQRT(1-'组合输入'!$H10^2)*AQ354)</f>
        <v/>
      </c>
      <c r="AS354" s="7">
        <f>IF(AR354="","",NORM.S.DIST(AR354,TRUE))</f>
        <v/>
      </c>
      <c r="AT354" s="13">
        <f>IF(AS354="","",IF(AS354&lt;='组合输入'!$K10,"AAA",IF(AS354&lt;='组合输入'!$L10,"AA",IF(AS354&lt;='组合输入'!$M10,"A",IF(AS354&lt;='组合输入'!$N10,"BBB",IF(AS354&lt;='组合输入'!$O10,"BB",IF(AS354&lt;='组合输入'!$P10,"B",IF(AS354&lt;='组合输入'!$Q10,"CCC","D")))))))</f>
        <v/>
      </c>
      <c r="AU354" s="12">
        <f>IF(AT354="","",INDEX('状态价值'!$D10:$K10,MATCH(AT354,'状态价值'!$D$1:$K$1,0)))</f>
        <v/>
      </c>
      <c r="AV354" s="15">
        <f>NORM.S.INV(RAND())</f>
        <v/>
      </c>
      <c r="AW354" s="15">
        <f>IF('组合输入'!$C11="","",'组合输入'!$H11*$B354+SQRT(1-'组合输入'!$H11^2)*AV354)</f>
        <v/>
      </c>
      <c r="AX354" s="7">
        <f>IF(AW354="","",NORM.S.DIST(AW354,TRUE))</f>
        <v/>
      </c>
      <c r="AY354" s="13">
        <f>IF(AX354="","",IF(AX354&lt;='组合输入'!$K11,"AAA",IF(AX354&lt;='组合输入'!$L11,"AA",IF(AX354&lt;='组合输入'!$M11,"A",IF(AX354&lt;='组合输入'!$N11,"BBB",IF(AX354&lt;='组合输入'!$O11,"BB",IF(AX354&lt;='组合输入'!$P11,"B",IF(AX354&lt;='组合输入'!$Q11,"CCC","D")))))))</f>
        <v/>
      </c>
      <c r="AZ354" s="12">
        <f>IF(AY354="","",INDEX('状态价值'!$D11:$K11,MATCH(AY354,'状态价值'!$D$1:$K$1,0)))</f>
        <v/>
      </c>
      <c r="BA354" s="12">
        <f>G354+L354+Q354+V354+AA354+AF354+AK354+AP354+AU354+AZ354</f>
        <v/>
      </c>
      <c r="BB354" s="12">
        <f>SUM('组合输入'!$J$2:$J$11)-BA354</f>
        <v/>
      </c>
    </row>
    <row r="355">
      <c r="A355" s="11" t="n">
        <v>354</v>
      </c>
      <c r="B355" s="14">
        <f>NORM.S.INV(RAND())</f>
        <v/>
      </c>
      <c r="C355" s="14">
        <f>NORM.S.INV(RAND())</f>
        <v/>
      </c>
      <c r="D355" s="15">
        <f>IF('组合输入'!$C2="","",'组合输入'!$H2*$B355+SQRT(1-'组合输入'!$H2^2)*C355)</f>
        <v/>
      </c>
      <c r="E355" s="7">
        <f>IF(D355="","",NORM.S.DIST(D355,TRUE))</f>
        <v/>
      </c>
      <c r="F355" s="13">
        <f>IF(E355="","",IF(E355&lt;='组合输入'!$K2,"AAA",IF(E355&lt;='组合输入'!$L2,"AA",IF(E355&lt;='组合输入'!$M2,"A",IF(E355&lt;='组合输入'!$N2,"BBB",IF(E355&lt;='组合输入'!$O2,"BB",IF(E355&lt;='组合输入'!$P2,"B",IF(E355&lt;='组合输入'!$Q2,"CCC","D")))))))</f>
        <v/>
      </c>
      <c r="G355" s="12">
        <f>IF(F355="","",INDEX('状态价值'!$D2:$K2,MATCH(F355,'状态价值'!$D$1:$K$1,0)))</f>
        <v/>
      </c>
      <c r="H355" s="15">
        <f>NORM.S.INV(RAND())</f>
        <v/>
      </c>
      <c r="I355" s="15">
        <f>IF('组合输入'!$C3="","",'组合输入'!$H3*$B355+SQRT(1-'组合输入'!$H3^2)*H355)</f>
        <v/>
      </c>
      <c r="J355" s="7">
        <f>IF(I355="","",NORM.S.DIST(I355,TRUE))</f>
        <v/>
      </c>
      <c r="K355" s="13">
        <f>IF(J355="","",IF(J355&lt;='组合输入'!$K3,"AAA",IF(J355&lt;='组合输入'!$L3,"AA",IF(J355&lt;='组合输入'!$M3,"A",IF(J355&lt;='组合输入'!$N3,"BBB",IF(J355&lt;='组合输入'!$O3,"BB",IF(J355&lt;='组合输入'!$P3,"B",IF(J355&lt;='组合输入'!$Q3,"CCC","D")))))))</f>
        <v/>
      </c>
      <c r="L355" s="12">
        <f>IF(K355="","",INDEX('状态价值'!$D3:$K3,MATCH(K355,'状态价值'!$D$1:$K$1,0)))</f>
        <v/>
      </c>
      <c r="M355" s="15">
        <f>NORM.S.INV(RAND())</f>
        <v/>
      </c>
      <c r="N355" s="15">
        <f>IF('组合输入'!$C4="","",'组合输入'!$H4*$B355+SQRT(1-'组合输入'!$H4^2)*M355)</f>
        <v/>
      </c>
      <c r="O355" s="7">
        <f>IF(N355="","",NORM.S.DIST(N355,TRUE))</f>
        <v/>
      </c>
      <c r="P355" s="13">
        <f>IF(O355="","",IF(O355&lt;='组合输入'!$K4,"AAA",IF(O355&lt;='组合输入'!$L4,"AA",IF(O355&lt;='组合输入'!$M4,"A",IF(O355&lt;='组合输入'!$N4,"BBB",IF(O355&lt;='组合输入'!$O4,"BB",IF(O355&lt;='组合输入'!$P4,"B",IF(O355&lt;='组合输入'!$Q4,"CCC","D")))))))</f>
        <v/>
      </c>
      <c r="Q355" s="12">
        <f>IF(P355="","",INDEX('状态价值'!$D4:$K4,MATCH(P355,'状态价值'!$D$1:$K$1,0)))</f>
        <v/>
      </c>
      <c r="R355" s="15">
        <f>NORM.S.INV(RAND())</f>
        <v/>
      </c>
      <c r="S355" s="15">
        <f>IF('组合输入'!$C5="","",'组合输入'!$H5*$B355+SQRT(1-'组合输入'!$H5^2)*R355)</f>
        <v/>
      </c>
      <c r="T355" s="7">
        <f>IF(S355="","",NORM.S.DIST(S355,TRUE))</f>
        <v/>
      </c>
      <c r="U355" s="13">
        <f>IF(T355="","",IF(T355&lt;='组合输入'!$K5,"AAA",IF(T355&lt;='组合输入'!$L5,"AA",IF(T355&lt;='组合输入'!$M5,"A",IF(T355&lt;='组合输入'!$N5,"BBB",IF(T355&lt;='组合输入'!$O5,"BB",IF(T355&lt;='组合输入'!$P5,"B",IF(T355&lt;='组合输入'!$Q5,"CCC","D")))))))</f>
        <v/>
      </c>
      <c r="V355" s="12">
        <f>IF(U355="","",INDEX('状态价值'!$D5:$K5,MATCH(U355,'状态价值'!$D$1:$K$1,0)))</f>
        <v/>
      </c>
      <c r="W355" s="15">
        <f>NORM.S.INV(RAND())</f>
        <v/>
      </c>
      <c r="X355" s="15">
        <f>IF('组合输入'!$C6="","",'组合输入'!$H6*$B355+SQRT(1-'组合输入'!$H6^2)*W355)</f>
        <v/>
      </c>
      <c r="Y355" s="7">
        <f>IF(X355="","",NORM.S.DIST(X355,TRUE))</f>
        <v/>
      </c>
      <c r="Z355" s="13">
        <f>IF(Y355="","",IF(Y355&lt;='组合输入'!$K6,"AAA",IF(Y355&lt;='组合输入'!$L6,"AA",IF(Y355&lt;='组合输入'!$M6,"A",IF(Y355&lt;='组合输入'!$N6,"BBB",IF(Y355&lt;='组合输入'!$O6,"BB",IF(Y355&lt;='组合输入'!$P6,"B",IF(Y355&lt;='组合输入'!$Q6,"CCC","D")))))))</f>
        <v/>
      </c>
      <c r="AA355" s="12">
        <f>IF(Z355="","",INDEX('状态价值'!$D6:$K6,MATCH(Z355,'状态价值'!$D$1:$K$1,0)))</f>
        <v/>
      </c>
      <c r="AB355" s="15">
        <f>NORM.S.INV(RAND())</f>
        <v/>
      </c>
      <c r="AC355" s="15">
        <f>IF('组合输入'!$C7="","",'组合输入'!$H7*$B355+SQRT(1-'组合输入'!$H7^2)*AB355)</f>
        <v/>
      </c>
      <c r="AD355" s="7">
        <f>IF(AC355="","",NORM.S.DIST(AC355,TRUE))</f>
        <v/>
      </c>
      <c r="AE355" s="13">
        <f>IF(AD355="","",IF(AD355&lt;='组合输入'!$K7,"AAA",IF(AD355&lt;='组合输入'!$L7,"AA",IF(AD355&lt;='组合输入'!$M7,"A",IF(AD355&lt;='组合输入'!$N7,"BBB",IF(AD355&lt;='组合输入'!$O7,"BB",IF(AD355&lt;='组合输入'!$P7,"B",IF(AD355&lt;='组合输入'!$Q7,"CCC","D")))))))</f>
        <v/>
      </c>
      <c r="AF355" s="12">
        <f>IF(AE355="","",INDEX('状态价值'!$D7:$K7,MATCH(AE355,'状态价值'!$D$1:$K$1,0)))</f>
        <v/>
      </c>
      <c r="AG355" s="15">
        <f>NORM.S.INV(RAND())</f>
        <v/>
      </c>
      <c r="AH355" s="15">
        <f>IF('组合输入'!$C8="","",'组合输入'!$H8*$B355+SQRT(1-'组合输入'!$H8^2)*AG355)</f>
        <v/>
      </c>
      <c r="AI355" s="7">
        <f>IF(AH355="","",NORM.S.DIST(AH355,TRUE))</f>
        <v/>
      </c>
      <c r="AJ355" s="13">
        <f>IF(AI355="","",IF(AI355&lt;='组合输入'!$K8,"AAA",IF(AI355&lt;='组合输入'!$L8,"AA",IF(AI355&lt;='组合输入'!$M8,"A",IF(AI355&lt;='组合输入'!$N8,"BBB",IF(AI355&lt;='组合输入'!$O8,"BB",IF(AI355&lt;='组合输入'!$P8,"B",IF(AI355&lt;='组合输入'!$Q8,"CCC","D")))))))</f>
        <v/>
      </c>
      <c r="AK355" s="12">
        <f>IF(AJ355="","",INDEX('状态价值'!$D8:$K8,MATCH(AJ355,'状态价值'!$D$1:$K$1,0)))</f>
        <v/>
      </c>
      <c r="AL355" s="15">
        <f>NORM.S.INV(RAND())</f>
        <v/>
      </c>
      <c r="AM355" s="15">
        <f>IF('组合输入'!$C9="","",'组合输入'!$H9*$B355+SQRT(1-'组合输入'!$H9^2)*AL355)</f>
        <v/>
      </c>
      <c r="AN355" s="7">
        <f>IF(AM355="","",NORM.S.DIST(AM355,TRUE))</f>
        <v/>
      </c>
      <c r="AO355" s="13">
        <f>IF(AN355="","",IF(AN355&lt;='组合输入'!$K9,"AAA",IF(AN355&lt;='组合输入'!$L9,"AA",IF(AN355&lt;='组合输入'!$M9,"A",IF(AN355&lt;='组合输入'!$N9,"BBB",IF(AN355&lt;='组合输入'!$O9,"BB",IF(AN355&lt;='组合输入'!$P9,"B",IF(AN355&lt;='组合输入'!$Q9,"CCC","D")))))))</f>
        <v/>
      </c>
      <c r="AP355" s="12">
        <f>IF(AO355="","",INDEX('状态价值'!$D9:$K9,MATCH(AO355,'状态价值'!$D$1:$K$1,0)))</f>
        <v/>
      </c>
      <c r="AQ355" s="15">
        <f>NORM.S.INV(RAND())</f>
        <v/>
      </c>
      <c r="AR355" s="15">
        <f>IF('组合输入'!$C10="","",'组合输入'!$H10*$B355+SQRT(1-'组合输入'!$H10^2)*AQ355)</f>
        <v/>
      </c>
      <c r="AS355" s="7">
        <f>IF(AR355="","",NORM.S.DIST(AR355,TRUE))</f>
        <v/>
      </c>
      <c r="AT355" s="13">
        <f>IF(AS355="","",IF(AS355&lt;='组合输入'!$K10,"AAA",IF(AS355&lt;='组合输入'!$L10,"AA",IF(AS355&lt;='组合输入'!$M10,"A",IF(AS355&lt;='组合输入'!$N10,"BBB",IF(AS355&lt;='组合输入'!$O10,"BB",IF(AS355&lt;='组合输入'!$P10,"B",IF(AS355&lt;='组合输入'!$Q10,"CCC","D")))))))</f>
        <v/>
      </c>
      <c r="AU355" s="12">
        <f>IF(AT355="","",INDEX('状态价值'!$D10:$K10,MATCH(AT355,'状态价值'!$D$1:$K$1,0)))</f>
        <v/>
      </c>
      <c r="AV355" s="15">
        <f>NORM.S.INV(RAND())</f>
        <v/>
      </c>
      <c r="AW355" s="15">
        <f>IF('组合输入'!$C11="","",'组合输入'!$H11*$B355+SQRT(1-'组合输入'!$H11^2)*AV355)</f>
        <v/>
      </c>
      <c r="AX355" s="7">
        <f>IF(AW355="","",NORM.S.DIST(AW355,TRUE))</f>
        <v/>
      </c>
      <c r="AY355" s="13">
        <f>IF(AX355="","",IF(AX355&lt;='组合输入'!$K11,"AAA",IF(AX355&lt;='组合输入'!$L11,"AA",IF(AX355&lt;='组合输入'!$M11,"A",IF(AX355&lt;='组合输入'!$N11,"BBB",IF(AX355&lt;='组合输入'!$O11,"BB",IF(AX355&lt;='组合输入'!$P11,"B",IF(AX355&lt;='组合输入'!$Q11,"CCC","D")))))))</f>
        <v/>
      </c>
      <c r="AZ355" s="12">
        <f>IF(AY355="","",INDEX('状态价值'!$D11:$K11,MATCH(AY355,'状态价值'!$D$1:$K$1,0)))</f>
        <v/>
      </c>
      <c r="BA355" s="12">
        <f>G355+L355+Q355+V355+AA355+AF355+AK355+AP355+AU355+AZ355</f>
        <v/>
      </c>
      <c r="BB355" s="12">
        <f>SUM('组合输入'!$J$2:$J$11)-BA355</f>
        <v/>
      </c>
    </row>
    <row r="356">
      <c r="A356" s="11" t="n">
        <v>355</v>
      </c>
      <c r="B356" s="14">
        <f>NORM.S.INV(RAND())</f>
        <v/>
      </c>
      <c r="C356" s="14">
        <f>NORM.S.INV(RAND())</f>
        <v/>
      </c>
      <c r="D356" s="15">
        <f>IF('组合输入'!$C2="","",'组合输入'!$H2*$B356+SQRT(1-'组合输入'!$H2^2)*C356)</f>
        <v/>
      </c>
      <c r="E356" s="7">
        <f>IF(D356="","",NORM.S.DIST(D356,TRUE))</f>
        <v/>
      </c>
      <c r="F356" s="13">
        <f>IF(E356="","",IF(E356&lt;='组合输入'!$K2,"AAA",IF(E356&lt;='组合输入'!$L2,"AA",IF(E356&lt;='组合输入'!$M2,"A",IF(E356&lt;='组合输入'!$N2,"BBB",IF(E356&lt;='组合输入'!$O2,"BB",IF(E356&lt;='组合输入'!$P2,"B",IF(E356&lt;='组合输入'!$Q2,"CCC","D")))))))</f>
        <v/>
      </c>
      <c r="G356" s="12">
        <f>IF(F356="","",INDEX('状态价值'!$D2:$K2,MATCH(F356,'状态价值'!$D$1:$K$1,0)))</f>
        <v/>
      </c>
      <c r="H356" s="15">
        <f>NORM.S.INV(RAND())</f>
        <v/>
      </c>
      <c r="I356" s="15">
        <f>IF('组合输入'!$C3="","",'组合输入'!$H3*$B356+SQRT(1-'组合输入'!$H3^2)*H356)</f>
        <v/>
      </c>
      <c r="J356" s="7">
        <f>IF(I356="","",NORM.S.DIST(I356,TRUE))</f>
        <v/>
      </c>
      <c r="K356" s="13">
        <f>IF(J356="","",IF(J356&lt;='组合输入'!$K3,"AAA",IF(J356&lt;='组合输入'!$L3,"AA",IF(J356&lt;='组合输入'!$M3,"A",IF(J356&lt;='组合输入'!$N3,"BBB",IF(J356&lt;='组合输入'!$O3,"BB",IF(J356&lt;='组合输入'!$P3,"B",IF(J356&lt;='组合输入'!$Q3,"CCC","D")))))))</f>
        <v/>
      </c>
      <c r="L356" s="12">
        <f>IF(K356="","",INDEX('状态价值'!$D3:$K3,MATCH(K356,'状态价值'!$D$1:$K$1,0)))</f>
        <v/>
      </c>
      <c r="M356" s="15">
        <f>NORM.S.INV(RAND())</f>
        <v/>
      </c>
      <c r="N356" s="15">
        <f>IF('组合输入'!$C4="","",'组合输入'!$H4*$B356+SQRT(1-'组合输入'!$H4^2)*M356)</f>
        <v/>
      </c>
      <c r="O356" s="7">
        <f>IF(N356="","",NORM.S.DIST(N356,TRUE))</f>
        <v/>
      </c>
      <c r="P356" s="13">
        <f>IF(O356="","",IF(O356&lt;='组合输入'!$K4,"AAA",IF(O356&lt;='组合输入'!$L4,"AA",IF(O356&lt;='组合输入'!$M4,"A",IF(O356&lt;='组合输入'!$N4,"BBB",IF(O356&lt;='组合输入'!$O4,"BB",IF(O356&lt;='组合输入'!$P4,"B",IF(O356&lt;='组合输入'!$Q4,"CCC","D")))))))</f>
        <v/>
      </c>
      <c r="Q356" s="12">
        <f>IF(P356="","",INDEX('状态价值'!$D4:$K4,MATCH(P356,'状态价值'!$D$1:$K$1,0)))</f>
        <v/>
      </c>
      <c r="R356" s="15">
        <f>NORM.S.INV(RAND())</f>
        <v/>
      </c>
      <c r="S356" s="15">
        <f>IF('组合输入'!$C5="","",'组合输入'!$H5*$B356+SQRT(1-'组合输入'!$H5^2)*R356)</f>
        <v/>
      </c>
      <c r="T356" s="7">
        <f>IF(S356="","",NORM.S.DIST(S356,TRUE))</f>
        <v/>
      </c>
      <c r="U356" s="13">
        <f>IF(T356="","",IF(T356&lt;='组合输入'!$K5,"AAA",IF(T356&lt;='组合输入'!$L5,"AA",IF(T356&lt;='组合输入'!$M5,"A",IF(T356&lt;='组合输入'!$N5,"BBB",IF(T356&lt;='组合输入'!$O5,"BB",IF(T356&lt;='组合输入'!$P5,"B",IF(T356&lt;='组合输入'!$Q5,"CCC","D")))))))</f>
        <v/>
      </c>
      <c r="V356" s="12">
        <f>IF(U356="","",INDEX('状态价值'!$D5:$K5,MATCH(U356,'状态价值'!$D$1:$K$1,0)))</f>
        <v/>
      </c>
      <c r="W356" s="15">
        <f>NORM.S.INV(RAND())</f>
        <v/>
      </c>
      <c r="X356" s="15">
        <f>IF('组合输入'!$C6="","",'组合输入'!$H6*$B356+SQRT(1-'组合输入'!$H6^2)*W356)</f>
        <v/>
      </c>
      <c r="Y356" s="7">
        <f>IF(X356="","",NORM.S.DIST(X356,TRUE))</f>
        <v/>
      </c>
      <c r="Z356" s="13">
        <f>IF(Y356="","",IF(Y356&lt;='组合输入'!$K6,"AAA",IF(Y356&lt;='组合输入'!$L6,"AA",IF(Y356&lt;='组合输入'!$M6,"A",IF(Y356&lt;='组合输入'!$N6,"BBB",IF(Y356&lt;='组合输入'!$O6,"BB",IF(Y356&lt;='组合输入'!$P6,"B",IF(Y356&lt;='组合输入'!$Q6,"CCC","D")))))))</f>
        <v/>
      </c>
      <c r="AA356" s="12">
        <f>IF(Z356="","",INDEX('状态价值'!$D6:$K6,MATCH(Z356,'状态价值'!$D$1:$K$1,0)))</f>
        <v/>
      </c>
      <c r="AB356" s="15">
        <f>NORM.S.INV(RAND())</f>
        <v/>
      </c>
      <c r="AC356" s="15">
        <f>IF('组合输入'!$C7="","",'组合输入'!$H7*$B356+SQRT(1-'组合输入'!$H7^2)*AB356)</f>
        <v/>
      </c>
      <c r="AD356" s="7">
        <f>IF(AC356="","",NORM.S.DIST(AC356,TRUE))</f>
        <v/>
      </c>
      <c r="AE356" s="13">
        <f>IF(AD356="","",IF(AD356&lt;='组合输入'!$K7,"AAA",IF(AD356&lt;='组合输入'!$L7,"AA",IF(AD356&lt;='组合输入'!$M7,"A",IF(AD356&lt;='组合输入'!$N7,"BBB",IF(AD356&lt;='组合输入'!$O7,"BB",IF(AD356&lt;='组合输入'!$P7,"B",IF(AD356&lt;='组合输入'!$Q7,"CCC","D")))))))</f>
        <v/>
      </c>
      <c r="AF356" s="12">
        <f>IF(AE356="","",INDEX('状态价值'!$D7:$K7,MATCH(AE356,'状态价值'!$D$1:$K$1,0)))</f>
        <v/>
      </c>
      <c r="AG356" s="15">
        <f>NORM.S.INV(RAND())</f>
        <v/>
      </c>
      <c r="AH356" s="15">
        <f>IF('组合输入'!$C8="","",'组合输入'!$H8*$B356+SQRT(1-'组合输入'!$H8^2)*AG356)</f>
        <v/>
      </c>
      <c r="AI356" s="7">
        <f>IF(AH356="","",NORM.S.DIST(AH356,TRUE))</f>
        <v/>
      </c>
      <c r="AJ356" s="13">
        <f>IF(AI356="","",IF(AI356&lt;='组合输入'!$K8,"AAA",IF(AI356&lt;='组合输入'!$L8,"AA",IF(AI356&lt;='组合输入'!$M8,"A",IF(AI356&lt;='组合输入'!$N8,"BBB",IF(AI356&lt;='组合输入'!$O8,"BB",IF(AI356&lt;='组合输入'!$P8,"B",IF(AI356&lt;='组合输入'!$Q8,"CCC","D")))))))</f>
        <v/>
      </c>
      <c r="AK356" s="12">
        <f>IF(AJ356="","",INDEX('状态价值'!$D8:$K8,MATCH(AJ356,'状态价值'!$D$1:$K$1,0)))</f>
        <v/>
      </c>
      <c r="AL356" s="15">
        <f>NORM.S.INV(RAND())</f>
        <v/>
      </c>
      <c r="AM356" s="15">
        <f>IF('组合输入'!$C9="","",'组合输入'!$H9*$B356+SQRT(1-'组合输入'!$H9^2)*AL356)</f>
        <v/>
      </c>
      <c r="AN356" s="7">
        <f>IF(AM356="","",NORM.S.DIST(AM356,TRUE))</f>
        <v/>
      </c>
      <c r="AO356" s="13">
        <f>IF(AN356="","",IF(AN356&lt;='组合输入'!$K9,"AAA",IF(AN356&lt;='组合输入'!$L9,"AA",IF(AN356&lt;='组合输入'!$M9,"A",IF(AN356&lt;='组合输入'!$N9,"BBB",IF(AN356&lt;='组合输入'!$O9,"BB",IF(AN356&lt;='组合输入'!$P9,"B",IF(AN356&lt;='组合输入'!$Q9,"CCC","D")))))))</f>
        <v/>
      </c>
      <c r="AP356" s="12">
        <f>IF(AO356="","",INDEX('状态价值'!$D9:$K9,MATCH(AO356,'状态价值'!$D$1:$K$1,0)))</f>
        <v/>
      </c>
      <c r="AQ356" s="15">
        <f>NORM.S.INV(RAND())</f>
        <v/>
      </c>
      <c r="AR356" s="15">
        <f>IF('组合输入'!$C10="","",'组合输入'!$H10*$B356+SQRT(1-'组合输入'!$H10^2)*AQ356)</f>
        <v/>
      </c>
      <c r="AS356" s="7">
        <f>IF(AR356="","",NORM.S.DIST(AR356,TRUE))</f>
        <v/>
      </c>
      <c r="AT356" s="13">
        <f>IF(AS356="","",IF(AS356&lt;='组合输入'!$K10,"AAA",IF(AS356&lt;='组合输入'!$L10,"AA",IF(AS356&lt;='组合输入'!$M10,"A",IF(AS356&lt;='组合输入'!$N10,"BBB",IF(AS356&lt;='组合输入'!$O10,"BB",IF(AS356&lt;='组合输入'!$P10,"B",IF(AS356&lt;='组合输入'!$Q10,"CCC","D")))))))</f>
        <v/>
      </c>
      <c r="AU356" s="12">
        <f>IF(AT356="","",INDEX('状态价值'!$D10:$K10,MATCH(AT356,'状态价值'!$D$1:$K$1,0)))</f>
        <v/>
      </c>
      <c r="AV356" s="15">
        <f>NORM.S.INV(RAND())</f>
        <v/>
      </c>
      <c r="AW356" s="15">
        <f>IF('组合输入'!$C11="","",'组合输入'!$H11*$B356+SQRT(1-'组合输入'!$H11^2)*AV356)</f>
        <v/>
      </c>
      <c r="AX356" s="7">
        <f>IF(AW356="","",NORM.S.DIST(AW356,TRUE))</f>
        <v/>
      </c>
      <c r="AY356" s="13">
        <f>IF(AX356="","",IF(AX356&lt;='组合输入'!$K11,"AAA",IF(AX356&lt;='组合输入'!$L11,"AA",IF(AX356&lt;='组合输入'!$M11,"A",IF(AX356&lt;='组合输入'!$N11,"BBB",IF(AX356&lt;='组合输入'!$O11,"BB",IF(AX356&lt;='组合输入'!$P11,"B",IF(AX356&lt;='组合输入'!$Q11,"CCC","D")))))))</f>
        <v/>
      </c>
      <c r="AZ356" s="12">
        <f>IF(AY356="","",INDEX('状态价值'!$D11:$K11,MATCH(AY356,'状态价值'!$D$1:$K$1,0)))</f>
        <v/>
      </c>
      <c r="BA356" s="12">
        <f>G356+L356+Q356+V356+AA356+AF356+AK356+AP356+AU356+AZ356</f>
        <v/>
      </c>
      <c r="BB356" s="12">
        <f>SUM('组合输入'!$J$2:$J$11)-BA356</f>
        <v/>
      </c>
    </row>
    <row r="357">
      <c r="A357" s="11" t="n">
        <v>356</v>
      </c>
      <c r="B357" s="14">
        <f>NORM.S.INV(RAND())</f>
        <v/>
      </c>
      <c r="C357" s="14">
        <f>NORM.S.INV(RAND())</f>
        <v/>
      </c>
      <c r="D357" s="15">
        <f>IF('组合输入'!$C2="","",'组合输入'!$H2*$B357+SQRT(1-'组合输入'!$H2^2)*C357)</f>
        <v/>
      </c>
      <c r="E357" s="7">
        <f>IF(D357="","",NORM.S.DIST(D357,TRUE))</f>
        <v/>
      </c>
      <c r="F357" s="13">
        <f>IF(E357="","",IF(E357&lt;='组合输入'!$K2,"AAA",IF(E357&lt;='组合输入'!$L2,"AA",IF(E357&lt;='组合输入'!$M2,"A",IF(E357&lt;='组合输入'!$N2,"BBB",IF(E357&lt;='组合输入'!$O2,"BB",IF(E357&lt;='组合输入'!$P2,"B",IF(E357&lt;='组合输入'!$Q2,"CCC","D")))))))</f>
        <v/>
      </c>
      <c r="G357" s="12">
        <f>IF(F357="","",INDEX('状态价值'!$D2:$K2,MATCH(F357,'状态价值'!$D$1:$K$1,0)))</f>
        <v/>
      </c>
      <c r="H357" s="15">
        <f>NORM.S.INV(RAND())</f>
        <v/>
      </c>
      <c r="I357" s="15">
        <f>IF('组合输入'!$C3="","",'组合输入'!$H3*$B357+SQRT(1-'组合输入'!$H3^2)*H357)</f>
        <v/>
      </c>
      <c r="J357" s="7">
        <f>IF(I357="","",NORM.S.DIST(I357,TRUE))</f>
        <v/>
      </c>
      <c r="K357" s="13">
        <f>IF(J357="","",IF(J357&lt;='组合输入'!$K3,"AAA",IF(J357&lt;='组合输入'!$L3,"AA",IF(J357&lt;='组合输入'!$M3,"A",IF(J357&lt;='组合输入'!$N3,"BBB",IF(J357&lt;='组合输入'!$O3,"BB",IF(J357&lt;='组合输入'!$P3,"B",IF(J357&lt;='组合输入'!$Q3,"CCC","D")))))))</f>
        <v/>
      </c>
      <c r="L357" s="12">
        <f>IF(K357="","",INDEX('状态价值'!$D3:$K3,MATCH(K357,'状态价值'!$D$1:$K$1,0)))</f>
        <v/>
      </c>
      <c r="M357" s="15">
        <f>NORM.S.INV(RAND())</f>
        <v/>
      </c>
      <c r="N357" s="15">
        <f>IF('组合输入'!$C4="","",'组合输入'!$H4*$B357+SQRT(1-'组合输入'!$H4^2)*M357)</f>
        <v/>
      </c>
      <c r="O357" s="7">
        <f>IF(N357="","",NORM.S.DIST(N357,TRUE))</f>
        <v/>
      </c>
      <c r="P357" s="13">
        <f>IF(O357="","",IF(O357&lt;='组合输入'!$K4,"AAA",IF(O357&lt;='组合输入'!$L4,"AA",IF(O357&lt;='组合输入'!$M4,"A",IF(O357&lt;='组合输入'!$N4,"BBB",IF(O357&lt;='组合输入'!$O4,"BB",IF(O357&lt;='组合输入'!$P4,"B",IF(O357&lt;='组合输入'!$Q4,"CCC","D")))))))</f>
        <v/>
      </c>
      <c r="Q357" s="12">
        <f>IF(P357="","",INDEX('状态价值'!$D4:$K4,MATCH(P357,'状态价值'!$D$1:$K$1,0)))</f>
        <v/>
      </c>
      <c r="R357" s="15">
        <f>NORM.S.INV(RAND())</f>
        <v/>
      </c>
      <c r="S357" s="15">
        <f>IF('组合输入'!$C5="","",'组合输入'!$H5*$B357+SQRT(1-'组合输入'!$H5^2)*R357)</f>
        <v/>
      </c>
      <c r="T357" s="7">
        <f>IF(S357="","",NORM.S.DIST(S357,TRUE))</f>
        <v/>
      </c>
      <c r="U357" s="13">
        <f>IF(T357="","",IF(T357&lt;='组合输入'!$K5,"AAA",IF(T357&lt;='组合输入'!$L5,"AA",IF(T357&lt;='组合输入'!$M5,"A",IF(T357&lt;='组合输入'!$N5,"BBB",IF(T357&lt;='组合输入'!$O5,"BB",IF(T357&lt;='组合输入'!$P5,"B",IF(T357&lt;='组合输入'!$Q5,"CCC","D")))))))</f>
        <v/>
      </c>
      <c r="V357" s="12">
        <f>IF(U357="","",INDEX('状态价值'!$D5:$K5,MATCH(U357,'状态价值'!$D$1:$K$1,0)))</f>
        <v/>
      </c>
      <c r="W357" s="15">
        <f>NORM.S.INV(RAND())</f>
        <v/>
      </c>
      <c r="X357" s="15">
        <f>IF('组合输入'!$C6="","",'组合输入'!$H6*$B357+SQRT(1-'组合输入'!$H6^2)*W357)</f>
        <v/>
      </c>
      <c r="Y357" s="7">
        <f>IF(X357="","",NORM.S.DIST(X357,TRUE))</f>
        <v/>
      </c>
      <c r="Z357" s="13">
        <f>IF(Y357="","",IF(Y357&lt;='组合输入'!$K6,"AAA",IF(Y357&lt;='组合输入'!$L6,"AA",IF(Y357&lt;='组合输入'!$M6,"A",IF(Y357&lt;='组合输入'!$N6,"BBB",IF(Y357&lt;='组合输入'!$O6,"BB",IF(Y357&lt;='组合输入'!$P6,"B",IF(Y357&lt;='组合输入'!$Q6,"CCC","D")))))))</f>
        <v/>
      </c>
      <c r="AA357" s="12">
        <f>IF(Z357="","",INDEX('状态价值'!$D6:$K6,MATCH(Z357,'状态价值'!$D$1:$K$1,0)))</f>
        <v/>
      </c>
      <c r="AB357" s="15">
        <f>NORM.S.INV(RAND())</f>
        <v/>
      </c>
      <c r="AC357" s="15">
        <f>IF('组合输入'!$C7="","",'组合输入'!$H7*$B357+SQRT(1-'组合输入'!$H7^2)*AB357)</f>
        <v/>
      </c>
      <c r="AD357" s="7">
        <f>IF(AC357="","",NORM.S.DIST(AC357,TRUE))</f>
        <v/>
      </c>
      <c r="AE357" s="13">
        <f>IF(AD357="","",IF(AD357&lt;='组合输入'!$K7,"AAA",IF(AD357&lt;='组合输入'!$L7,"AA",IF(AD357&lt;='组合输入'!$M7,"A",IF(AD357&lt;='组合输入'!$N7,"BBB",IF(AD357&lt;='组合输入'!$O7,"BB",IF(AD357&lt;='组合输入'!$P7,"B",IF(AD357&lt;='组合输入'!$Q7,"CCC","D")))))))</f>
        <v/>
      </c>
      <c r="AF357" s="12">
        <f>IF(AE357="","",INDEX('状态价值'!$D7:$K7,MATCH(AE357,'状态价值'!$D$1:$K$1,0)))</f>
        <v/>
      </c>
      <c r="AG357" s="15">
        <f>NORM.S.INV(RAND())</f>
        <v/>
      </c>
      <c r="AH357" s="15">
        <f>IF('组合输入'!$C8="","",'组合输入'!$H8*$B357+SQRT(1-'组合输入'!$H8^2)*AG357)</f>
        <v/>
      </c>
      <c r="AI357" s="7">
        <f>IF(AH357="","",NORM.S.DIST(AH357,TRUE))</f>
        <v/>
      </c>
      <c r="AJ357" s="13">
        <f>IF(AI357="","",IF(AI357&lt;='组合输入'!$K8,"AAA",IF(AI357&lt;='组合输入'!$L8,"AA",IF(AI357&lt;='组合输入'!$M8,"A",IF(AI357&lt;='组合输入'!$N8,"BBB",IF(AI357&lt;='组合输入'!$O8,"BB",IF(AI357&lt;='组合输入'!$P8,"B",IF(AI357&lt;='组合输入'!$Q8,"CCC","D")))))))</f>
        <v/>
      </c>
      <c r="AK357" s="12">
        <f>IF(AJ357="","",INDEX('状态价值'!$D8:$K8,MATCH(AJ357,'状态价值'!$D$1:$K$1,0)))</f>
        <v/>
      </c>
      <c r="AL357" s="15">
        <f>NORM.S.INV(RAND())</f>
        <v/>
      </c>
      <c r="AM357" s="15">
        <f>IF('组合输入'!$C9="","",'组合输入'!$H9*$B357+SQRT(1-'组合输入'!$H9^2)*AL357)</f>
        <v/>
      </c>
      <c r="AN357" s="7">
        <f>IF(AM357="","",NORM.S.DIST(AM357,TRUE))</f>
        <v/>
      </c>
      <c r="AO357" s="13">
        <f>IF(AN357="","",IF(AN357&lt;='组合输入'!$K9,"AAA",IF(AN357&lt;='组合输入'!$L9,"AA",IF(AN357&lt;='组合输入'!$M9,"A",IF(AN357&lt;='组合输入'!$N9,"BBB",IF(AN357&lt;='组合输入'!$O9,"BB",IF(AN357&lt;='组合输入'!$P9,"B",IF(AN357&lt;='组合输入'!$Q9,"CCC","D")))))))</f>
        <v/>
      </c>
      <c r="AP357" s="12">
        <f>IF(AO357="","",INDEX('状态价值'!$D9:$K9,MATCH(AO357,'状态价值'!$D$1:$K$1,0)))</f>
        <v/>
      </c>
      <c r="AQ357" s="15">
        <f>NORM.S.INV(RAND())</f>
        <v/>
      </c>
      <c r="AR357" s="15">
        <f>IF('组合输入'!$C10="","",'组合输入'!$H10*$B357+SQRT(1-'组合输入'!$H10^2)*AQ357)</f>
        <v/>
      </c>
      <c r="AS357" s="7">
        <f>IF(AR357="","",NORM.S.DIST(AR357,TRUE))</f>
        <v/>
      </c>
      <c r="AT357" s="13">
        <f>IF(AS357="","",IF(AS357&lt;='组合输入'!$K10,"AAA",IF(AS357&lt;='组合输入'!$L10,"AA",IF(AS357&lt;='组合输入'!$M10,"A",IF(AS357&lt;='组合输入'!$N10,"BBB",IF(AS357&lt;='组合输入'!$O10,"BB",IF(AS357&lt;='组合输入'!$P10,"B",IF(AS357&lt;='组合输入'!$Q10,"CCC","D")))))))</f>
        <v/>
      </c>
      <c r="AU357" s="12">
        <f>IF(AT357="","",INDEX('状态价值'!$D10:$K10,MATCH(AT357,'状态价值'!$D$1:$K$1,0)))</f>
        <v/>
      </c>
      <c r="AV357" s="15">
        <f>NORM.S.INV(RAND())</f>
        <v/>
      </c>
      <c r="AW357" s="15">
        <f>IF('组合输入'!$C11="","",'组合输入'!$H11*$B357+SQRT(1-'组合输入'!$H11^2)*AV357)</f>
        <v/>
      </c>
      <c r="AX357" s="7">
        <f>IF(AW357="","",NORM.S.DIST(AW357,TRUE))</f>
        <v/>
      </c>
      <c r="AY357" s="13">
        <f>IF(AX357="","",IF(AX357&lt;='组合输入'!$K11,"AAA",IF(AX357&lt;='组合输入'!$L11,"AA",IF(AX357&lt;='组合输入'!$M11,"A",IF(AX357&lt;='组合输入'!$N11,"BBB",IF(AX357&lt;='组合输入'!$O11,"BB",IF(AX357&lt;='组合输入'!$P11,"B",IF(AX357&lt;='组合输入'!$Q11,"CCC","D")))))))</f>
        <v/>
      </c>
      <c r="AZ357" s="12">
        <f>IF(AY357="","",INDEX('状态价值'!$D11:$K11,MATCH(AY357,'状态价值'!$D$1:$K$1,0)))</f>
        <v/>
      </c>
      <c r="BA357" s="12">
        <f>G357+L357+Q357+V357+AA357+AF357+AK357+AP357+AU357+AZ357</f>
        <v/>
      </c>
      <c r="BB357" s="12">
        <f>SUM('组合输入'!$J$2:$J$11)-BA357</f>
        <v/>
      </c>
    </row>
    <row r="358">
      <c r="A358" s="11" t="n">
        <v>357</v>
      </c>
      <c r="B358" s="14">
        <f>NORM.S.INV(RAND())</f>
        <v/>
      </c>
      <c r="C358" s="14">
        <f>NORM.S.INV(RAND())</f>
        <v/>
      </c>
      <c r="D358" s="15">
        <f>IF('组合输入'!$C2="","",'组合输入'!$H2*$B358+SQRT(1-'组合输入'!$H2^2)*C358)</f>
        <v/>
      </c>
      <c r="E358" s="7">
        <f>IF(D358="","",NORM.S.DIST(D358,TRUE))</f>
        <v/>
      </c>
      <c r="F358" s="13">
        <f>IF(E358="","",IF(E358&lt;='组合输入'!$K2,"AAA",IF(E358&lt;='组合输入'!$L2,"AA",IF(E358&lt;='组合输入'!$M2,"A",IF(E358&lt;='组合输入'!$N2,"BBB",IF(E358&lt;='组合输入'!$O2,"BB",IF(E358&lt;='组合输入'!$P2,"B",IF(E358&lt;='组合输入'!$Q2,"CCC","D")))))))</f>
        <v/>
      </c>
      <c r="G358" s="12">
        <f>IF(F358="","",INDEX('状态价值'!$D2:$K2,MATCH(F358,'状态价值'!$D$1:$K$1,0)))</f>
        <v/>
      </c>
      <c r="H358" s="15">
        <f>NORM.S.INV(RAND())</f>
        <v/>
      </c>
      <c r="I358" s="15">
        <f>IF('组合输入'!$C3="","",'组合输入'!$H3*$B358+SQRT(1-'组合输入'!$H3^2)*H358)</f>
        <v/>
      </c>
      <c r="J358" s="7">
        <f>IF(I358="","",NORM.S.DIST(I358,TRUE))</f>
        <v/>
      </c>
      <c r="K358" s="13">
        <f>IF(J358="","",IF(J358&lt;='组合输入'!$K3,"AAA",IF(J358&lt;='组合输入'!$L3,"AA",IF(J358&lt;='组合输入'!$M3,"A",IF(J358&lt;='组合输入'!$N3,"BBB",IF(J358&lt;='组合输入'!$O3,"BB",IF(J358&lt;='组合输入'!$P3,"B",IF(J358&lt;='组合输入'!$Q3,"CCC","D")))))))</f>
        <v/>
      </c>
      <c r="L358" s="12">
        <f>IF(K358="","",INDEX('状态价值'!$D3:$K3,MATCH(K358,'状态价值'!$D$1:$K$1,0)))</f>
        <v/>
      </c>
      <c r="M358" s="15">
        <f>NORM.S.INV(RAND())</f>
        <v/>
      </c>
      <c r="N358" s="15">
        <f>IF('组合输入'!$C4="","",'组合输入'!$H4*$B358+SQRT(1-'组合输入'!$H4^2)*M358)</f>
        <v/>
      </c>
      <c r="O358" s="7">
        <f>IF(N358="","",NORM.S.DIST(N358,TRUE))</f>
        <v/>
      </c>
      <c r="P358" s="13">
        <f>IF(O358="","",IF(O358&lt;='组合输入'!$K4,"AAA",IF(O358&lt;='组合输入'!$L4,"AA",IF(O358&lt;='组合输入'!$M4,"A",IF(O358&lt;='组合输入'!$N4,"BBB",IF(O358&lt;='组合输入'!$O4,"BB",IF(O358&lt;='组合输入'!$P4,"B",IF(O358&lt;='组合输入'!$Q4,"CCC","D")))))))</f>
        <v/>
      </c>
      <c r="Q358" s="12">
        <f>IF(P358="","",INDEX('状态价值'!$D4:$K4,MATCH(P358,'状态价值'!$D$1:$K$1,0)))</f>
        <v/>
      </c>
      <c r="R358" s="15">
        <f>NORM.S.INV(RAND())</f>
        <v/>
      </c>
      <c r="S358" s="15">
        <f>IF('组合输入'!$C5="","",'组合输入'!$H5*$B358+SQRT(1-'组合输入'!$H5^2)*R358)</f>
        <v/>
      </c>
      <c r="T358" s="7">
        <f>IF(S358="","",NORM.S.DIST(S358,TRUE))</f>
        <v/>
      </c>
      <c r="U358" s="13">
        <f>IF(T358="","",IF(T358&lt;='组合输入'!$K5,"AAA",IF(T358&lt;='组合输入'!$L5,"AA",IF(T358&lt;='组合输入'!$M5,"A",IF(T358&lt;='组合输入'!$N5,"BBB",IF(T358&lt;='组合输入'!$O5,"BB",IF(T358&lt;='组合输入'!$P5,"B",IF(T358&lt;='组合输入'!$Q5,"CCC","D")))))))</f>
        <v/>
      </c>
      <c r="V358" s="12">
        <f>IF(U358="","",INDEX('状态价值'!$D5:$K5,MATCH(U358,'状态价值'!$D$1:$K$1,0)))</f>
        <v/>
      </c>
      <c r="W358" s="15">
        <f>NORM.S.INV(RAND())</f>
        <v/>
      </c>
      <c r="X358" s="15">
        <f>IF('组合输入'!$C6="","",'组合输入'!$H6*$B358+SQRT(1-'组合输入'!$H6^2)*W358)</f>
        <v/>
      </c>
      <c r="Y358" s="7">
        <f>IF(X358="","",NORM.S.DIST(X358,TRUE))</f>
        <v/>
      </c>
      <c r="Z358" s="13">
        <f>IF(Y358="","",IF(Y358&lt;='组合输入'!$K6,"AAA",IF(Y358&lt;='组合输入'!$L6,"AA",IF(Y358&lt;='组合输入'!$M6,"A",IF(Y358&lt;='组合输入'!$N6,"BBB",IF(Y358&lt;='组合输入'!$O6,"BB",IF(Y358&lt;='组合输入'!$P6,"B",IF(Y358&lt;='组合输入'!$Q6,"CCC","D")))))))</f>
        <v/>
      </c>
      <c r="AA358" s="12">
        <f>IF(Z358="","",INDEX('状态价值'!$D6:$K6,MATCH(Z358,'状态价值'!$D$1:$K$1,0)))</f>
        <v/>
      </c>
      <c r="AB358" s="15">
        <f>NORM.S.INV(RAND())</f>
        <v/>
      </c>
      <c r="AC358" s="15">
        <f>IF('组合输入'!$C7="","",'组合输入'!$H7*$B358+SQRT(1-'组合输入'!$H7^2)*AB358)</f>
        <v/>
      </c>
      <c r="AD358" s="7">
        <f>IF(AC358="","",NORM.S.DIST(AC358,TRUE))</f>
        <v/>
      </c>
      <c r="AE358" s="13">
        <f>IF(AD358="","",IF(AD358&lt;='组合输入'!$K7,"AAA",IF(AD358&lt;='组合输入'!$L7,"AA",IF(AD358&lt;='组合输入'!$M7,"A",IF(AD358&lt;='组合输入'!$N7,"BBB",IF(AD358&lt;='组合输入'!$O7,"BB",IF(AD358&lt;='组合输入'!$P7,"B",IF(AD358&lt;='组合输入'!$Q7,"CCC","D")))))))</f>
        <v/>
      </c>
      <c r="AF358" s="12">
        <f>IF(AE358="","",INDEX('状态价值'!$D7:$K7,MATCH(AE358,'状态价值'!$D$1:$K$1,0)))</f>
        <v/>
      </c>
      <c r="AG358" s="15">
        <f>NORM.S.INV(RAND())</f>
        <v/>
      </c>
      <c r="AH358" s="15">
        <f>IF('组合输入'!$C8="","",'组合输入'!$H8*$B358+SQRT(1-'组合输入'!$H8^2)*AG358)</f>
        <v/>
      </c>
      <c r="AI358" s="7">
        <f>IF(AH358="","",NORM.S.DIST(AH358,TRUE))</f>
        <v/>
      </c>
      <c r="AJ358" s="13">
        <f>IF(AI358="","",IF(AI358&lt;='组合输入'!$K8,"AAA",IF(AI358&lt;='组合输入'!$L8,"AA",IF(AI358&lt;='组合输入'!$M8,"A",IF(AI358&lt;='组合输入'!$N8,"BBB",IF(AI358&lt;='组合输入'!$O8,"BB",IF(AI358&lt;='组合输入'!$P8,"B",IF(AI358&lt;='组合输入'!$Q8,"CCC","D")))))))</f>
        <v/>
      </c>
      <c r="AK358" s="12">
        <f>IF(AJ358="","",INDEX('状态价值'!$D8:$K8,MATCH(AJ358,'状态价值'!$D$1:$K$1,0)))</f>
        <v/>
      </c>
      <c r="AL358" s="15">
        <f>NORM.S.INV(RAND())</f>
        <v/>
      </c>
      <c r="AM358" s="15">
        <f>IF('组合输入'!$C9="","",'组合输入'!$H9*$B358+SQRT(1-'组合输入'!$H9^2)*AL358)</f>
        <v/>
      </c>
      <c r="AN358" s="7">
        <f>IF(AM358="","",NORM.S.DIST(AM358,TRUE))</f>
        <v/>
      </c>
      <c r="AO358" s="13">
        <f>IF(AN358="","",IF(AN358&lt;='组合输入'!$K9,"AAA",IF(AN358&lt;='组合输入'!$L9,"AA",IF(AN358&lt;='组合输入'!$M9,"A",IF(AN358&lt;='组合输入'!$N9,"BBB",IF(AN358&lt;='组合输入'!$O9,"BB",IF(AN358&lt;='组合输入'!$P9,"B",IF(AN358&lt;='组合输入'!$Q9,"CCC","D")))))))</f>
        <v/>
      </c>
      <c r="AP358" s="12">
        <f>IF(AO358="","",INDEX('状态价值'!$D9:$K9,MATCH(AO358,'状态价值'!$D$1:$K$1,0)))</f>
        <v/>
      </c>
      <c r="AQ358" s="15">
        <f>NORM.S.INV(RAND())</f>
        <v/>
      </c>
      <c r="AR358" s="15">
        <f>IF('组合输入'!$C10="","",'组合输入'!$H10*$B358+SQRT(1-'组合输入'!$H10^2)*AQ358)</f>
        <v/>
      </c>
      <c r="AS358" s="7">
        <f>IF(AR358="","",NORM.S.DIST(AR358,TRUE))</f>
        <v/>
      </c>
      <c r="AT358" s="13">
        <f>IF(AS358="","",IF(AS358&lt;='组合输入'!$K10,"AAA",IF(AS358&lt;='组合输入'!$L10,"AA",IF(AS358&lt;='组合输入'!$M10,"A",IF(AS358&lt;='组合输入'!$N10,"BBB",IF(AS358&lt;='组合输入'!$O10,"BB",IF(AS358&lt;='组合输入'!$P10,"B",IF(AS358&lt;='组合输入'!$Q10,"CCC","D")))))))</f>
        <v/>
      </c>
      <c r="AU358" s="12">
        <f>IF(AT358="","",INDEX('状态价值'!$D10:$K10,MATCH(AT358,'状态价值'!$D$1:$K$1,0)))</f>
        <v/>
      </c>
      <c r="AV358" s="15">
        <f>NORM.S.INV(RAND())</f>
        <v/>
      </c>
      <c r="AW358" s="15">
        <f>IF('组合输入'!$C11="","",'组合输入'!$H11*$B358+SQRT(1-'组合输入'!$H11^2)*AV358)</f>
        <v/>
      </c>
      <c r="AX358" s="7">
        <f>IF(AW358="","",NORM.S.DIST(AW358,TRUE))</f>
        <v/>
      </c>
      <c r="AY358" s="13">
        <f>IF(AX358="","",IF(AX358&lt;='组合输入'!$K11,"AAA",IF(AX358&lt;='组合输入'!$L11,"AA",IF(AX358&lt;='组合输入'!$M11,"A",IF(AX358&lt;='组合输入'!$N11,"BBB",IF(AX358&lt;='组合输入'!$O11,"BB",IF(AX358&lt;='组合输入'!$P11,"B",IF(AX358&lt;='组合输入'!$Q11,"CCC","D")))))))</f>
        <v/>
      </c>
      <c r="AZ358" s="12">
        <f>IF(AY358="","",INDEX('状态价值'!$D11:$K11,MATCH(AY358,'状态价值'!$D$1:$K$1,0)))</f>
        <v/>
      </c>
      <c r="BA358" s="12">
        <f>G358+L358+Q358+V358+AA358+AF358+AK358+AP358+AU358+AZ358</f>
        <v/>
      </c>
      <c r="BB358" s="12">
        <f>SUM('组合输入'!$J$2:$J$11)-BA358</f>
        <v/>
      </c>
    </row>
    <row r="359">
      <c r="A359" s="11" t="n">
        <v>358</v>
      </c>
      <c r="B359" s="14">
        <f>NORM.S.INV(RAND())</f>
        <v/>
      </c>
      <c r="C359" s="14">
        <f>NORM.S.INV(RAND())</f>
        <v/>
      </c>
      <c r="D359" s="15">
        <f>IF('组合输入'!$C2="","",'组合输入'!$H2*$B359+SQRT(1-'组合输入'!$H2^2)*C359)</f>
        <v/>
      </c>
      <c r="E359" s="7">
        <f>IF(D359="","",NORM.S.DIST(D359,TRUE))</f>
        <v/>
      </c>
      <c r="F359" s="13">
        <f>IF(E359="","",IF(E359&lt;='组合输入'!$K2,"AAA",IF(E359&lt;='组合输入'!$L2,"AA",IF(E359&lt;='组合输入'!$M2,"A",IF(E359&lt;='组合输入'!$N2,"BBB",IF(E359&lt;='组合输入'!$O2,"BB",IF(E359&lt;='组合输入'!$P2,"B",IF(E359&lt;='组合输入'!$Q2,"CCC","D")))))))</f>
        <v/>
      </c>
      <c r="G359" s="12">
        <f>IF(F359="","",INDEX('状态价值'!$D2:$K2,MATCH(F359,'状态价值'!$D$1:$K$1,0)))</f>
        <v/>
      </c>
      <c r="H359" s="15">
        <f>NORM.S.INV(RAND())</f>
        <v/>
      </c>
      <c r="I359" s="15">
        <f>IF('组合输入'!$C3="","",'组合输入'!$H3*$B359+SQRT(1-'组合输入'!$H3^2)*H359)</f>
        <v/>
      </c>
      <c r="J359" s="7">
        <f>IF(I359="","",NORM.S.DIST(I359,TRUE))</f>
        <v/>
      </c>
      <c r="K359" s="13">
        <f>IF(J359="","",IF(J359&lt;='组合输入'!$K3,"AAA",IF(J359&lt;='组合输入'!$L3,"AA",IF(J359&lt;='组合输入'!$M3,"A",IF(J359&lt;='组合输入'!$N3,"BBB",IF(J359&lt;='组合输入'!$O3,"BB",IF(J359&lt;='组合输入'!$P3,"B",IF(J359&lt;='组合输入'!$Q3,"CCC","D")))))))</f>
        <v/>
      </c>
      <c r="L359" s="12">
        <f>IF(K359="","",INDEX('状态价值'!$D3:$K3,MATCH(K359,'状态价值'!$D$1:$K$1,0)))</f>
        <v/>
      </c>
      <c r="M359" s="15">
        <f>NORM.S.INV(RAND())</f>
        <v/>
      </c>
      <c r="N359" s="15">
        <f>IF('组合输入'!$C4="","",'组合输入'!$H4*$B359+SQRT(1-'组合输入'!$H4^2)*M359)</f>
        <v/>
      </c>
      <c r="O359" s="7">
        <f>IF(N359="","",NORM.S.DIST(N359,TRUE))</f>
        <v/>
      </c>
      <c r="P359" s="13">
        <f>IF(O359="","",IF(O359&lt;='组合输入'!$K4,"AAA",IF(O359&lt;='组合输入'!$L4,"AA",IF(O359&lt;='组合输入'!$M4,"A",IF(O359&lt;='组合输入'!$N4,"BBB",IF(O359&lt;='组合输入'!$O4,"BB",IF(O359&lt;='组合输入'!$P4,"B",IF(O359&lt;='组合输入'!$Q4,"CCC","D")))))))</f>
        <v/>
      </c>
      <c r="Q359" s="12">
        <f>IF(P359="","",INDEX('状态价值'!$D4:$K4,MATCH(P359,'状态价值'!$D$1:$K$1,0)))</f>
        <v/>
      </c>
      <c r="R359" s="15">
        <f>NORM.S.INV(RAND())</f>
        <v/>
      </c>
      <c r="S359" s="15">
        <f>IF('组合输入'!$C5="","",'组合输入'!$H5*$B359+SQRT(1-'组合输入'!$H5^2)*R359)</f>
        <v/>
      </c>
      <c r="T359" s="7">
        <f>IF(S359="","",NORM.S.DIST(S359,TRUE))</f>
        <v/>
      </c>
      <c r="U359" s="13">
        <f>IF(T359="","",IF(T359&lt;='组合输入'!$K5,"AAA",IF(T359&lt;='组合输入'!$L5,"AA",IF(T359&lt;='组合输入'!$M5,"A",IF(T359&lt;='组合输入'!$N5,"BBB",IF(T359&lt;='组合输入'!$O5,"BB",IF(T359&lt;='组合输入'!$P5,"B",IF(T359&lt;='组合输入'!$Q5,"CCC","D")))))))</f>
        <v/>
      </c>
      <c r="V359" s="12">
        <f>IF(U359="","",INDEX('状态价值'!$D5:$K5,MATCH(U359,'状态价值'!$D$1:$K$1,0)))</f>
        <v/>
      </c>
      <c r="W359" s="15">
        <f>NORM.S.INV(RAND())</f>
        <v/>
      </c>
      <c r="X359" s="15">
        <f>IF('组合输入'!$C6="","",'组合输入'!$H6*$B359+SQRT(1-'组合输入'!$H6^2)*W359)</f>
        <v/>
      </c>
      <c r="Y359" s="7">
        <f>IF(X359="","",NORM.S.DIST(X359,TRUE))</f>
        <v/>
      </c>
      <c r="Z359" s="13">
        <f>IF(Y359="","",IF(Y359&lt;='组合输入'!$K6,"AAA",IF(Y359&lt;='组合输入'!$L6,"AA",IF(Y359&lt;='组合输入'!$M6,"A",IF(Y359&lt;='组合输入'!$N6,"BBB",IF(Y359&lt;='组合输入'!$O6,"BB",IF(Y359&lt;='组合输入'!$P6,"B",IF(Y359&lt;='组合输入'!$Q6,"CCC","D")))))))</f>
        <v/>
      </c>
      <c r="AA359" s="12">
        <f>IF(Z359="","",INDEX('状态价值'!$D6:$K6,MATCH(Z359,'状态价值'!$D$1:$K$1,0)))</f>
        <v/>
      </c>
      <c r="AB359" s="15">
        <f>NORM.S.INV(RAND())</f>
        <v/>
      </c>
      <c r="AC359" s="15">
        <f>IF('组合输入'!$C7="","",'组合输入'!$H7*$B359+SQRT(1-'组合输入'!$H7^2)*AB359)</f>
        <v/>
      </c>
      <c r="AD359" s="7">
        <f>IF(AC359="","",NORM.S.DIST(AC359,TRUE))</f>
        <v/>
      </c>
      <c r="AE359" s="13">
        <f>IF(AD359="","",IF(AD359&lt;='组合输入'!$K7,"AAA",IF(AD359&lt;='组合输入'!$L7,"AA",IF(AD359&lt;='组合输入'!$M7,"A",IF(AD359&lt;='组合输入'!$N7,"BBB",IF(AD359&lt;='组合输入'!$O7,"BB",IF(AD359&lt;='组合输入'!$P7,"B",IF(AD359&lt;='组合输入'!$Q7,"CCC","D")))))))</f>
        <v/>
      </c>
      <c r="AF359" s="12">
        <f>IF(AE359="","",INDEX('状态价值'!$D7:$K7,MATCH(AE359,'状态价值'!$D$1:$K$1,0)))</f>
        <v/>
      </c>
      <c r="AG359" s="15">
        <f>NORM.S.INV(RAND())</f>
        <v/>
      </c>
      <c r="AH359" s="15">
        <f>IF('组合输入'!$C8="","",'组合输入'!$H8*$B359+SQRT(1-'组合输入'!$H8^2)*AG359)</f>
        <v/>
      </c>
      <c r="AI359" s="7">
        <f>IF(AH359="","",NORM.S.DIST(AH359,TRUE))</f>
        <v/>
      </c>
      <c r="AJ359" s="13">
        <f>IF(AI359="","",IF(AI359&lt;='组合输入'!$K8,"AAA",IF(AI359&lt;='组合输入'!$L8,"AA",IF(AI359&lt;='组合输入'!$M8,"A",IF(AI359&lt;='组合输入'!$N8,"BBB",IF(AI359&lt;='组合输入'!$O8,"BB",IF(AI359&lt;='组合输入'!$P8,"B",IF(AI359&lt;='组合输入'!$Q8,"CCC","D")))))))</f>
        <v/>
      </c>
      <c r="AK359" s="12">
        <f>IF(AJ359="","",INDEX('状态价值'!$D8:$K8,MATCH(AJ359,'状态价值'!$D$1:$K$1,0)))</f>
        <v/>
      </c>
      <c r="AL359" s="15">
        <f>NORM.S.INV(RAND())</f>
        <v/>
      </c>
      <c r="AM359" s="15">
        <f>IF('组合输入'!$C9="","",'组合输入'!$H9*$B359+SQRT(1-'组合输入'!$H9^2)*AL359)</f>
        <v/>
      </c>
      <c r="AN359" s="7">
        <f>IF(AM359="","",NORM.S.DIST(AM359,TRUE))</f>
        <v/>
      </c>
      <c r="AO359" s="13">
        <f>IF(AN359="","",IF(AN359&lt;='组合输入'!$K9,"AAA",IF(AN359&lt;='组合输入'!$L9,"AA",IF(AN359&lt;='组合输入'!$M9,"A",IF(AN359&lt;='组合输入'!$N9,"BBB",IF(AN359&lt;='组合输入'!$O9,"BB",IF(AN359&lt;='组合输入'!$P9,"B",IF(AN359&lt;='组合输入'!$Q9,"CCC","D")))))))</f>
        <v/>
      </c>
      <c r="AP359" s="12">
        <f>IF(AO359="","",INDEX('状态价值'!$D9:$K9,MATCH(AO359,'状态价值'!$D$1:$K$1,0)))</f>
        <v/>
      </c>
      <c r="AQ359" s="15">
        <f>NORM.S.INV(RAND())</f>
        <v/>
      </c>
      <c r="AR359" s="15">
        <f>IF('组合输入'!$C10="","",'组合输入'!$H10*$B359+SQRT(1-'组合输入'!$H10^2)*AQ359)</f>
        <v/>
      </c>
      <c r="AS359" s="7">
        <f>IF(AR359="","",NORM.S.DIST(AR359,TRUE))</f>
        <v/>
      </c>
      <c r="AT359" s="13">
        <f>IF(AS359="","",IF(AS359&lt;='组合输入'!$K10,"AAA",IF(AS359&lt;='组合输入'!$L10,"AA",IF(AS359&lt;='组合输入'!$M10,"A",IF(AS359&lt;='组合输入'!$N10,"BBB",IF(AS359&lt;='组合输入'!$O10,"BB",IF(AS359&lt;='组合输入'!$P10,"B",IF(AS359&lt;='组合输入'!$Q10,"CCC","D")))))))</f>
        <v/>
      </c>
      <c r="AU359" s="12">
        <f>IF(AT359="","",INDEX('状态价值'!$D10:$K10,MATCH(AT359,'状态价值'!$D$1:$K$1,0)))</f>
        <v/>
      </c>
      <c r="AV359" s="15">
        <f>NORM.S.INV(RAND())</f>
        <v/>
      </c>
      <c r="AW359" s="15">
        <f>IF('组合输入'!$C11="","",'组合输入'!$H11*$B359+SQRT(1-'组合输入'!$H11^2)*AV359)</f>
        <v/>
      </c>
      <c r="AX359" s="7">
        <f>IF(AW359="","",NORM.S.DIST(AW359,TRUE))</f>
        <v/>
      </c>
      <c r="AY359" s="13">
        <f>IF(AX359="","",IF(AX359&lt;='组合输入'!$K11,"AAA",IF(AX359&lt;='组合输入'!$L11,"AA",IF(AX359&lt;='组合输入'!$M11,"A",IF(AX359&lt;='组合输入'!$N11,"BBB",IF(AX359&lt;='组合输入'!$O11,"BB",IF(AX359&lt;='组合输入'!$P11,"B",IF(AX359&lt;='组合输入'!$Q11,"CCC","D")))))))</f>
        <v/>
      </c>
      <c r="AZ359" s="12">
        <f>IF(AY359="","",INDEX('状态价值'!$D11:$K11,MATCH(AY359,'状态价值'!$D$1:$K$1,0)))</f>
        <v/>
      </c>
      <c r="BA359" s="12">
        <f>G359+L359+Q359+V359+AA359+AF359+AK359+AP359+AU359+AZ359</f>
        <v/>
      </c>
      <c r="BB359" s="12">
        <f>SUM('组合输入'!$J$2:$J$11)-BA359</f>
        <v/>
      </c>
    </row>
    <row r="360">
      <c r="A360" s="11" t="n">
        <v>359</v>
      </c>
      <c r="B360" s="14">
        <f>NORM.S.INV(RAND())</f>
        <v/>
      </c>
      <c r="C360" s="14">
        <f>NORM.S.INV(RAND())</f>
        <v/>
      </c>
      <c r="D360" s="15">
        <f>IF('组合输入'!$C2="","",'组合输入'!$H2*$B360+SQRT(1-'组合输入'!$H2^2)*C360)</f>
        <v/>
      </c>
      <c r="E360" s="7">
        <f>IF(D360="","",NORM.S.DIST(D360,TRUE))</f>
        <v/>
      </c>
      <c r="F360" s="13">
        <f>IF(E360="","",IF(E360&lt;='组合输入'!$K2,"AAA",IF(E360&lt;='组合输入'!$L2,"AA",IF(E360&lt;='组合输入'!$M2,"A",IF(E360&lt;='组合输入'!$N2,"BBB",IF(E360&lt;='组合输入'!$O2,"BB",IF(E360&lt;='组合输入'!$P2,"B",IF(E360&lt;='组合输入'!$Q2,"CCC","D")))))))</f>
        <v/>
      </c>
      <c r="G360" s="12">
        <f>IF(F360="","",INDEX('状态价值'!$D2:$K2,MATCH(F360,'状态价值'!$D$1:$K$1,0)))</f>
        <v/>
      </c>
      <c r="H360" s="15">
        <f>NORM.S.INV(RAND())</f>
        <v/>
      </c>
      <c r="I360" s="15">
        <f>IF('组合输入'!$C3="","",'组合输入'!$H3*$B360+SQRT(1-'组合输入'!$H3^2)*H360)</f>
        <v/>
      </c>
      <c r="J360" s="7">
        <f>IF(I360="","",NORM.S.DIST(I360,TRUE))</f>
        <v/>
      </c>
      <c r="K360" s="13">
        <f>IF(J360="","",IF(J360&lt;='组合输入'!$K3,"AAA",IF(J360&lt;='组合输入'!$L3,"AA",IF(J360&lt;='组合输入'!$M3,"A",IF(J360&lt;='组合输入'!$N3,"BBB",IF(J360&lt;='组合输入'!$O3,"BB",IF(J360&lt;='组合输入'!$P3,"B",IF(J360&lt;='组合输入'!$Q3,"CCC","D")))))))</f>
        <v/>
      </c>
      <c r="L360" s="12">
        <f>IF(K360="","",INDEX('状态价值'!$D3:$K3,MATCH(K360,'状态价值'!$D$1:$K$1,0)))</f>
        <v/>
      </c>
      <c r="M360" s="15">
        <f>NORM.S.INV(RAND())</f>
        <v/>
      </c>
      <c r="N360" s="15">
        <f>IF('组合输入'!$C4="","",'组合输入'!$H4*$B360+SQRT(1-'组合输入'!$H4^2)*M360)</f>
        <v/>
      </c>
      <c r="O360" s="7">
        <f>IF(N360="","",NORM.S.DIST(N360,TRUE))</f>
        <v/>
      </c>
      <c r="P360" s="13">
        <f>IF(O360="","",IF(O360&lt;='组合输入'!$K4,"AAA",IF(O360&lt;='组合输入'!$L4,"AA",IF(O360&lt;='组合输入'!$M4,"A",IF(O360&lt;='组合输入'!$N4,"BBB",IF(O360&lt;='组合输入'!$O4,"BB",IF(O360&lt;='组合输入'!$P4,"B",IF(O360&lt;='组合输入'!$Q4,"CCC","D")))))))</f>
        <v/>
      </c>
      <c r="Q360" s="12">
        <f>IF(P360="","",INDEX('状态价值'!$D4:$K4,MATCH(P360,'状态价值'!$D$1:$K$1,0)))</f>
        <v/>
      </c>
      <c r="R360" s="15">
        <f>NORM.S.INV(RAND())</f>
        <v/>
      </c>
      <c r="S360" s="15">
        <f>IF('组合输入'!$C5="","",'组合输入'!$H5*$B360+SQRT(1-'组合输入'!$H5^2)*R360)</f>
        <v/>
      </c>
      <c r="T360" s="7">
        <f>IF(S360="","",NORM.S.DIST(S360,TRUE))</f>
        <v/>
      </c>
      <c r="U360" s="13">
        <f>IF(T360="","",IF(T360&lt;='组合输入'!$K5,"AAA",IF(T360&lt;='组合输入'!$L5,"AA",IF(T360&lt;='组合输入'!$M5,"A",IF(T360&lt;='组合输入'!$N5,"BBB",IF(T360&lt;='组合输入'!$O5,"BB",IF(T360&lt;='组合输入'!$P5,"B",IF(T360&lt;='组合输入'!$Q5,"CCC","D")))))))</f>
        <v/>
      </c>
      <c r="V360" s="12">
        <f>IF(U360="","",INDEX('状态价值'!$D5:$K5,MATCH(U360,'状态价值'!$D$1:$K$1,0)))</f>
        <v/>
      </c>
      <c r="W360" s="15">
        <f>NORM.S.INV(RAND())</f>
        <v/>
      </c>
      <c r="X360" s="15">
        <f>IF('组合输入'!$C6="","",'组合输入'!$H6*$B360+SQRT(1-'组合输入'!$H6^2)*W360)</f>
        <v/>
      </c>
      <c r="Y360" s="7">
        <f>IF(X360="","",NORM.S.DIST(X360,TRUE))</f>
        <v/>
      </c>
      <c r="Z360" s="13">
        <f>IF(Y360="","",IF(Y360&lt;='组合输入'!$K6,"AAA",IF(Y360&lt;='组合输入'!$L6,"AA",IF(Y360&lt;='组合输入'!$M6,"A",IF(Y360&lt;='组合输入'!$N6,"BBB",IF(Y360&lt;='组合输入'!$O6,"BB",IF(Y360&lt;='组合输入'!$P6,"B",IF(Y360&lt;='组合输入'!$Q6,"CCC","D")))))))</f>
        <v/>
      </c>
      <c r="AA360" s="12">
        <f>IF(Z360="","",INDEX('状态价值'!$D6:$K6,MATCH(Z360,'状态价值'!$D$1:$K$1,0)))</f>
        <v/>
      </c>
      <c r="AB360" s="15">
        <f>NORM.S.INV(RAND())</f>
        <v/>
      </c>
      <c r="AC360" s="15">
        <f>IF('组合输入'!$C7="","",'组合输入'!$H7*$B360+SQRT(1-'组合输入'!$H7^2)*AB360)</f>
        <v/>
      </c>
      <c r="AD360" s="7">
        <f>IF(AC360="","",NORM.S.DIST(AC360,TRUE))</f>
        <v/>
      </c>
      <c r="AE360" s="13">
        <f>IF(AD360="","",IF(AD360&lt;='组合输入'!$K7,"AAA",IF(AD360&lt;='组合输入'!$L7,"AA",IF(AD360&lt;='组合输入'!$M7,"A",IF(AD360&lt;='组合输入'!$N7,"BBB",IF(AD360&lt;='组合输入'!$O7,"BB",IF(AD360&lt;='组合输入'!$P7,"B",IF(AD360&lt;='组合输入'!$Q7,"CCC","D")))))))</f>
        <v/>
      </c>
      <c r="AF360" s="12">
        <f>IF(AE360="","",INDEX('状态价值'!$D7:$K7,MATCH(AE360,'状态价值'!$D$1:$K$1,0)))</f>
        <v/>
      </c>
      <c r="AG360" s="15">
        <f>NORM.S.INV(RAND())</f>
        <v/>
      </c>
      <c r="AH360" s="15">
        <f>IF('组合输入'!$C8="","",'组合输入'!$H8*$B360+SQRT(1-'组合输入'!$H8^2)*AG360)</f>
        <v/>
      </c>
      <c r="AI360" s="7">
        <f>IF(AH360="","",NORM.S.DIST(AH360,TRUE))</f>
        <v/>
      </c>
      <c r="AJ360" s="13">
        <f>IF(AI360="","",IF(AI360&lt;='组合输入'!$K8,"AAA",IF(AI360&lt;='组合输入'!$L8,"AA",IF(AI360&lt;='组合输入'!$M8,"A",IF(AI360&lt;='组合输入'!$N8,"BBB",IF(AI360&lt;='组合输入'!$O8,"BB",IF(AI360&lt;='组合输入'!$P8,"B",IF(AI360&lt;='组合输入'!$Q8,"CCC","D")))))))</f>
        <v/>
      </c>
      <c r="AK360" s="12">
        <f>IF(AJ360="","",INDEX('状态价值'!$D8:$K8,MATCH(AJ360,'状态价值'!$D$1:$K$1,0)))</f>
        <v/>
      </c>
      <c r="AL360" s="15">
        <f>NORM.S.INV(RAND())</f>
        <v/>
      </c>
      <c r="AM360" s="15">
        <f>IF('组合输入'!$C9="","",'组合输入'!$H9*$B360+SQRT(1-'组合输入'!$H9^2)*AL360)</f>
        <v/>
      </c>
      <c r="AN360" s="7">
        <f>IF(AM360="","",NORM.S.DIST(AM360,TRUE))</f>
        <v/>
      </c>
      <c r="AO360" s="13">
        <f>IF(AN360="","",IF(AN360&lt;='组合输入'!$K9,"AAA",IF(AN360&lt;='组合输入'!$L9,"AA",IF(AN360&lt;='组合输入'!$M9,"A",IF(AN360&lt;='组合输入'!$N9,"BBB",IF(AN360&lt;='组合输入'!$O9,"BB",IF(AN360&lt;='组合输入'!$P9,"B",IF(AN360&lt;='组合输入'!$Q9,"CCC","D")))))))</f>
        <v/>
      </c>
      <c r="AP360" s="12">
        <f>IF(AO360="","",INDEX('状态价值'!$D9:$K9,MATCH(AO360,'状态价值'!$D$1:$K$1,0)))</f>
        <v/>
      </c>
      <c r="AQ360" s="15">
        <f>NORM.S.INV(RAND())</f>
        <v/>
      </c>
      <c r="AR360" s="15">
        <f>IF('组合输入'!$C10="","",'组合输入'!$H10*$B360+SQRT(1-'组合输入'!$H10^2)*AQ360)</f>
        <v/>
      </c>
      <c r="AS360" s="7">
        <f>IF(AR360="","",NORM.S.DIST(AR360,TRUE))</f>
        <v/>
      </c>
      <c r="AT360" s="13">
        <f>IF(AS360="","",IF(AS360&lt;='组合输入'!$K10,"AAA",IF(AS360&lt;='组合输入'!$L10,"AA",IF(AS360&lt;='组合输入'!$M10,"A",IF(AS360&lt;='组合输入'!$N10,"BBB",IF(AS360&lt;='组合输入'!$O10,"BB",IF(AS360&lt;='组合输入'!$P10,"B",IF(AS360&lt;='组合输入'!$Q10,"CCC","D")))))))</f>
        <v/>
      </c>
      <c r="AU360" s="12">
        <f>IF(AT360="","",INDEX('状态价值'!$D10:$K10,MATCH(AT360,'状态价值'!$D$1:$K$1,0)))</f>
        <v/>
      </c>
      <c r="AV360" s="15">
        <f>NORM.S.INV(RAND())</f>
        <v/>
      </c>
      <c r="AW360" s="15">
        <f>IF('组合输入'!$C11="","",'组合输入'!$H11*$B360+SQRT(1-'组合输入'!$H11^2)*AV360)</f>
        <v/>
      </c>
      <c r="AX360" s="7">
        <f>IF(AW360="","",NORM.S.DIST(AW360,TRUE))</f>
        <v/>
      </c>
      <c r="AY360" s="13">
        <f>IF(AX360="","",IF(AX360&lt;='组合输入'!$K11,"AAA",IF(AX360&lt;='组合输入'!$L11,"AA",IF(AX360&lt;='组合输入'!$M11,"A",IF(AX360&lt;='组合输入'!$N11,"BBB",IF(AX360&lt;='组合输入'!$O11,"BB",IF(AX360&lt;='组合输入'!$P11,"B",IF(AX360&lt;='组合输入'!$Q11,"CCC","D")))))))</f>
        <v/>
      </c>
      <c r="AZ360" s="12">
        <f>IF(AY360="","",INDEX('状态价值'!$D11:$K11,MATCH(AY360,'状态价值'!$D$1:$K$1,0)))</f>
        <v/>
      </c>
      <c r="BA360" s="12">
        <f>G360+L360+Q360+V360+AA360+AF360+AK360+AP360+AU360+AZ360</f>
        <v/>
      </c>
      <c r="BB360" s="12">
        <f>SUM('组合输入'!$J$2:$J$11)-BA360</f>
        <v/>
      </c>
    </row>
    <row r="361">
      <c r="A361" s="11" t="n">
        <v>360</v>
      </c>
      <c r="B361" s="14">
        <f>NORM.S.INV(RAND())</f>
        <v/>
      </c>
      <c r="C361" s="14">
        <f>NORM.S.INV(RAND())</f>
        <v/>
      </c>
      <c r="D361" s="15">
        <f>IF('组合输入'!$C2="","",'组合输入'!$H2*$B361+SQRT(1-'组合输入'!$H2^2)*C361)</f>
        <v/>
      </c>
      <c r="E361" s="7">
        <f>IF(D361="","",NORM.S.DIST(D361,TRUE))</f>
        <v/>
      </c>
      <c r="F361" s="13">
        <f>IF(E361="","",IF(E361&lt;='组合输入'!$K2,"AAA",IF(E361&lt;='组合输入'!$L2,"AA",IF(E361&lt;='组合输入'!$M2,"A",IF(E361&lt;='组合输入'!$N2,"BBB",IF(E361&lt;='组合输入'!$O2,"BB",IF(E361&lt;='组合输入'!$P2,"B",IF(E361&lt;='组合输入'!$Q2,"CCC","D")))))))</f>
        <v/>
      </c>
      <c r="G361" s="12">
        <f>IF(F361="","",INDEX('状态价值'!$D2:$K2,MATCH(F361,'状态价值'!$D$1:$K$1,0)))</f>
        <v/>
      </c>
      <c r="H361" s="15">
        <f>NORM.S.INV(RAND())</f>
        <v/>
      </c>
      <c r="I361" s="15">
        <f>IF('组合输入'!$C3="","",'组合输入'!$H3*$B361+SQRT(1-'组合输入'!$H3^2)*H361)</f>
        <v/>
      </c>
      <c r="J361" s="7">
        <f>IF(I361="","",NORM.S.DIST(I361,TRUE))</f>
        <v/>
      </c>
      <c r="K361" s="13">
        <f>IF(J361="","",IF(J361&lt;='组合输入'!$K3,"AAA",IF(J361&lt;='组合输入'!$L3,"AA",IF(J361&lt;='组合输入'!$M3,"A",IF(J361&lt;='组合输入'!$N3,"BBB",IF(J361&lt;='组合输入'!$O3,"BB",IF(J361&lt;='组合输入'!$P3,"B",IF(J361&lt;='组合输入'!$Q3,"CCC","D")))))))</f>
        <v/>
      </c>
      <c r="L361" s="12">
        <f>IF(K361="","",INDEX('状态价值'!$D3:$K3,MATCH(K361,'状态价值'!$D$1:$K$1,0)))</f>
        <v/>
      </c>
      <c r="M361" s="15">
        <f>NORM.S.INV(RAND())</f>
        <v/>
      </c>
      <c r="N361" s="15">
        <f>IF('组合输入'!$C4="","",'组合输入'!$H4*$B361+SQRT(1-'组合输入'!$H4^2)*M361)</f>
        <v/>
      </c>
      <c r="O361" s="7">
        <f>IF(N361="","",NORM.S.DIST(N361,TRUE))</f>
        <v/>
      </c>
      <c r="P361" s="13">
        <f>IF(O361="","",IF(O361&lt;='组合输入'!$K4,"AAA",IF(O361&lt;='组合输入'!$L4,"AA",IF(O361&lt;='组合输入'!$M4,"A",IF(O361&lt;='组合输入'!$N4,"BBB",IF(O361&lt;='组合输入'!$O4,"BB",IF(O361&lt;='组合输入'!$P4,"B",IF(O361&lt;='组合输入'!$Q4,"CCC","D")))))))</f>
        <v/>
      </c>
      <c r="Q361" s="12">
        <f>IF(P361="","",INDEX('状态价值'!$D4:$K4,MATCH(P361,'状态价值'!$D$1:$K$1,0)))</f>
        <v/>
      </c>
      <c r="R361" s="15">
        <f>NORM.S.INV(RAND())</f>
        <v/>
      </c>
      <c r="S361" s="15">
        <f>IF('组合输入'!$C5="","",'组合输入'!$H5*$B361+SQRT(1-'组合输入'!$H5^2)*R361)</f>
        <v/>
      </c>
      <c r="T361" s="7">
        <f>IF(S361="","",NORM.S.DIST(S361,TRUE))</f>
        <v/>
      </c>
      <c r="U361" s="13">
        <f>IF(T361="","",IF(T361&lt;='组合输入'!$K5,"AAA",IF(T361&lt;='组合输入'!$L5,"AA",IF(T361&lt;='组合输入'!$M5,"A",IF(T361&lt;='组合输入'!$N5,"BBB",IF(T361&lt;='组合输入'!$O5,"BB",IF(T361&lt;='组合输入'!$P5,"B",IF(T361&lt;='组合输入'!$Q5,"CCC","D")))))))</f>
        <v/>
      </c>
      <c r="V361" s="12">
        <f>IF(U361="","",INDEX('状态价值'!$D5:$K5,MATCH(U361,'状态价值'!$D$1:$K$1,0)))</f>
        <v/>
      </c>
      <c r="W361" s="15">
        <f>NORM.S.INV(RAND())</f>
        <v/>
      </c>
      <c r="X361" s="15">
        <f>IF('组合输入'!$C6="","",'组合输入'!$H6*$B361+SQRT(1-'组合输入'!$H6^2)*W361)</f>
        <v/>
      </c>
      <c r="Y361" s="7">
        <f>IF(X361="","",NORM.S.DIST(X361,TRUE))</f>
        <v/>
      </c>
      <c r="Z361" s="13">
        <f>IF(Y361="","",IF(Y361&lt;='组合输入'!$K6,"AAA",IF(Y361&lt;='组合输入'!$L6,"AA",IF(Y361&lt;='组合输入'!$M6,"A",IF(Y361&lt;='组合输入'!$N6,"BBB",IF(Y361&lt;='组合输入'!$O6,"BB",IF(Y361&lt;='组合输入'!$P6,"B",IF(Y361&lt;='组合输入'!$Q6,"CCC","D")))))))</f>
        <v/>
      </c>
      <c r="AA361" s="12">
        <f>IF(Z361="","",INDEX('状态价值'!$D6:$K6,MATCH(Z361,'状态价值'!$D$1:$K$1,0)))</f>
        <v/>
      </c>
      <c r="AB361" s="15">
        <f>NORM.S.INV(RAND())</f>
        <v/>
      </c>
      <c r="AC361" s="15">
        <f>IF('组合输入'!$C7="","",'组合输入'!$H7*$B361+SQRT(1-'组合输入'!$H7^2)*AB361)</f>
        <v/>
      </c>
      <c r="AD361" s="7">
        <f>IF(AC361="","",NORM.S.DIST(AC361,TRUE))</f>
        <v/>
      </c>
      <c r="AE361" s="13">
        <f>IF(AD361="","",IF(AD361&lt;='组合输入'!$K7,"AAA",IF(AD361&lt;='组合输入'!$L7,"AA",IF(AD361&lt;='组合输入'!$M7,"A",IF(AD361&lt;='组合输入'!$N7,"BBB",IF(AD361&lt;='组合输入'!$O7,"BB",IF(AD361&lt;='组合输入'!$P7,"B",IF(AD361&lt;='组合输入'!$Q7,"CCC","D")))))))</f>
        <v/>
      </c>
      <c r="AF361" s="12">
        <f>IF(AE361="","",INDEX('状态价值'!$D7:$K7,MATCH(AE361,'状态价值'!$D$1:$K$1,0)))</f>
        <v/>
      </c>
      <c r="AG361" s="15">
        <f>NORM.S.INV(RAND())</f>
        <v/>
      </c>
      <c r="AH361" s="15">
        <f>IF('组合输入'!$C8="","",'组合输入'!$H8*$B361+SQRT(1-'组合输入'!$H8^2)*AG361)</f>
        <v/>
      </c>
      <c r="AI361" s="7">
        <f>IF(AH361="","",NORM.S.DIST(AH361,TRUE))</f>
        <v/>
      </c>
      <c r="AJ361" s="13">
        <f>IF(AI361="","",IF(AI361&lt;='组合输入'!$K8,"AAA",IF(AI361&lt;='组合输入'!$L8,"AA",IF(AI361&lt;='组合输入'!$M8,"A",IF(AI361&lt;='组合输入'!$N8,"BBB",IF(AI361&lt;='组合输入'!$O8,"BB",IF(AI361&lt;='组合输入'!$P8,"B",IF(AI361&lt;='组合输入'!$Q8,"CCC","D")))))))</f>
        <v/>
      </c>
      <c r="AK361" s="12">
        <f>IF(AJ361="","",INDEX('状态价值'!$D8:$K8,MATCH(AJ361,'状态价值'!$D$1:$K$1,0)))</f>
        <v/>
      </c>
      <c r="AL361" s="15">
        <f>NORM.S.INV(RAND())</f>
        <v/>
      </c>
      <c r="AM361" s="15">
        <f>IF('组合输入'!$C9="","",'组合输入'!$H9*$B361+SQRT(1-'组合输入'!$H9^2)*AL361)</f>
        <v/>
      </c>
      <c r="AN361" s="7">
        <f>IF(AM361="","",NORM.S.DIST(AM361,TRUE))</f>
        <v/>
      </c>
      <c r="AO361" s="13">
        <f>IF(AN361="","",IF(AN361&lt;='组合输入'!$K9,"AAA",IF(AN361&lt;='组合输入'!$L9,"AA",IF(AN361&lt;='组合输入'!$M9,"A",IF(AN361&lt;='组合输入'!$N9,"BBB",IF(AN361&lt;='组合输入'!$O9,"BB",IF(AN361&lt;='组合输入'!$P9,"B",IF(AN361&lt;='组合输入'!$Q9,"CCC","D")))))))</f>
        <v/>
      </c>
      <c r="AP361" s="12">
        <f>IF(AO361="","",INDEX('状态价值'!$D9:$K9,MATCH(AO361,'状态价值'!$D$1:$K$1,0)))</f>
        <v/>
      </c>
      <c r="AQ361" s="15">
        <f>NORM.S.INV(RAND())</f>
        <v/>
      </c>
      <c r="AR361" s="15">
        <f>IF('组合输入'!$C10="","",'组合输入'!$H10*$B361+SQRT(1-'组合输入'!$H10^2)*AQ361)</f>
        <v/>
      </c>
      <c r="AS361" s="7">
        <f>IF(AR361="","",NORM.S.DIST(AR361,TRUE))</f>
        <v/>
      </c>
      <c r="AT361" s="13">
        <f>IF(AS361="","",IF(AS361&lt;='组合输入'!$K10,"AAA",IF(AS361&lt;='组合输入'!$L10,"AA",IF(AS361&lt;='组合输入'!$M10,"A",IF(AS361&lt;='组合输入'!$N10,"BBB",IF(AS361&lt;='组合输入'!$O10,"BB",IF(AS361&lt;='组合输入'!$P10,"B",IF(AS361&lt;='组合输入'!$Q10,"CCC","D")))))))</f>
        <v/>
      </c>
      <c r="AU361" s="12">
        <f>IF(AT361="","",INDEX('状态价值'!$D10:$K10,MATCH(AT361,'状态价值'!$D$1:$K$1,0)))</f>
        <v/>
      </c>
      <c r="AV361" s="15">
        <f>NORM.S.INV(RAND())</f>
        <v/>
      </c>
      <c r="AW361" s="15">
        <f>IF('组合输入'!$C11="","",'组合输入'!$H11*$B361+SQRT(1-'组合输入'!$H11^2)*AV361)</f>
        <v/>
      </c>
      <c r="AX361" s="7">
        <f>IF(AW361="","",NORM.S.DIST(AW361,TRUE))</f>
        <v/>
      </c>
      <c r="AY361" s="13">
        <f>IF(AX361="","",IF(AX361&lt;='组合输入'!$K11,"AAA",IF(AX361&lt;='组合输入'!$L11,"AA",IF(AX361&lt;='组合输入'!$M11,"A",IF(AX361&lt;='组合输入'!$N11,"BBB",IF(AX361&lt;='组合输入'!$O11,"BB",IF(AX361&lt;='组合输入'!$P11,"B",IF(AX361&lt;='组合输入'!$Q11,"CCC","D")))))))</f>
        <v/>
      </c>
      <c r="AZ361" s="12">
        <f>IF(AY361="","",INDEX('状态价值'!$D11:$K11,MATCH(AY361,'状态价值'!$D$1:$K$1,0)))</f>
        <v/>
      </c>
      <c r="BA361" s="12">
        <f>G361+L361+Q361+V361+AA361+AF361+AK361+AP361+AU361+AZ361</f>
        <v/>
      </c>
      <c r="BB361" s="12">
        <f>SUM('组合输入'!$J$2:$J$11)-BA361</f>
        <v/>
      </c>
    </row>
    <row r="362">
      <c r="A362" s="11" t="n">
        <v>361</v>
      </c>
      <c r="B362" s="14">
        <f>NORM.S.INV(RAND())</f>
        <v/>
      </c>
      <c r="C362" s="14">
        <f>NORM.S.INV(RAND())</f>
        <v/>
      </c>
      <c r="D362" s="15">
        <f>IF('组合输入'!$C2="","",'组合输入'!$H2*$B362+SQRT(1-'组合输入'!$H2^2)*C362)</f>
        <v/>
      </c>
      <c r="E362" s="7">
        <f>IF(D362="","",NORM.S.DIST(D362,TRUE))</f>
        <v/>
      </c>
      <c r="F362" s="13">
        <f>IF(E362="","",IF(E362&lt;='组合输入'!$K2,"AAA",IF(E362&lt;='组合输入'!$L2,"AA",IF(E362&lt;='组合输入'!$M2,"A",IF(E362&lt;='组合输入'!$N2,"BBB",IF(E362&lt;='组合输入'!$O2,"BB",IF(E362&lt;='组合输入'!$P2,"B",IF(E362&lt;='组合输入'!$Q2,"CCC","D")))))))</f>
        <v/>
      </c>
      <c r="G362" s="12">
        <f>IF(F362="","",INDEX('状态价值'!$D2:$K2,MATCH(F362,'状态价值'!$D$1:$K$1,0)))</f>
        <v/>
      </c>
      <c r="H362" s="15">
        <f>NORM.S.INV(RAND())</f>
        <v/>
      </c>
      <c r="I362" s="15">
        <f>IF('组合输入'!$C3="","",'组合输入'!$H3*$B362+SQRT(1-'组合输入'!$H3^2)*H362)</f>
        <v/>
      </c>
      <c r="J362" s="7">
        <f>IF(I362="","",NORM.S.DIST(I362,TRUE))</f>
        <v/>
      </c>
      <c r="K362" s="13">
        <f>IF(J362="","",IF(J362&lt;='组合输入'!$K3,"AAA",IF(J362&lt;='组合输入'!$L3,"AA",IF(J362&lt;='组合输入'!$M3,"A",IF(J362&lt;='组合输入'!$N3,"BBB",IF(J362&lt;='组合输入'!$O3,"BB",IF(J362&lt;='组合输入'!$P3,"B",IF(J362&lt;='组合输入'!$Q3,"CCC","D")))))))</f>
        <v/>
      </c>
      <c r="L362" s="12">
        <f>IF(K362="","",INDEX('状态价值'!$D3:$K3,MATCH(K362,'状态价值'!$D$1:$K$1,0)))</f>
        <v/>
      </c>
      <c r="M362" s="15">
        <f>NORM.S.INV(RAND())</f>
        <v/>
      </c>
      <c r="N362" s="15">
        <f>IF('组合输入'!$C4="","",'组合输入'!$H4*$B362+SQRT(1-'组合输入'!$H4^2)*M362)</f>
        <v/>
      </c>
      <c r="O362" s="7">
        <f>IF(N362="","",NORM.S.DIST(N362,TRUE))</f>
        <v/>
      </c>
      <c r="P362" s="13">
        <f>IF(O362="","",IF(O362&lt;='组合输入'!$K4,"AAA",IF(O362&lt;='组合输入'!$L4,"AA",IF(O362&lt;='组合输入'!$M4,"A",IF(O362&lt;='组合输入'!$N4,"BBB",IF(O362&lt;='组合输入'!$O4,"BB",IF(O362&lt;='组合输入'!$P4,"B",IF(O362&lt;='组合输入'!$Q4,"CCC","D")))))))</f>
        <v/>
      </c>
      <c r="Q362" s="12">
        <f>IF(P362="","",INDEX('状态价值'!$D4:$K4,MATCH(P362,'状态价值'!$D$1:$K$1,0)))</f>
        <v/>
      </c>
      <c r="R362" s="15">
        <f>NORM.S.INV(RAND())</f>
        <v/>
      </c>
      <c r="S362" s="15">
        <f>IF('组合输入'!$C5="","",'组合输入'!$H5*$B362+SQRT(1-'组合输入'!$H5^2)*R362)</f>
        <v/>
      </c>
      <c r="T362" s="7">
        <f>IF(S362="","",NORM.S.DIST(S362,TRUE))</f>
        <v/>
      </c>
      <c r="U362" s="13">
        <f>IF(T362="","",IF(T362&lt;='组合输入'!$K5,"AAA",IF(T362&lt;='组合输入'!$L5,"AA",IF(T362&lt;='组合输入'!$M5,"A",IF(T362&lt;='组合输入'!$N5,"BBB",IF(T362&lt;='组合输入'!$O5,"BB",IF(T362&lt;='组合输入'!$P5,"B",IF(T362&lt;='组合输入'!$Q5,"CCC","D")))))))</f>
        <v/>
      </c>
      <c r="V362" s="12">
        <f>IF(U362="","",INDEX('状态价值'!$D5:$K5,MATCH(U362,'状态价值'!$D$1:$K$1,0)))</f>
        <v/>
      </c>
      <c r="W362" s="15">
        <f>NORM.S.INV(RAND())</f>
        <v/>
      </c>
      <c r="X362" s="15">
        <f>IF('组合输入'!$C6="","",'组合输入'!$H6*$B362+SQRT(1-'组合输入'!$H6^2)*W362)</f>
        <v/>
      </c>
      <c r="Y362" s="7">
        <f>IF(X362="","",NORM.S.DIST(X362,TRUE))</f>
        <v/>
      </c>
      <c r="Z362" s="13">
        <f>IF(Y362="","",IF(Y362&lt;='组合输入'!$K6,"AAA",IF(Y362&lt;='组合输入'!$L6,"AA",IF(Y362&lt;='组合输入'!$M6,"A",IF(Y362&lt;='组合输入'!$N6,"BBB",IF(Y362&lt;='组合输入'!$O6,"BB",IF(Y362&lt;='组合输入'!$P6,"B",IF(Y362&lt;='组合输入'!$Q6,"CCC","D")))))))</f>
        <v/>
      </c>
      <c r="AA362" s="12">
        <f>IF(Z362="","",INDEX('状态价值'!$D6:$K6,MATCH(Z362,'状态价值'!$D$1:$K$1,0)))</f>
        <v/>
      </c>
      <c r="AB362" s="15">
        <f>NORM.S.INV(RAND())</f>
        <v/>
      </c>
      <c r="AC362" s="15">
        <f>IF('组合输入'!$C7="","",'组合输入'!$H7*$B362+SQRT(1-'组合输入'!$H7^2)*AB362)</f>
        <v/>
      </c>
      <c r="AD362" s="7">
        <f>IF(AC362="","",NORM.S.DIST(AC362,TRUE))</f>
        <v/>
      </c>
      <c r="AE362" s="13">
        <f>IF(AD362="","",IF(AD362&lt;='组合输入'!$K7,"AAA",IF(AD362&lt;='组合输入'!$L7,"AA",IF(AD362&lt;='组合输入'!$M7,"A",IF(AD362&lt;='组合输入'!$N7,"BBB",IF(AD362&lt;='组合输入'!$O7,"BB",IF(AD362&lt;='组合输入'!$P7,"B",IF(AD362&lt;='组合输入'!$Q7,"CCC","D")))))))</f>
        <v/>
      </c>
      <c r="AF362" s="12">
        <f>IF(AE362="","",INDEX('状态价值'!$D7:$K7,MATCH(AE362,'状态价值'!$D$1:$K$1,0)))</f>
        <v/>
      </c>
      <c r="AG362" s="15">
        <f>NORM.S.INV(RAND())</f>
        <v/>
      </c>
      <c r="AH362" s="15">
        <f>IF('组合输入'!$C8="","",'组合输入'!$H8*$B362+SQRT(1-'组合输入'!$H8^2)*AG362)</f>
        <v/>
      </c>
      <c r="AI362" s="7">
        <f>IF(AH362="","",NORM.S.DIST(AH362,TRUE))</f>
        <v/>
      </c>
      <c r="AJ362" s="13">
        <f>IF(AI362="","",IF(AI362&lt;='组合输入'!$K8,"AAA",IF(AI362&lt;='组合输入'!$L8,"AA",IF(AI362&lt;='组合输入'!$M8,"A",IF(AI362&lt;='组合输入'!$N8,"BBB",IF(AI362&lt;='组合输入'!$O8,"BB",IF(AI362&lt;='组合输入'!$P8,"B",IF(AI362&lt;='组合输入'!$Q8,"CCC","D")))))))</f>
        <v/>
      </c>
      <c r="AK362" s="12">
        <f>IF(AJ362="","",INDEX('状态价值'!$D8:$K8,MATCH(AJ362,'状态价值'!$D$1:$K$1,0)))</f>
        <v/>
      </c>
      <c r="AL362" s="15">
        <f>NORM.S.INV(RAND())</f>
        <v/>
      </c>
      <c r="AM362" s="15">
        <f>IF('组合输入'!$C9="","",'组合输入'!$H9*$B362+SQRT(1-'组合输入'!$H9^2)*AL362)</f>
        <v/>
      </c>
      <c r="AN362" s="7">
        <f>IF(AM362="","",NORM.S.DIST(AM362,TRUE))</f>
        <v/>
      </c>
      <c r="AO362" s="13">
        <f>IF(AN362="","",IF(AN362&lt;='组合输入'!$K9,"AAA",IF(AN362&lt;='组合输入'!$L9,"AA",IF(AN362&lt;='组合输入'!$M9,"A",IF(AN362&lt;='组合输入'!$N9,"BBB",IF(AN362&lt;='组合输入'!$O9,"BB",IF(AN362&lt;='组合输入'!$P9,"B",IF(AN362&lt;='组合输入'!$Q9,"CCC","D")))))))</f>
        <v/>
      </c>
      <c r="AP362" s="12">
        <f>IF(AO362="","",INDEX('状态价值'!$D9:$K9,MATCH(AO362,'状态价值'!$D$1:$K$1,0)))</f>
        <v/>
      </c>
      <c r="AQ362" s="15">
        <f>NORM.S.INV(RAND())</f>
        <v/>
      </c>
      <c r="AR362" s="15">
        <f>IF('组合输入'!$C10="","",'组合输入'!$H10*$B362+SQRT(1-'组合输入'!$H10^2)*AQ362)</f>
        <v/>
      </c>
      <c r="AS362" s="7">
        <f>IF(AR362="","",NORM.S.DIST(AR362,TRUE))</f>
        <v/>
      </c>
      <c r="AT362" s="13">
        <f>IF(AS362="","",IF(AS362&lt;='组合输入'!$K10,"AAA",IF(AS362&lt;='组合输入'!$L10,"AA",IF(AS362&lt;='组合输入'!$M10,"A",IF(AS362&lt;='组合输入'!$N10,"BBB",IF(AS362&lt;='组合输入'!$O10,"BB",IF(AS362&lt;='组合输入'!$P10,"B",IF(AS362&lt;='组合输入'!$Q10,"CCC","D")))))))</f>
        <v/>
      </c>
      <c r="AU362" s="12">
        <f>IF(AT362="","",INDEX('状态价值'!$D10:$K10,MATCH(AT362,'状态价值'!$D$1:$K$1,0)))</f>
        <v/>
      </c>
      <c r="AV362" s="15">
        <f>NORM.S.INV(RAND())</f>
        <v/>
      </c>
      <c r="AW362" s="15">
        <f>IF('组合输入'!$C11="","",'组合输入'!$H11*$B362+SQRT(1-'组合输入'!$H11^2)*AV362)</f>
        <v/>
      </c>
      <c r="AX362" s="7">
        <f>IF(AW362="","",NORM.S.DIST(AW362,TRUE))</f>
        <v/>
      </c>
      <c r="AY362" s="13">
        <f>IF(AX362="","",IF(AX362&lt;='组合输入'!$K11,"AAA",IF(AX362&lt;='组合输入'!$L11,"AA",IF(AX362&lt;='组合输入'!$M11,"A",IF(AX362&lt;='组合输入'!$N11,"BBB",IF(AX362&lt;='组合输入'!$O11,"BB",IF(AX362&lt;='组合输入'!$P11,"B",IF(AX362&lt;='组合输入'!$Q11,"CCC","D")))))))</f>
        <v/>
      </c>
      <c r="AZ362" s="12">
        <f>IF(AY362="","",INDEX('状态价值'!$D11:$K11,MATCH(AY362,'状态价值'!$D$1:$K$1,0)))</f>
        <v/>
      </c>
      <c r="BA362" s="12">
        <f>G362+L362+Q362+V362+AA362+AF362+AK362+AP362+AU362+AZ362</f>
        <v/>
      </c>
      <c r="BB362" s="12">
        <f>SUM('组合输入'!$J$2:$J$11)-BA362</f>
        <v/>
      </c>
    </row>
    <row r="363">
      <c r="A363" s="11" t="n">
        <v>362</v>
      </c>
      <c r="B363" s="14">
        <f>NORM.S.INV(RAND())</f>
        <v/>
      </c>
      <c r="C363" s="14">
        <f>NORM.S.INV(RAND())</f>
        <v/>
      </c>
      <c r="D363" s="15">
        <f>IF('组合输入'!$C2="","",'组合输入'!$H2*$B363+SQRT(1-'组合输入'!$H2^2)*C363)</f>
        <v/>
      </c>
      <c r="E363" s="7">
        <f>IF(D363="","",NORM.S.DIST(D363,TRUE))</f>
        <v/>
      </c>
      <c r="F363" s="13">
        <f>IF(E363="","",IF(E363&lt;='组合输入'!$K2,"AAA",IF(E363&lt;='组合输入'!$L2,"AA",IF(E363&lt;='组合输入'!$M2,"A",IF(E363&lt;='组合输入'!$N2,"BBB",IF(E363&lt;='组合输入'!$O2,"BB",IF(E363&lt;='组合输入'!$P2,"B",IF(E363&lt;='组合输入'!$Q2,"CCC","D")))))))</f>
        <v/>
      </c>
      <c r="G363" s="12">
        <f>IF(F363="","",INDEX('状态价值'!$D2:$K2,MATCH(F363,'状态价值'!$D$1:$K$1,0)))</f>
        <v/>
      </c>
      <c r="H363" s="15">
        <f>NORM.S.INV(RAND())</f>
        <v/>
      </c>
      <c r="I363" s="15">
        <f>IF('组合输入'!$C3="","",'组合输入'!$H3*$B363+SQRT(1-'组合输入'!$H3^2)*H363)</f>
        <v/>
      </c>
      <c r="J363" s="7">
        <f>IF(I363="","",NORM.S.DIST(I363,TRUE))</f>
        <v/>
      </c>
      <c r="K363" s="13">
        <f>IF(J363="","",IF(J363&lt;='组合输入'!$K3,"AAA",IF(J363&lt;='组合输入'!$L3,"AA",IF(J363&lt;='组合输入'!$M3,"A",IF(J363&lt;='组合输入'!$N3,"BBB",IF(J363&lt;='组合输入'!$O3,"BB",IF(J363&lt;='组合输入'!$P3,"B",IF(J363&lt;='组合输入'!$Q3,"CCC","D")))))))</f>
        <v/>
      </c>
      <c r="L363" s="12">
        <f>IF(K363="","",INDEX('状态价值'!$D3:$K3,MATCH(K363,'状态价值'!$D$1:$K$1,0)))</f>
        <v/>
      </c>
      <c r="M363" s="15">
        <f>NORM.S.INV(RAND())</f>
        <v/>
      </c>
      <c r="N363" s="15">
        <f>IF('组合输入'!$C4="","",'组合输入'!$H4*$B363+SQRT(1-'组合输入'!$H4^2)*M363)</f>
        <v/>
      </c>
      <c r="O363" s="7">
        <f>IF(N363="","",NORM.S.DIST(N363,TRUE))</f>
        <v/>
      </c>
      <c r="P363" s="13">
        <f>IF(O363="","",IF(O363&lt;='组合输入'!$K4,"AAA",IF(O363&lt;='组合输入'!$L4,"AA",IF(O363&lt;='组合输入'!$M4,"A",IF(O363&lt;='组合输入'!$N4,"BBB",IF(O363&lt;='组合输入'!$O4,"BB",IF(O363&lt;='组合输入'!$P4,"B",IF(O363&lt;='组合输入'!$Q4,"CCC","D")))))))</f>
        <v/>
      </c>
      <c r="Q363" s="12">
        <f>IF(P363="","",INDEX('状态价值'!$D4:$K4,MATCH(P363,'状态价值'!$D$1:$K$1,0)))</f>
        <v/>
      </c>
      <c r="R363" s="15">
        <f>NORM.S.INV(RAND())</f>
        <v/>
      </c>
      <c r="S363" s="15">
        <f>IF('组合输入'!$C5="","",'组合输入'!$H5*$B363+SQRT(1-'组合输入'!$H5^2)*R363)</f>
        <v/>
      </c>
      <c r="T363" s="7">
        <f>IF(S363="","",NORM.S.DIST(S363,TRUE))</f>
        <v/>
      </c>
      <c r="U363" s="13">
        <f>IF(T363="","",IF(T363&lt;='组合输入'!$K5,"AAA",IF(T363&lt;='组合输入'!$L5,"AA",IF(T363&lt;='组合输入'!$M5,"A",IF(T363&lt;='组合输入'!$N5,"BBB",IF(T363&lt;='组合输入'!$O5,"BB",IF(T363&lt;='组合输入'!$P5,"B",IF(T363&lt;='组合输入'!$Q5,"CCC","D")))))))</f>
        <v/>
      </c>
      <c r="V363" s="12">
        <f>IF(U363="","",INDEX('状态价值'!$D5:$K5,MATCH(U363,'状态价值'!$D$1:$K$1,0)))</f>
        <v/>
      </c>
      <c r="W363" s="15">
        <f>NORM.S.INV(RAND())</f>
        <v/>
      </c>
      <c r="X363" s="15">
        <f>IF('组合输入'!$C6="","",'组合输入'!$H6*$B363+SQRT(1-'组合输入'!$H6^2)*W363)</f>
        <v/>
      </c>
      <c r="Y363" s="7">
        <f>IF(X363="","",NORM.S.DIST(X363,TRUE))</f>
        <v/>
      </c>
      <c r="Z363" s="13">
        <f>IF(Y363="","",IF(Y363&lt;='组合输入'!$K6,"AAA",IF(Y363&lt;='组合输入'!$L6,"AA",IF(Y363&lt;='组合输入'!$M6,"A",IF(Y363&lt;='组合输入'!$N6,"BBB",IF(Y363&lt;='组合输入'!$O6,"BB",IF(Y363&lt;='组合输入'!$P6,"B",IF(Y363&lt;='组合输入'!$Q6,"CCC","D")))))))</f>
        <v/>
      </c>
      <c r="AA363" s="12">
        <f>IF(Z363="","",INDEX('状态价值'!$D6:$K6,MATCH(Z363,'状态价值'!$D$1:$K$1,0)))</f>
        <v/>
      </c>
      <c r="AB363" s="15">
        <f>NORM.S.INV(RAND())</f>
        <v/>
      </c>
      <c r="AC363" s="15">
        <f>IF('组合输入'!$C7="","",'组合输入'!$H7*$B363+SQRT(1-'组合输入'!$H7^2)*AB363)</f>
        <v/>
      </c>
      <c r="AD363" s="7">
        <f>IF(AC363="","",NORM.S.DIST(AC363,TRUE))</f>
        <v/>
      </c>
      <c r="AE363" s="13">
        <f>IF(AD363="","",IF(AD363&lt;='组合输入'!$K7,"AAA",IF(AD363&lt;='组合输入'!$L7,"AA",IF(AD363&lt;='组合输入'!$M7,"A",IF(AD363&lt;='组合输入'!$N7,"BBB",IF(AD363&lt;='组合输入'!$O7,"BB",IF(AD363&lt;='组合输入'!$P7,"B",IF(AD363&lt;='组合输入'!$Q7,"CCC","D")))))))</f>
        <v/>
      </c>
      <c r="AF363" s="12">
        <f>IF(AE363="","",INDEX('状态价值'!$D7:$K7,MATCH(AE363,'状态价值'!$D$1:$K$1,0)))</f>
        <v/>
      </c>
      <c r="AG363" s="15">
        <f>NORM.S.INV(RAND())</f>
        <v/>
      </c>
      <c r="AH363" s="15">
        <f>IF('组合输入'!$C8="","",'组合输入'!$H8*$B363+SQRT(1-'组合输入'!$H8^2)*AG363)</f>
        <v/>
      </c>
      <c r="AI363" s="7">
        <f>IF(AH363="","",NORM.S.DIST(AH363,TRUE))</f>
        <v/>
      </c>
      <c r="AJ363" s="13">
        <f>IF(AI363="","",IF(AI363&lt;='组合输入'!$K8,"AAA",IF(AI363&lt;='组合输入'!$L8,"AA",IF(AI363&lt;='组合输入'!$M8,"A",IF(AI363&lt;='组合输入'!$N8,"BBB",IF(AI363&lt;='组合输入'!$O8,"BB",IF(AI363&lt;='组合输入'!$P8,"B",IF(AI363&lt;='组合输入'!$Q8,"CCC","D")))))))</f>
        <v/>
      </c>
      <c r="AK363" s="12">
        <f>IF(AJ363="","",INDEX('状态价值'!$D8:$K8,MATCH(AJ363,'状态价值'!$D$1:$K$1,0)))</f>
        <v/>
      </c>
      <c r="AL363" s="15">
        <f>NORM.S.INV(RAND())</f>
        <v/>
      </c>
      <c r="AM363" s="15">
        <f>IF('组合输入'!$C9="","",'组合输入'!$H9*$B363+SQRT(1-'组合输入'!$H9^2)*AL363)</f>
        <v/>
      </c>
      <c r="AN363" s="7">
        <f>IF(AM363="","",NORM.S.DIST(AM363,TRUE))</f>
        <v/>
      </c>
      <c r="AO363" s="13">
        <f>IF(AN363="","",IF(AN363&lt;='组合输入'!$K9,"AAA",IF(AN363&lt;='组合输入'!$L9,"AA",IF(AN363&lt;='组合输入'!$M9,"A",IF(AN363&lt;='组合输入'!$N9,"BBB",IF(AN363&lt;='组合输入'!$O9,"BB",IF(AN363&lt;='组合输入'!$P9,"B",IF(AN363&lt;='组合输入'!$Q9,"CCC","D")))))))</f>
        <v/>
      </c>
      <c r="AP363" s="12">
        <f>IF(AO363="","",INDEX('状态价值'!$D9:$K9,MATCH(AO363,'状态价值'!$D$1:$K$1,0)))</f>
        <v/>
      </c>
      <c r="AQ363" s="15">
        <f>NORM.S.INV(RAND())</f>
        <v/>
      </c>
      <c r="AR363" s="15">
        <f>IF('组合输入'!$C10="","",'组合输入'!$H10*$B363+SQRT(1-'组合输入'!$H10^2)*AQ363)</f>
        <v/>
      </c>
      <c r="AS363" s="7">
        <f>IF(AR363="","",NORM.S.DIST(AR363,TRUE))</f>
        <v/>
      </c>
      <c r="AT363" s="13">
        <f>IF(AS363="","",IF(AS363&lt;='组合输入'!$K10,"AAA",IF(AS363&lt;='组合输入'!$L10,"AA",IF(AS363&lt;='组合输入'!$M10,"A",IF(AS363&lt;='组合输入'!$N10,"BBB",IF(AS363&lt;='组合输入'!$O10,"BB",IF(AS363&lt;='组合输入'!$P10,"B",IF(AS363&lt;='组合输入'!$Q10,"CCC","D")))))))</f>
        <v/>
      </c>
      <c r="AU363" s="12">
        <f>IF(AT363="","",INDEX('状态价值'!$D10:$K10,MATCH(AT363,'状态价值'!$D$1:$K$1,0)))</f>
        <v/>
      </c>
      <c r="AV363" s="15">
        <f>NORM.S.INV(RAND())</f>
        <v/>
      </c>
      <c r="AW363" s="15">
        <f>IF('组合输入'!$C11="","",'组合输入'!$H11*$B363+SQRT(1-'组合输入'!$H11^2)*AV363)</f>
        <v/>
      </c>
      <c r="AX363" s="7">
        <f>IF(AW363="","",NORM.S.DIST(AW363,TRUE))</f>
        <v/>
      </c>
      <c r="AY363" s="13">
        <f>IF(AX363="","",IF(AX363&lt;='组合输入'!$K11,"AAA",IF(AX363&lt;='组合输入'!$L11,"AA",IF(AX363&lt;='组合输入'!$M11,"A",IF(AX363&lt;='组合输入'!$N11,"BBB",IF(AX363&lt;='组合输入'!$O11,"BB",IF(AX363&lt;='组合输入'!$P11,"B",IF(AX363&lt;='组合输入'!$Q11,"CCC","D")))))))</f>
        <v/>
      </c>
      <c r="AZ363" s="12">
        <f>IF(AY363="","",INDEX('状态价值'!$D11:$K11,MATCH(AY363,'状态价值'!$D$1:$K$1,0)))</f>
        <v/>
      </c>
      <c r="BA363" s="12">
        <f>G363+L363+Q363+V363+AA363+AF363+AK363+AP363+AU363+AZ363</f>
        <v/>
      </c>
      <c r="BB363" s="12">
        <f>SUM('组合输入'!$J$2:$J$11)-BA363</f>
        <v/>
      </c>
    </row>
    <row r="364">
      <c r="A364" s="11" t="n">
        <v>363</v>
      </c>
      <c r="B364" s="14">
        <f>NORM.S.INV(RAND())</f>
        <v/>
      </c>
      <c r="C364" s="14">
        <f>NORM.S.INV(RAND())</f>
        <v/>
      </c>
      <c r="D364" s="15">
        <f>IF('组合输入'!$C2="","",'组合输入'!$H2*$B364+SQRT(1-'组合输入'!$H2^2)*C364)</f>
        <v/>
      </c>
      <c r="E364" s="7">
        <f>IF(D364="","",NORM.S.DIST(D364,TRUE))</f>
        <v/>
      </c>
      <c r="F364" s="13">
        <f>IF(E364="","",IF(E364&lt;='组合输入'!$K2,"AAA",IF(E364&lt;='组合输入'!$L2,"AA",IF(E364&lt;='组合输入'!$M2,"A",IF(E364&lt;='组合输入'!$N2,"BBB",IF(E364&lt;='组合输入'!$O2,"BB",IF(E364&lt;='组合输入'!$P2,"B",IF(E364&lt;='组合输入'!$Q2,"CCC","D")))))))</f>
        <v/>
      </c>
      <c r="G364" s="12">
        <f>IF(F364="","",INDEX('状态价值'!$D2:$K2,MATCH(F364,'状态价值'!$D$1:$K$1,0)))</f>
        <v/>
      </c>
      <c r="H364" s="15">
        <f>NORM.S.INV(RAND())</f>
        <v/>
      </c>
      <c r="I364" s="15">
        <f>IF('组合输入'!$C3="","",'组合输入'!$H3*$B364+SQRT(1-'组合输入'!$H3^2)*H364)</f>
        <v/>
      </c>
      <c r="J364" s="7">
        <f>IF(I364="","",NORM.S.DIST(I364,TRUE))</f>
        <v/>
      </c>
      <c r="K364" s="13">
        <f>IF(J364="","",IF(J364&lt;='组合输入'!$K3,"AAA",IF(J364&lt;='组合输入'!$L3,"AA",IF(J364&lt;='组合输入'!$M3,"A",IF(J364&lt;='组合输入'!$N3,"BBB",IF(J364&lt;='组合输入'!$O3,"BB",IF(J364&lt;='组合输入'!$P3,"B",IF(J364&lt;='组合输入'!$Q3,"CCC","D")))))))</f>
        <v/>
      </c>
      <c r="L364" s="12">
        <f>IF(K364="","",INDEX('状态价值'!$D3:$K3,MATCH(K364,'状态价值'!$D$1:$K$1,0)))</f>
        <v/>
      </c>
      <c r="M364" s="15">
        <f>NORM.S.INV(RAND())</f>
        <v/>
      </c>
      <c r="N364" s="15">
        <f>IF('组合输入'!$C4="","",'组合输入'!$H4*$B364+SQRT(1-'组合输入'!$H4^2)*M364)</f>
        <v/>
      </c>
      <c r="O364" s="7">
        <f>IF(N364="","",NORM.S.DIST(N364,TRUE))</f>
        <v/>
      </c>
      <c r="P364" s="13">
        <f>IF(O364="","",IF(O364&lt;='组合输入'!$K4,"AAA",IF(O364&lt;='组合输入'!$L4,"AA",IF(O364&lt;='组合输入'!$M4,"A",IF(O364&lt;='组合输入'!$N4,"BBB",IF(O364&lt;='组合输入'!$O4,"BB",IF(O364&lt;='组合输入'!$P4,"B",IF(O364&lt;='组合输入'!$Q4,"CCC","D")))))))</f>
        <v/>
      </c>
      <c r="Q364" s="12">
        <f>IF(P364="","",INDEX('状态价值'!$D4:$K4,MATCH(P364,'状态价值'!$D$1:$K$1,0)))</f>
        <v/>
      </c>
      <c r="R364" s="15">
        <f>NORM.S.INV(RAND())</f>
        <v/>
      </c>
      <c r="S364" s="15">
        <f>IF('组合输入'!$C5="","",'组合输入'!$H5*$B364+SQRT(1-'组合输入'!$H5^2)*R364)</f>
        <v/>
      </c>
      <c r="T364" s="7">
        <f>IF(S364="","",NORM.S.DIST(S364,TRUE))</f>
        <v/>
      </c>
      <c r="U364" s="13">
        <f>IF(T364="","",IF(T364&lt;='组合输入'!$K5,"AAA",IF(T364&lt;='组合输入'!$L5,"AA",IF(T364&lt;='组合输入'!$M5,"A",IF(T364&lt;='组合输入'!$N5,"BBB",IF(T364&lt;='组合输入'!$O5,"BB",IF(T364&lt;='组合输入'!$P5,"B",IF(T364&lt;='组合输入'!$Q5,"CCC","D")))))))</f>
        <v/>
      </c>
      <c r="V364" s="12">
        <f>IF(U364="","",INDEX('状态价值'!$D5:$K5,MATCH(U364,'状态价值'!$D$1:$K$1,0)))</f>
        <v/>
      </c>
      <c r="W364" s="15">
        <f>NORM.S.INV(RAND())</f>
        <v/>
      </c>
      <c r="X364" s="15">
        <f>IF('组合输入'!$C6="","",'组合输入'!$H6*$B364+SQRT(1-'组合输入'!$H6^2)*W364)</f>
        <v/>
      </c>
      <c r="Y364" s="7">
        <f>IF(X364="","",NORM.S.DIST(X364,TRUE))</f>
        <v/>
      </c>
      <c r="Z364" s="13">
        <f>IF(Y364="","",IF(Y364&lt;='组合输入'!$K6,"AAA",IF(Y364&lt;='组合输入'!$L6,"AA",IF(Y364&lt;='组合输入'!$M6,"A",IF(Y364&lt;='组合输入'!$N6,"BBB",IF(Y364&lt;='组合输入'!$O6,"BB",IF(Y364&lt;='组合输入'!$P6,"B",IF(Y364&lt;='组合输入'!$Q6,"CCC","D")))))))</f>
        <v/>
      </c>
      <c r="AA364" s="12">
        <f>IF(Z364="","",INDEX('状态价值'!$D6:$K6,MATCH(Z364,'状态价值'!$D$1:$K$1,0)))</f>
        <v/>
      </c>
      <c r="AB364" s="15">
        <f>NORM.S.INV(RAND())</f>
        <v/>
      </c>
      <c r="AC364" s="15">
        <f>IF('组合输入'!$C7="","",'组合输入'!$H7*$B364+SQRT(1-'组合输入'!$H7^2)*AB364)</f>
        <v/>
      </c>
      <c r="AD364" s="7">
        <f>IF(AC364="","",NORM.S.DIST(AC364,TRUE))</f>
        <v/>
      </c>
      <c r="AE364" s="13">
        <f>IF(AD364="","",IF(AD364&lt;='组合输入'!$K7,"AAA",IF(AD364&lt;='组合输入'!$L7,"AA",IF(AD364&lt;='组合输入'!$M7,"A",IF(AD364&lt;='组合输入'!$N7,"BBB",IF(AD364&lt;='组合输入'!$O7,"BB",IF(AD364&lt;='组合输入'!$P7,"B",IF(AD364&lt;='组合输入'!$Q7,"CCC","D")))))))</f>
        <v/>
      </c>
      <c r="AF364" s="12">
        <f>IF(AE364="","",INDEX('状态价值'!$D7:$K7,MATCH(AE364,'状态价值'!$D$1:$K$1,0)))</f>
        <v/>
      </c>
      <c r="AG364" s="15">
        <f>NORM.S.INV(RAND())</f>
        <v/>
      </c>
      <c r="AH364" s="15">
        <f>IF('组合输入'!$C8="","",'组合输入'!$H8*$B364+SQRT(1-'组合输入'!$H8^2)*AG364)</f>
        <v/>
      </c>
      <c r="AI364" s="7">
        <f>IF(AH364="","",NORM.S.DIST(AH364,TRUE))</f>
        <v/>
      </c>
      <c r="AJ364" s="13">
        <f>IF(AI364="","",IF(AI364&lt;='组合输入'!$K8,"AAA",IF(AI364&lt;='组合输入'!$L8,"AA",IF(AI364&lt;='组合输入'!$M8,"A",IF(AI364&lt;='组合输入'!$N8,"BBB",IF(AI364&lt;='组合输入'!$O8,"BB",IF(AI364&lt;='组合输入'!$P8,"B",IF(AI364&lt;='组合输入'!$Q8,"CCC","D")))))))</f>
        <v/>
      </c>
      <c r="AK364" s="12">
        <f>IF(AJ364="","",INDEX('状态价值'!$D8:$K8,MATCH(AJ364,'状态价值'!$D$1:$K$1,0)))</f>
        <v/>
      </c>
      <c r="AL364" s="15">
        <f>NORM.S.INV(RAND())</f>
        <v/>
      </c>
      <c r="AM364" s="15">
        <f>IF('组合输入'!$C9="","",'组合输入'!$H9*$B364+SQRT(1-'组合输入'!$H9^2)*AL364)</f>
        <v/>
      </c>
      <c r="AN364" s="7">
        <f>IF(AM364="","",NORM.S.DIST(AM364,TRUE))</f>
        <v/>
      </c>
      <c r="AO364" s="13">
        <f>IF(AN364="","",IF(AN364&lt;='组合输入'!$K9,"AAA",IF(AN364&lt;='组合输入'!$L9,"AA",IF(AN364&lt;='组合输入'!$M9,"A",IF(AN364&lt;='组合输入'!$N9,"BBB",IF(AN364&lt;='组合输入'!$O9,"BB",IF(AN364&lt;='组合输入'!$P9,"B",IF(AN364&lt;='组合输入'!$Q9,"CCC","D")))))))</f>
        <v/>
      </c>
      <c r="AP364" s="12">
        <f>IF(AO364="","",INDEX('状态价值'!$D9:$K9,MATCH(AO364,'状态价值'!$D$1:$K$1,0)))</f>
        <v/>
      </c>
      <c r="AQ364" s="15">
        <f>NORM.S.INV(RAND())</f>
        <v/>
      </c>
      <c r="AR364" s="15">
        <f>IF('组合输入'!$C10="","",'组合输入'!$H10*$B364+SQRT(1-'组合输入'!$H10^2)*AQ364)</f>
        <v/>
      </c>
      <c r="AS364" s="7">
        <f>IF(AR364="","",NORM.S.DIST(AR364,TRUE))</f>
        <v/>
      </c>
      <c r="AT364" s="13">
        <f>IF(AS364="","",IF(AS364&lt;='组合输入'!$K10,"AAA",IF(AS364&lt;='组合输入'!$L10,"AA",IF(AS364&lt;='组合输入'!$M10,"A",IF(AS364&lt;='组合输入'!$N10,"BBB",IF(AS364&lt;='组合输入'!$O10,"BB",IF(AS364&lt;='组合输入'!$P10,"B",IF(AS364&lt;='组合输入'!$Q10,"CCC","D")))))))</f>
        <v/>
      </c>
      <c r="AU364" s="12">
        <f>IF(AT364="","",INDEX('状态价值'!$D10:$K10,MATCH(AT364,'状态价值'!$D$1:$K$1,0)))</f>
        <v/>
      </c>
      <c r="AV364" s="15">
        <f>NORM.S.INV(RAND())</f>
        <v/>
      </c>
      <c r="AW364" s="15">
        <f>IF('组合输入'!$C11="","",'组合输入'!$H11*$B364+SQRT(1-'组合输入'!$H11^2)*AV364)</f>
        <v/>
      </c>
      <c r="AX364" s="7">
        <f>IF(AW364="","",NORM.S.DIST(AW364,TRUE))</f>
        <v/>
      </c>
      <c r="AY364" s="13">
        <f>IF(AX364="","",IF(AX364&lt;='组合输入'!$K11,"AAA",IF(AX364&lt;='组合输入'!$L11,"AA",IF(AX364&lt;='组合输入'!$M11,"A",IF(AX364&lt;='组合输入'!$N11,"BBB",IF(AX364&lt;='组合输入'!$O11,"BB",IF(AX364&lt;='组合输入'!$P11,"B",IF(AX364&lt;='组合输入'!$Q11,"CCC","D")))))))</f>
        <v/>
      </c>
      <c r="AZ364" s="12">
        <f>IF(AY364="","",INDEX('状态价值'!$D11:$K11,MATCH(AY364,'状态价值'!$D$1:$K$1,0)))</f>
        <v/>
      </c>
      <c r="BA364" s="12">
        <f>G364+L364+Q364+V364+AA364+AF364+AK364+AP364+AU364+AZ364</f>
        <v/>
      </c>
      <c r="BB364" s="12">
        <f>SUM('组合输入'!$J$2:$J$11)-BA364</f>
        <v/>
      </c>
    </row>
    <row r="365">
      <c r="A365" s="11" t="n">
        <v>364</v>
      </c>
      <c r="B365" s="14">
        <f>NORM.S.INV(RAND())</f>
        <v/>
      </c>
      <c r="C365" s="14">
        <f>NORM.S.INV(RAND())</f>
        <v/>
      </c>
      <c r="D365" s="15">
        <f>IF('组合输入'!$C2="","",'组合输入'!$H2*$B365+SQRT(1-'组合输入'!$H2^2)*C365)</f>
        <v/>
      </c>
      <c r="E365" s="7">
        <f>IF(D365="","",NORM.S.DIST(D365,TRUE))</f>
        <v/>
      </c>
      <c r="F365" s="13">
        <f>IF(E365="","",IF(E365&lt;='组合输入'!$K2,"AAA",IF(E365&lt;='组合输入'!$L2,"AA",IF(E365&lt;='组合输入'!$M2,"A",IF(E365&lt;='组合输入'!$N2,"BBB",IF(E365&lt;='组合输入'!$O2,"BB",IF(E365&lt;='组合输入'!$P2,"B",IF(E365&lt;='组合输入'!$Q2,"CCC","D")))))))</f>
        <v/>
      </c>
      <c r="G365" s="12">
        <f>IF(F365="","",INDEX('状态价值'!$D2:$K2,MATCH(F365,'状态价值'!$D$1:$K$1,0)))</f>
        <v/>
      </c>
      <c r="H365" s="15">
        <f>NORM.S.INV(RAND())</f>
        <v/>
      </c>
      <c r="I365" s="15">
        <f>IF('组合输入'!$C3="","",'组合输入'!$H3*$B365+SQRT(1-'组合输入'!$H3^2)*H365)</f>
        <v/>
      </c>
      <c r="J365" s="7">
        <f>IF(I365="","",NORM.S.DIST(I365,TRUE))</f>
        <v/>
      </c>
      <c r="K365" s="13">
        <f>IF(J365="","",IF(J365&lt;='组合输入'!$K3,"AAA",IF(J365&lt;='组合输入'!$L3,"AA",IF(J365&lt;='组合输入'!$M3,"A",IF(J365&lt;='组合输入'!$N3,"BBB",IF(J365&lt;='组合输入'!$O3,"BB",IF(J365&lt;='组合输入'!$P3,"B",IF(J365&lt;='组合输入'!$Q3,"CCC","D")))))))</f>
        <v/>
      </c>
      <c r="L365" s="12">
        <f>IF(K365="","",INDEX('状态价值'!$D3:$K3,MATCH(K365,'状态价值'!$D$1:$K$1,0)))</f>
        <v/>
      </c>
      <c r="M365" s="15">
        <f>NORM.S.INV(RAND())</f>
        <v/>
      </c>
      <c r="N365" s="15">
        <f>IF('组合输入'!$C4="","",'组合输入'!$H4*$B365+SQRT(1-'组合输入'!$H4^2)*M365)</f>
        <v/>
      </c>
      <c r="O365" s="7">
        <f>IF(N365="","",NORM.S.DIST(N365,TRUE))</f>
        <v/>
      </c>
      <c r="P365" s="13">
        <f>IF(O365="","",IF(O365&lt;='组合输入'!$K4,"AAA",IF(O365&lt;='组合输入'!$L4,"AA",IF(O365&lt;='组合输入'!$M4,"A",IF(O365&lt;='组合输入'!$N4,"BBB",IF(O365&lt;='组合输入'!$O4,"BB",IF(O365&lt;='组合输入'!$P4,"B",IF(O365&lt;='组合输入'!$Q4,"CCC","D")))))))</f>
        <v/>
      </c>
      <c r="Q365" s="12">
        <f>IF(P365="","",INDEX('状态价值'!$D4:$K4,MATCH(P365,'状态价值'!$D$1:$K$1,0)))</f>
        <v/>
      </c>
      <c r="R365" s="15">
        <f>NORM.S.INV(RAND())</f>
        <v/>
      </c>
      <c r="S365" s="15">
        <f>IF('组合输入'!$C5="","",'组合输入'!$H5*$B365+SQRT(1-'组合输入'!$H5^2)*R365)</f>
        <v/>
      </c>
      <c r="T365" s="7">
        <f>IF(S365="","",NORM.S.DIST(S365,TRUE))</f>
        <v/>
      </c>
      <c r="U365" s="13">
        <f>IF(T365="","",IF(T365&lt;='组合输入'!$K5,"AAA",IF(T365&lt;='组合输入'!$L5,"AA",IF(T365&lt;='组合输入'!$M5,"A",IF(T365&lt;='组合输入'!$N5,"BBB",IF(T365&lt;='组合输入'!$O5,"BB",IF(T365&lt;='组合输入'!$P5,"B",IF(T365&lt;='组合输入'!$Q5,"CCC","D")))))))</f>
        <v/>
      </c>
      <c r="V365" s="12">
        <f>IF(U365="","",INDEX('状态价值'!$D5:$K5,MATCH(U365,'状态价值'!$D$1:$K$1,0)))</f>
        <v/>
      </c>
      <c r="W365" s="15">
        <f>NORM.S.INV(RAND())</f>
        <v/>
      </c>
      <c r="X365" s="15">
        <f>IF('组合输入'!$C6="","",'组合输入'!$H6*$B365+SQRT(1-'组合输入'!$H6^2)*W365)</f>
        <v/>
      </c>
      <c r="Y365" s="7">
        <f>IF(X365="","",NORM.S.DIST(X365,TRUE))</f>
        <v/>
      </c>
      <c r="Z365" s="13">
        <f>IF(Y365="","",IF(Y365&lt;='组合输入'!$K6,"AAA",IF(Y365&lt;='组合输入'!$L6,"AA",IF(Y365&lt;='组合输入'!$M6,"A",IF(Y365&lt;='组合输入'!$N6,"BBB",IF(Y365&lt;='组合输入'!$O6,"BB",IF(Y365&lt;='组合输入'!$P6,"B",IF(Y365&lt;='组合输入'!$Q6,"CCC","D")))))))</f>
        <v/>
      </c>
      <c r="AA365" s="12">
        <f>IF(Z365="","",INDEX('状态价值'!$D6:$K6,MATCH(Z365,'状态价值'!$D$1:$K$1,0)))</f>
        <v/>
      </c>
      <c r="AB365" s="15">
        <f>NORM.S.INV(RAND())</f>
        <v/>
      </c>
      <c r="AC365" s="15">
        <f>IF('组合输入'!$C7="","",'组合输入'!$H7*$B365+SQRT(1-'组合输入'!$H7^2)*AB365)</f>
        <v/>
      </c>
      <c r="AD365" s="7">
        <f>IF(AC365="","",NORM.S.DIST(AC365,TRUE))</f>
        <v/>
      </c>
      <c r="AE365" s="13">
        <f>IF(AD365="","",IF(AD365&lt;='组合输入'!$K7,"AAA",IF(AD365&lt;='组合输入'!$L7,"AA",IF(AD365&lt;='组合输入'!$M7,"A",IF(AD365&lt;='组合输入'!$N7,"BBB",IF(AD365&lt;='组合输入'!$O7,"BB",IF(AD365&lt;='组合输入'!$P7,"B",IF(AD365&lt;='组合输入'!$Q7,"CCC","D")))))))</f>
        <v/>
      </c>
      <c r="AF365" s="12">
        <f>IF(AE365="","",INDEX('状态价值'!$D7:$K7,MATCH(AE365,'状态价值'!$D$1:$K$1,0)))</f>
        <v/>
      </c>
      <c r="AG365" s="15">
        <f>NORM.S.INV(RAND())</f>
        <v/>
      </c>
      <c r="AH365" s="15">
        <f>IF('组合输入'!$C8="","",'组合输入'!$H8*$B365+SQRT(1-'组合输入'!$H8^2)*AG365)</f>
        <v/>
      </c>
      <c r="AI365" s="7">
        <f>IF(AH365="","",NORM.S.DIST(AH365,TRUE))</f>
        <v/>
      </c>
      <c r="AJ365" s="13">
        <f>IF(AI365="","",IF(AI365&lt;='组合输入'!$K8,"AAA",IF(AI365&lt;='组合输入'!$L8,"AA",IF(AI365&lt;='组合输入'!$M8,"A",IF(AI365&lt;='组合输入'!$N8,"BBB",IF(AI365&lt;='组合输入'!$O8,"BB",IF(AI365&lt;='组合输入'!$P8,"B",IF(AI365&lt;='组合输入'!$Q8,"CCC","D")))))))</f>
        <v/>
      </c>
      <c r="AK365" s="12">
        <f>IF(AJ365="","",INDEX('状态价值'!$D8:$K8,MATCH(AJ365,'状态价值'!$D$1:$K$1,0)))</f>
        <v/>
      </c>
      <c r="AL365" s="15">
        <f>NORM.S.INV(RAND())</f>
        <v/>
      </c>
      <c r="AM365" s="15">
        <f>IF('组合输入'!$C9="","",'组合输入'!$H9*$B365+SQRT(1-'组合输入'!$H9^2)*AL365)</f>
        <v/>
      </c>
      <c r="AN365" s="7">
        <f>IF(AM365="","",NORM.S.DIST(AM365,TRUE))</f>
        <v/>
      </c>
      <c r="AO365" s="13">
        <f>IF(AN365="","",IF(AN365&lt;='组合输入'!$K9,"AAA",IF(AN365&lt;='组合输入'!$L9,"AA",IF(AN365&lt;='组合输入'!$M9,"A",IF(AN365&lt;='组合输入'!$N9,"BBB",IF(AN365&lt;='组合输入'!$O9,"BB",IF(AN365&lt;='组合输入'!$P9,"B",IF(AN365&lt;='组合输入'!$Q9,"CCC","D")))))))</f>
        <v/>
      </c>
      <c r="AP365" s="12">
        <f>IF(AO365="","",INDEX('状态价值'!$D9:$K9,MATCH(AO365,'状态价值'!$D$1:$K$1,0)))</f>
        <v/>
      </c>
      <c r="AQ365" s="15">
        <f>NORM.S.INV(RAND())</f>
        <v/>
      </c>
      <c r="AR365" s="15">
        <f>IF('组合输入'!$C10="","",'组合输入'!$H10*$B365+SQRT(1-'组合输入'!$H10^2)*AQ365)</f>
        <v/>
      </c>
      <c r="AS365" s="7">
        <f>IF(AR365="","",NORM.S.DIST(AR365,TRUE))</f>
        <v/>
      </c>
      <c r="AT365" s="13">
        <f>IF(AS365="","",IF(AS365&lt;='组合输入'!$K10,"AAA",IF(AS365&lt;='组合输入'!$L10,"AA",IF(AS365&lt;='组合输入'!$M10,"A",IF(AS365&lt;='组合输入'!$N10,"BBB",IF(AS365&lt;='组合输入'!$O10,"BB",IF(AS365&lt;='组合输入'!$P10,"B",IF(AS365&lt;='组合输入'!$Q10,"CCC","D")))))))</f>
        <v/>
      </c>
      <c r="AU365" s="12">
        <f>IF(AT365="","",INDEX('状态价值'!$D10:$K10,MATCH(AT365,'状态价值'!$D$1:$K$1,0)))</f>
        <v/>
      </c>
      <c r="AV365" s="15">
        <f>NORM.S.INV(RAND())</f>
        <v/>
      </c>
      <c r="AW365" s="15">
        <f>IF('组合输入'!$C11="","",'组合输入'!$H11*$B365+SQRT(1-'组合输入'!$H11^2)*AV365)</f>
        <v/>
      </c>
      <c r="AX365" s="7">
        <f>IF(AW365="","",NORM.S.DIST(AW365,TRUE))</f>
        <v/>
      </c>
      <c r="AY365" s="13">
        <f>IF(AX365="","",IF(AX365&lt;='组合输入'!$K11,"AAA",IF(AX365&lt;='组合输入'!$L11,"AA",IF(AX365&lt;='组合输入'!$M11,"A",IF(AX365&lt;='组合输入'!$N11,"BBB",IF(AX365&lt;='组合输入'!$O11,"BB",IF(AX365&lt;='组合输入'!$P11,"B",IF(AX365&lt;='组合输入'!$Q11,"CCC","D")))))))</f>
        <v/>
      </c>
      <c r="AZ365" s="12">
        <f>IF(AY365="","",INDEX('状态价值'!$D11:$K11,MATCH(AY365,'状态价值'!$D$1:$K$1,0)))</f>
        <v/>
      </c>
      <c r="BA365" s="12">
        <f>G365+L365+Q365+V365+AA365+AF365+AK365+AP365+AU365+AZ365</f>
        <v/>
      </c>
      <c r="BB365" s="12">
        <f>SUM('组合输入'!$J$2:$J$11)-BA365</f>
        <v/>
      </c>
    </row>
    <row r="366">
      <c r="A366" s="11" t="n">
        <v>365</v>
      </c>
      <c r="B366" s="14">
        <f>NORM.S.INV(RAND())</f>
        <v/>
      </c>
      <c r="C366" s="14">
        <f>NORM.S.INV(RAND())</f>
        <v/>
      </c>
      <c r="D366" s="15">
        <f>IF('组合输入'!$C2="","",'组合输入'!$H2*$B366+SQRT(1-'组合输入'!$H2^2)*C366)</f>
        <v/>
      </c>
      <c r="E366" s="7">
        <f>IF(D366="","",NORM.S.DIST(D366,TRUE))</f>
        <v/>
      </c>
      <c r="F366" s="13">
        <f>IF(E366="","",IF(E366&lt;='组合输入'!$K2,"AAA",IF(E366&lt;='组合输入'!$L2,"AA",IF(E366&lt;='组合输入'!$M2,"A",IF(E366&lt;='组合输入'!$N2,"BBB",IF(E366&lt;='组合输入'!$O2,"BB",IF(E366&lt;='组合输入'!$P2,"B",IF(E366&lt;='组合输入'!$Q2,"CCC","D")))))))</f>
        <v/>
      </c>
      <c r="G366" s="12">
        <f>IF(F366="","",INDEX('状态价值'!$D2:$K2,MATCH(F366,'状态价值'!$D$1:$K$1,0)))</f>
        <v/>
      </c>
      <c r="H366" s="15">
        <f>NORM.S.INV(RAND())</f>
        <v/>
      </c>
      <c r="I366" s="15">
        <f>IF('组合输入'!$C3="","",'组合输入'!$H3*$B366+SQRT(1-'组合输入'!$H3^2)*H366)</f>
        <v/>
      </c>
      <c r="J366" s="7">
        <f>IF(I366="","",NORM.S.DIST(I366,TRUE))</f>
        <v/>
      </c>
      <c r="K366" s="13">
        <f>IF(J366="","",IF(J366&lt;='组合输入'!$K3,"AAA",IF(J366&lt;='组合输入'!$L3,"AA",IF(J366&lt;='组合输入'!$M3,"A",IF(J366&lt;='组合输入'!$N3,"BBB",IF(J366&lt;='组合输入'!$O3,"BB",IF(J366&lt;='组合输入'!$P3,"B",IF(J366&lt;='组合输入'!$Q3,"CCC","D")))))))</f>
        <v/>
      </c>
      <c r="L366" s="12">
        <f>IF(K366="","",INDEX('状态价值'!$D3:$K3,MATCH(K366,'状态价值'!$D$1:$K$1,0)))</f>
        <v/>
      </c>
      <c r="M366" s="15">
        <f>NORM.S.INV(RAND())</f>
        <v/>
      </c>
      <c r="N366" s="15">
        <f>IF('组合输入'!$C4="","",'组合输入'!$H4*$B366+SQRT(1-'组合输入'!$H4^2)*M366)</f>
        <v/>
      </c>
      <c r="O366" s="7">
        <f>IF(N366="","",NORM.S.DIST(N366,TRUE))</f>
        <v/>
      </c>
      <c r="P366" s="13">
        <f>IF(O366="","",IF(O366&lt;='组合输入'!$K4,"AAA",IF(O366&lt;='组合输入'!$L4,"AA",IF(O366&lt;='组合输入'!$M4,"A",IF(O366&lt;='组合输入'!$N4,"BBB",IF(O366&lt;='组合输入'!$O4,"BB",IF(O366&lt;='组合输入'!$P4,"B",IF(O366&lt;='组合输入'!$Q4,"CCC","D")))))))</f>
        <v/>
      </c>
      <c r="Q366" s="12">
        <f>IF(P366="","",INDEX('状态价值'!$D4:$K4,MATCH(P366,'状态价值'!$D$1:$K$1,0)))</f>
        <v/>
      </c>
      <c r="R366" s="15">
        <f>NORM.S.INV(RAND())</f>
        <v/>
      </c>
      <c r="S366" s="15">
        <f>IF('组合输入'!$C5="","",'组合输入'!$H5*$B366+SQRT(1-'组合输入'!$H5^2)*R366)</f>
        <v/>
      </c>
      <c r="T366" s="7">
        <f>IF(S366="","",NORM.S.DIST(S366,TRUE))</f>
        <v/>
      </c>
      <c r="U366" s="13">
        <f>IF(T366="","",IF(T366&lt;='组合输入'!$K5,"AAA",IF(T366&lt;='组合输入'!$L5,"AA",IF(T366&lt;='组合输入'!$M5,"A",IF(T366&lt;='组合输入'!$N5,"BBB",IF(T366&lt;='组合输入'!$O5,"BB",IF(T366&lt;='组合输入'!$P5,"B",IF(T366&lt;='组合输入'!$Q5,"CCC","D")))))))</f>
        <v/>
      </c>
      <c r="V366" s="12">
        <f>IF(U366="","",INDEX('状态价值'!$D5:$K5,MATCH(U366,'状态价值'!$D$1:$K$1,0)))</f>
        <v/>
      </c>
      <c r="W366" s="15">
        <f>NORM.S.INV(RAND())</f>
        <v/>
      </c>
      <c r="X366" s="15">
        <f>IF('组合输入'!$C6="","",'组合输入'!$H6*$B366+SQRT(1-'组合输入'!$H6^2)*W366)</f>
        <v/>
      </c>
      <c r="Y366" s="7">
        <f>IF(X366="","",NORM.S.DIST(X366,TRUE))</f>
        <v/>
      </c>
      <c r="Z366" s="13">
        <f>IF(Y366="","",IF(Y366&lt;='组合输入'!$K6,"AAA",IF(Y366&lt;='组合输入'!$L6,"AA",IF(Y366&lt;='组合输入'!$M6,"A",IF(Y366&lt;='组合输入'!$N6,"BBB",IF(Y366&lt;='组合输入'!$O6,"BB",IF(Y366&lt;='组合输入'!$P6,"B",IF(Y366&lt;='组合输入'!$Q6,"CCC","D")))))))</f>
        <v/>
      </c>
      <c r="AA366" s="12">
        <f>IF(Z366="","",INDEX('状态价值'!$D6:$K6,MATCH(Z366,'状态价值'!$D$1:$K$1,0)))</f>
        <v/>
      </c>
      <c r="AB366" s="15">
        <f>NORM.S.INV(RAND())</f>
        <v/>
      </c>
      <c r="AC366" s="15">
        <f>IF('组合输入'!$C7="","",'组合输入'!$H7*$B366+SQRT(1-'组合输入'!$H7^2)*AB366)</f>
        <v/>
      </c>
      <c r="AD366" s="7">
        <f>IF(AC366="","",NORM.S.DIST(AC366,TRUE))</f>
        <v/>
      </c>
      <c r="AE366" s="13">
        <f>IF(AD366="","",IF(AD366&lt;='组合输入'!$K7,"AAA",IF(AD366&lt;='组合输入'!$L7,"AA",IF(AD366&lt;='组合输入'!$M7,"A",IF(AD366&lt;='组合输入'!$N7,"BBB",IF(AD366&lt;='组合输入'!$O7,"BB",IF(AD366&lt;='组合输入'!$P7,"B",IF(AD366&lt;='组合输入'!$Q7,"CCC","D")))))))</f>
        <v/>
      </c>
      <c r="AF366" s="12">
        <f>IF(AE366="","",INDEX('状态价值'!$D7:$K7,MATCH(AE366,'状态价值'!$D$1:$K$1,0)))</f>
        <v/>
      </c>
      <c r="AG366" s="15">
        <f>NORM.S.INV(RAND())</f>
        <v/>
      </c>
      <c r="AH366" s="15">
        <f>IF('组合输入'!$C8="","",'组合输入'!$H8*$B366+SQRT(1-'组合输入'!$H8^2)*AG366)</f>
        <v/>
      </c>
      <c r="AI366" s="7">
        <f>IF(AH366="","",NORM.S.DIST(AH366,TRUE))</f>
        <v/>
      </c>
      <c r="AJ366" s="13">
        <f>IF(AI366="","",IF(AI366&lt;='组合输入'!$K8,"AAA",IF(AI366&lt;='组合输入'!$L8,"AA",IF(AI366&lt;='组合输入'!$M8,"A",IF(AI366&lt;='组合输入'!$N8,"BBB",IF(AI366&lt;='组合输入'!$O8,"BB",IF(AI366&lt;='组合输入'!$P8,"B",IF(AI366&lt;='组合输入'!$Q8,"CCC","D")))))))</f>
        <v/>
      </c>
      <c r="AK366" s="12">
        <f>IF(AJ366="","",INDEX('状态价值'!$D8:$K8,MATCH(AJ366,'状态价值'!$D$1:$K$1,0)))</f>
        <v/>
      </c>
      <c r="AL366" s="15">
        <f>NORM.S.INV(RAND())</f>
        <v/>
      </c>
      <c r="AM366" s="15">
        <f>IF('组合输入'!$C9="","",'组合输入'!$H9*$B366+SQRT(1-'组合输入'!$H9^2)*AL366)</f>
        <v/>
      </c>
      <c r="AN366" s="7">
        <f>IF(AM366="","",NORM.S.DIST(AM366,TRUE))</f>
        <v/>
      </c>
      <c r="AO366" s="13">
        <f>IF(AN366="","",IF(AN366&lt;='组合输入'!$K9,"AAA",IF(AN366&lt;='组合输入'!$L9,"AA",IF(AN366&lt;='组合输入'!$M9,"A",IF(AN366&lt;='组合输入'!$N9,"BBB",IF(AN366&lt;='组合输入'!$O9,"BB",IF(AN366&lt;='组合输入'!$P9,"B",IF(AN366&lt;='组合输入'!$Q9,"CCC","D")))))))</f>
        <v/>
      </c>
      <c r="AP366" s="12">
        <f>IF(AO366="","",INDEX('状态价值'!$D9:$K9,MATCH(AO366,'状态价值'!$D$1:$K$1,0)))</f>
        <v/>
      </c>
      <c r="AQ366" s="15">
        <f>NORM.S.INV(RAND())</f>
        <v/>
      </c>
      <c r="AR366" s="15">
        <f>IF('组合输入'!$C10="","",'组合输入'!$H10*$B366+SQRT(1-'组合输入'!$H10^2)*AQ366)</f>
        <v/>
      </c>
      <c r="AS366" s="7">
        <f>IF(AR366="","",NORM.S.DIST(AR366,TRUE))</f>
        <v/>
      </c>
      <c r="AT366" s="13">
        <f>IF(AS366="","",IF(AS366&lt;='组合输入'!$K10,"AAA",IF(AS366&lt;='组合输入'!$L10,"AA",IF(AS366&lt;='组合输入'!$M10,"A",IF(AS366&lt;='组合输入'!$N10,"BBB",IF(AS366&lt;='组合输入'!$O10,"BB",IF(AS366&lt;='组合输入'!$P10,"B",IF(AS366&lt;='组合输入'!$Q10,"CCC","D")))))))</f>
        <v/>
      </c>
      <c r="AU366" s="12">
        <f>IF(AT366="","",INDEX('状态价值'!$D10:$K10,MATCH(AT366,'状态价值'!$D$1:$K$1,0)))</f>
        <v/>
      </c>
      <c r="AV366" s="15">
        <f>NORM.S.INV(RAND())</f>
        <v/>
      </c>
      <c r="AW366" s="15">
        <f>IF('组合输入'!$C11="","",'组合输入'!$H11*$B366+SQRT(1-'组合输入'!$H11^2)*AV366)</f>
        <v/>
      </c>
      <c r="AX366" s="7">
        <f>IF(AW366="","",NORM.S.DIST(AW366,TRUE))</f>
        <v/>
      </c>
      <c r="AY366" s="13">
        <f>IF(AX366="","",IF(AX366&lt;='组合输入'!$K11,"AAA",IF(AX366&lt;='组合输入'!$L11,"AA",IF(AX366&lt;='组合输入'!$M11,"A",IF(AX366&lt;='组合输入'!$N11,"BBB",IF(AX366&lt;='组合输入'!$O11,"BB",IF(AX366&lt;='组合输入'!$P11,"B",IF(AX366&lt;='组合输入'!$Q11,"CCC","D")))))))</f>
        <v/>
      </c>
      <c r="AZ366" s="12">
        <f>IF(AY366="","",INDEX('状态价值'!$D11:$K11,MATCH(AY366,'状态价值'!$D$1:$K$1,0)))</f>
        <v/>
      </c>
      <c r="BA366" s="12">
        <f>G366+L366+Q366+V366+AA366+AF366+AK366+AP366+AU366+AZ366</f>
        <v/>
      </c>
      <c r="BB366" s="12">
        <f>SUM('组合输入'!$J$2:$J$11)-BA366</f>
        <v/>
      </c>
    </row>
    <row r="367">
      <c r="A367" s="11" t="n">
        <v>366</v>
      </c>
      <c r="B367" s="14">
        <f>NORM.S.INV(RAND())</f>
        <v/>
      </c>
      <c r="C367" s="14">
        <f>NORM.S.INV(RAND())</f>
        <v/>
      </c>
      <c r="D367" s="15">
        <f>IF('组合输入'!$C2="","",'组合输入'!$H2*$B367+SQRT(1-'组合输入'!$H2^2)*C367)</f>
        <v/>
      </c>
      <c r="E367" s="7">
        <f>IF(D367="","",NORM.S.DIST(D367,TRUE))</f>
        <v/>
      </c>
      <c r="F367" s="13">
        <f>IF(E367="","",IF(E367&lt;='组合输入'!$K2,"AAA",IF(E367&lt;='组合输入'!$L2,"AA",IF(E367&lt;='组合输入'!$M2,"A",IF(E367&lt;='组合输入'!$N2,"BBB",IF(E367&lt;='组合输入'!$O2,"BB",IF(E367&lt;='组合输入'!$P2,"B",IF(E367&lt;='组合输入'!$Q2,"CCC","D")))))))</f>
        <v/>
      </c>
      <c r="G367" s="12">
        <f>IF(F367="","",INDEX('状态价值'!$D2:$K2,MATCH(F367,'状态价值'!$D$1:$K$1,0)))</f>
        <v/>
      </c>
      <c r="H367" s="15">
        <f>NORM.S.INV(RAND())</f>
        <v/>
      </c>
      <c r="I367" s="15">
        <f>IF('组合输入'!$C3="","",'组合输入'!$H3*$B367+SQRT(1-'组合输入'!$H3^2)*H367)</f>
        <v/>
      </c>
      <c r="J367" s="7">
        <f>IF(I367="","",NORM.S.DIST(I367,TRUE))</f>
        <v/>
      </c>
      <c r="K367" s="13">
        <f>IF(J367="","",IF(J367&lt;='组合输入'!$K3,"AAA",IF(J367&lt;='组合输入'!$L3,"AA",IF(J367&lt;='组合输入'!$M3,"A",IF(J367&lt;='组合输入'!$N3,"BBB",IF(J367&lt;='组合输入'!$O3,"BB",IF(J367&lt;='组合输入'!$P3,"B",IF(J367&lt;='组合输入'!$Q3,"CCC","D")))))))</f>
        <v/>
      </c>
      <c r="L367" s="12">
        <f>IF(K367="","",INDEX('状态价值'!$D3:$K3,MATCH(K367,'状态价值'!$D$1:$K$1,0)))</f>
        <v/>
      </c>
      <c r="M367" s="15">
        <f>NORM.S.INV(RAND())</f>
        <v/>
      </c>
      <c r="N367" s="15">
        <f>IF('组合输入'!$C4="","",'组合输入'!$H4*$B367+SQRT(1-'组合输入'!$H4^2)*M367)</f>
        <v/>
      </c>
      <c r="O367" s="7">
        <f>IF(N367="","",NORM.S.DIST(N367,TRUE))</f>
        <v/>
      </c>
      <c r="P367" s="13">
        <f>IF(O367="","",IF(O367&lt;='组合输入'!$K4,"AAA",IF(O367&lt;='组合输入'!$L4,"AA",IF(O367&lt;='组合输入'!$M4,"A",IF(O367&lt;='组合输入'!$N4,"BBB",IF(O367&lt;='组合输入'!$O4,"BB",IF(O367&lt;='组合输入'!$P4,"B",IF(O367&lt;='组合输入'!$Q4,"CCC","D")))))))</f>
        <v/>
      </c>
      <c r="Q367" s="12">
        <f>IF(P367="","",INDEX('状态价值'!$D4:$K4,MATCH(P367,'状态价值'!$D$1:$K$1,0)))</f>
        <v/>
      </c>
      <c r="R367" s="15">
        <f>NORM.S.INV(RAND())</f>
        <v/>
      </c>
      <c r="S367" s="15">
        <f>IF('组合输入'!$C5="","",'组合输入'!$H5*$B367+SQRT(1-'组合输入'!$H5^2)*R367)</f>
        <v/>
      </c>
      <c r="T367" s="7">
        <f>IF(S367="","",NORM.S.DIST(S367,TRUE))</f>
        <v/>
      </c>
      <c r="U367" s="13">
        <f>IF(T367="","",IF(T367&lt;='组合输入'!$K5,"AAA",IF(T367&lt;='组合输入'!$L5,"AA",IF(T367&lt;='组合输入'!$M5,"A",IF(T367&lt;='组合输入'!$N5,"BBB",IF(T367&lt;='组合输入'!$O5,"BB",IF(T367&lt;='组合输入'!$P5,"B",IF(T367&lt;='组合输入'!$Q5,"CCC","D")))))))</f>
        <v/>
      </c>
      <c r="V367" s="12">
        <f>IF(U367="","",INDEX('状态价值'!$D5:$K5,MATCH(U367,'状态价值'!$D$1:$K$1,0)))</f>
        <v/>
      </c>
      <c r="W367" s="15">
        <f>NORM.S.INV(RAND())</f>
        <v/>
      </c>
      <c r="X367" s="15">
        <f>IF('组合输入'!$C6="","",'组合输入'!$H6*$B367+SQRT(1-'组合输入'!$H6^2)*W367)</f>
        <v/>
      </c>
      <c r="Y367" s="7">
        <f>IF(X367="","",NORM.S.DIST(X367,TRUE))</f>
        <v/>
      </c>
      <c r="Z367" s="13">
        <f>IF(Y367="","",IF(Y367&lt;='组合输入'!$K6,"AAA",IF(Y367&lt;='组合输入'!$L6,"AA",IF(Y367&lt;='组合输入'!$M6,"A",IF(Y367&lt;='组合输入'!$N6,"BBB",IF(Y367&lt;='组合输入'!$O6,"BB",IF(Y367&lt;='组合输入'!$P6,"B",IF(Y367&lt;='组合输入'!$Q6,"CCC","D")))))))</f>
        <v/>
      </c>
      <c r="AA367" s="12">
        <f>IF(Z367="","",INDEX('状态价值'!$D6:$K6,MATCH(Z367,'状态价值'!$D$1:$K$1,0)))</f>
        <v/>
      </c>
      <c r="AB367" s="15">
        <f>NORM.S.INV(RAND())</f>
        <v/>
      </c>
      <c r="AC367" s="15">
        <f>IF('组合输入'!$C7="","",'组合输入'!$H7*$B367+SQRT(1-'组合输入'!$H7^2)*AB367)</f>
        <v/>
      </c>
      <c r="AD367" s="7">
        <f>IF(AC367="","",NORM.S.DIST(AC367,TRUE))</f>
        <v/>
      </c>
      <c r="AE367" s="13">
        <f>IF(AD367="","",IF(AD367&lt;='组合输入'!$K7,"AAA",IF(AD367&lt;='组合输入'!$L7,"AA",IF(AD367&lt;='组合输入'!$M7,"A",IF(AD367&lt;='组合输入'!$N7,"BBB",IF(AD367&lt;='组合输入'!$O7,"BB",IF(AD367&lt;='组合输入'!$P7,"B",IF(AD367&lt;='组合输入'!$Q7,"CCC","D")))))))</f>
        <v/>
      </c>
      <c r="AF367" s="12">
        <f>IF(AE367="","",INDEX('状态价值'!$D7:$K7,MATCH(AE367,'状态价值'!$D$1:$K$1,0)))</f>
        <v/>
      </c>
      <c r="AG367" s="15">
        <f>NORM.S.INV(RAND())</f>
        <v/>
      </c>
      <c r="AH367" s="15">
        <f>IF('组合输入'!$C8="","",'组合输入'!$H8*$B367+SQRT(1-'组合输入'!$H8^2)*AG367)</f>
        <v/>
      </c>
      <c r="AI367" s="7">
        <f>IF(AH367="","",NORM.S.DIST(AH367,TRUE))</f>
        <v/>
      </c>
      <c r="AJ367" s="13">
        <f>IF(AI367="","",IF(AI367&lt;='组合输入'!$K8,"AAA",IF(AI367&lt;='组合输入'!$L8,"AA",IF(AI367&lt;='组合输入'!$M8,"A",IF(AI367&lt;='组合输入'!$N8,"BBB",IF(AI367&lt;='组合输入'!$O8,"BB",IF(AI367&lt;='组合输入'!$P8,"B",IF(AI367&lt;='组合输入'!$Q8,"CCC","D")))))))</f>
        <v/>
      </c>
      <c r="AK367" s="12">
        <f>IF(AJ367="","",INDEX('状态价值'!$D8:$K8,MATCH(AJ367,'状态价值'!$D$1:$K$1,0)))</f>
        <v/>
      </c>
      <c r="AL367" s="15">
        <f>NORM.S.INV(RAND())</f>
        <v/>
      </c>
      <c r="AM367" s="15">
        <f>IF('组合输入'!$C9="","",'组合输入'!$H9*$B367+SQRT(1-'组合输入'!$H9^2)*AL367)</f>
        <v/>
      </c>
      <c r="AN367" s="7">
        <f>IF(AM367="","",NORM.S.DIST(AM367,TRUE))</f>
        <v/>
      </c>
      <c r="AO367" s="13">
        <f>IF(AN367="","",IF(AN367&lt;='组合输入'!$K9,"AAA",IF(AN367&lt;='组合输入'!$L9,"AA",IF(AN367&lt;='组合输入'!$M9,"A",IF(AN367&lt;='组合输入'!$N9,"BBB",IF(AN367&lt;='组合输入'!$O9,"BB",IF(AN367&lt;='组合输入'!$P9,"B",IF(AN367&lt;='组合输入'!$Q9,"CCC","D")))))))</f>
        <v/>
      </c>
      <c r="AP367" s="12">
        <f>IF(AO367="","",INDEX('状态价值'!$D9:$K9,MATCH(AO367,'状态价值'!$D$1:$K$1,0)))</f>
        <v/>
      </c>
      <c r="AQ367" s="15">
        <f>NORM.S.INV(RAND())</f>
        <v/>
      </c>
      <c r="AR367" s="15">
        <f>IF('组合输入'!$C10="","",'组合输入'!$H10*$B367+SQRT(1-'组合输入'!$H10^2)*AQ367)</f>
        <v/>
      </c>
      <c r="AS367" s="7">
        <f>IF(AR367="","",NORM.S.DIST(AR367,TRUE))</f>
        <v/>
      </c>
      <c r="AT367" s="13">
        <f>IF(AS367="","",IF(AS367&lt;='组合输入'!$K10,"AAA",IF(AS367&lt;='组合输入'!$L10,"AA",IF(AS367&lt;='组合输入'!$M10,"A",IF(AS367&lt;='组合输入'!$N10,"BBB",IF(AS367&lt;='组合输入'!$O10,"BB",IF(AS367&lt;='组合输入'!$P10,"B",IF(AS367&lt;='组合输入'!$Q10,"CCC","D")))))))</f>
        <v/>
      </c>
      <c r="AU367" s="12">
        <f>IF(AT367="","",INDEX('状态价值'!$D10:$K10,MATCH(AT367,'状态价值'!$D$1:$K$1,0)))</f>
        <v/>
      </c>
      <c r="AV367" s="15">
        <f>NORM.S.INV(RAND())</f>
        <v/>
      </c>
      <c r="AW367" s="15">
        <f>IF('组合输入'!$C11="","",'组合输入'!$H11*$B367+SQRT(1-'组合输入'!$H11^2)*AV367)</f>
        <v/>
      </c>
      <c r="AX367" s="7">
        <f>IF(AW367="","",NORM.S.DIST(AW367,TRUE))</f>
        <v/>
      </c>
      <c r="AY367" s="13">
        <f>IF(AX367="","",IF(AX367&lt;='组合输入'!$K11,"AAA",IF(AX367&lt;='组合输入'!$L11,"AA",IF(AX367&lt;='组合输入'!$M11,"A",IF(AX367&lt;='组合输入'!$N11,"BBB",IF(AX367&lt;='组合输入'!$O11,"BB",IF(AX367&lt;='组合输入'!$P11,"B",IF(AX367&lt;='组合输入'!$Q11,"CCC","D")))))))</f>
        <v/>
      </c>
      <c r="AZ367" s="12">
        <f>IF(AY367="","",INDEX('状态价值'!$D11:$K11,MATCH(AY367,'状态价值'!$D$1:$K$1,0)))</f>
        <v/>
      </c>
      <c r="BA367" s="12">
        <f>G367+L367+Q367+V367+AA367+AF367+AK367+AP367+AU367+AZ367</f>
        <v/>
      </c>
      <c r="BB367" s="12">
        <f>SUM('组合输入'!$J$2:$J$11)-BA367</f>
        <v/>
      </c>
    </row>
    <row r="368">
      <c r="A368" s="11" t="n">
        <v>367</v>
      </c>
      <c r="B368" s="14">
        <f>NORM.S.INV(RAND())</f>
        <v/>
      </c>
      <c r="C368" s="14">
        <f>NORM.S.INV(RAND())</f>
        <v/>
      </c>
      <c r="D368" s="15">
        <f>IF('组合输入'!$C2="","",'组合输入'!$H2*$B368+SQRT(1-'组合输入'!$H2^2)*C368)</f>
        <v/>
      </c>
      <c r="E368" s="7">
        <f>IF(D368="","",NORM.S.DIST(D368,TRUE))</f>
        <v/>
      </c>
      <c r="F368" s="13">
        <f>IF(E368="","",IF(E368&lt;='组合输入'!$K2,"AAA",IF(E368&lt;='组合输入'!$L2,"AA",IF(E368&lt;='组合输入'!$M2,"A",IF(E368&lt;='组合输入'!$N2,"BBB",IF(E368&lt;='组合输入'!$O2,"BB",IF(E368&lt;='组合输入'!$P2,"B",IF(E368&lt;='组合输入'!$Q2,"CCC","D")))))))</f>
        <v/>
      </c>
      <c r="G368" s="12">
        <f>IF(F368="","",INDEX('状态价值'!$D2:$K2,MATCH(F368,'状态价值'!$D$1:$K$1,0)))</f>
        <v/>
      </c>
      <c r="H368" s="15">
        <f>NORM.S.INV(RAND())</f>
        <v/>
      </c>
      <c r="I368" s="15">
        <f>IF('组合输入'!$C3="","",'组合输入'!$H3*$B368+SQRT(1-'组合输入'!$H3^2)*H368)</f>
        <v/>
      </c>
      <c r="J368" s="7">
        <f>IF(I368="","",NORM.S.DIST(I368,TRUE))</f>
        <v/>
      </c>
      <c r="K368" s="13">
        <f>IF(J368="","",IF(J368&lt;='组合输入'!$K3,"AAA",IF(J368&lt;='组合输入'!$L3,"AA",IF(J368&lt;='组合输入'!$M3,"A",IF(J368&lt;='组合输入'!$N3,"BBB",IF(J368&lt;='组合输入'!$O3,"BB",IF(J368&lt;='组合输入'!$P3,"B",IF(J368&lt;='组合输入'!$Q3,"CCC","D")))))))</f>
        <v/>
      </c>
      <c r="L368" s="12">
        <f>IF(K368="","",INDEX('状态价值'!$D3:$K3,MATCH(K368,'状态价值'!$D$1:$K$1,0)))</f>
        <v/>
      </c>
      <c r="M368" s="15">
        <f>NORM.S.INV(RAND())</f>
        <v/>
      </c>
      <c r="N368" s="15">
        <f>IF('组合输入'!$C4="","",'组合输入'!$H4*$B368+SQRT(1-'组合输入'!$H4^2)*M368)</f>
        <v/>
      </c>
      <c r="O368" s="7">
        <f>IF(N368="","",NORM.S.DIST(N368,TRUE))</f>
        <v/>
      </c>
      <c r="P368" s="13">
        <f>IF(O368="","",IF(O368&lt;='组合输入'!$K4,"AAA",IF(O368&lt;='组合输入'!$L4,"AA",IF(O368&lt;='组合输入'!$M4,"A",IF(O368&lt;='组合输入'!$N4,"BBB",IF(O368&lt;='组合输入'!$O4,"BB",IF(O368&lt;='组合输入'!$P4,"B",IF(O368&lt;='组合输入'!$Q4,"CCC","D")))))))</f>
        <v/>
      </c>
      <c r="Q368" s="12">
        <f>IF(P368="","",INDEX('状态价值'!$D4:$K4,MATCH(P368,'状态价值'!$D$1:$K$1,0)))</f>
        <v/>
      </c>
      <c r="R368" s="15">
        <f>NORM.S.INV(RAND())</f>
        <v/>
      </c>
      <c r="S368" s="15">
        <f>IF('组合输入'!$C5="","",'组合输入'!$H5*$B368+SQRT(1-'组合输入'!$H5^2)*R368)</f>
        <v/>
      </c>
      <c r="T368" s="7">
        <f>IF(S368="","",NORM.S.DIST(S368,TRUE))</f>
        <v/>
      </c>
      <c r="U368" s="13">
        <f>IF(T368="","",IF(T368&lt;='组合输入'!$K5,"AAA",IF(T368&lt;='组合输入'!$L5,"AA",IF(T368&lt;='组合输入'!$M5,"A",IF(T368&lt;='组合输入'!$N5,"BBB",IF(T368&lt;='组合输入'!$O5,"BB",IF(T368&lt;='组合输入'!$P5,"B",IF(T368&lt;='组合输入'!$Q5,"CCC","D")))))))</f>
        <v/>
      </c>
      <c r="V368" s="12">
        <f>IF(U368="","",INDEX('状态价值'!$D5:$K5,MATCH(U368,'状态价值'!$D$1:$K$1,0)))</f>
        <v/>
      </c>
      <c r="W368" s="15">
        <f>NORM.S.INV(RAND())</f>
        <v/>
      </c>
      <c r="X368" s="15">
        <f>IF('组合输入'!$C6="","",'组合输入'!$H6*$B368+SQRT(1-'组合输入'!$H6^2)*W368)</f>
        <v/>
      </c>
      <c r="Y368" s="7">
        <f>IF(X368="","",NORM.S.DIST(X368,TRUE))</f>
        <v/>
      </c>
      <c r="Z368" s="13">
        <f>IF(Y368="","",IF(Y368&lt;='组合输入'!$K6,"AAA",IF(Y368&lt;='组合输入'!$L6,"AA",IF(Y368&lt;='组合输入'!$M6,"A",IF(Y368&lt;='组合输入'!$N6,"BBB",IF(Y368&lt;='组合输入'!$O6,"BB",IF(Y368&lt;='组合输入'!$P6,"B",IF(Y368&lt;='组合输入'!$Q6,"CCC","D")))))))</f>
        <v/>
      </c>
      <c r="AA368" s="12">
        <f>IF(Z368="","",INDEX('状态价值'!$D6:$K6,MATCH(Z368,'状态价值'!$D$1:$K$1,0)))</f>
        <v/>
      </c>
      <c r="AB368" s="15">
        <f>NORM.S.INV(RAND())</f>
        <v/>
      </c>
      <c r="AC368" s="15">
        <f>IF('组合输入'!$C7="","",'组合输入'!$H7*$B368+SQRT(1-'组合输入'!$H7^2)*AB368)</f>
        <v/>
      </c>
      <c r="AD368" s="7">
        <f>IF(AC368="","",NORM.S.DIST(AC368,TRUE))</f>
        <v/>
      </c>
      <c r="AE368" s="13">
        <f>IF(AD368="","",IF(AD368&lt;='组合输入'!$K7,"AAA",IF(AD368&lt;='组合输入'!$L7,"AA",IF(AD368&lt;='组合输入'!$M7,"A",IF(AD368&lt;='组合输入'!$N7,"BBB",IF(AD368&lt;='组合输入'!$O7,"BB",IF(AD368&lt;='组合输入'!$P7,"B",IF(AD368&lt;='组合输入'!$Q7,"CCC","D")))))))</f>
        <v/>
      </c>
      <c r="AF368" s="12">
        <f>IF(AE368="","",INDEX('状态价值'!$D7:$K7,MATCH(AE368,'状态价值'!$D$1:$K$1,0)))</f>
        <v/>
      </c>
      <c r="AG368" s="15">
        <f>NORM.S.INV(RAND())</f>
        <v/>
      </c>
      <c r="AH368" s="15">
        <f>IF('组合输入'!$C8="","",'组合输入'!$H8*$B368+SQRT(1-'组合输入'!$H8^2)*AG368)</f>
        <v/>
      </c>
      <c r="AI368" s="7">
        <f>IF(AH368="","",NORM.S.DIST(AH368,TRUE))</f>
        <v/>
      </c>
      <c r="AJ368" s="13">
        <f>IF(AI368="","",IF(AI368&lt;='组合输入'!$K8,"AAA",IF(AI368&lt;='组合输入'!$L8,"AA",IF(AI368&lt;='组合输入'!$M8,"A",IF(AI368&lt;='组合输入'!$N8,"BBB",IF(AI368&lt;='组合输入'!$O8,"BB",IF(AI368&lt;='组合输入'!$P8,"B",IF(AI368&lt;='组合输入'!$Q8,"CCC","D")))))))</f>
        <v/>
      </c>
      <c r="AK368" s="12">
        <f>IF(AJ368="","",INDEX('状态价值'!$D8:$K8,MATCH(AJ368,'状态价值'!$D$1:$K$1,0)))</f>
        <v/>
      </c>
      <c r="AL368" s="15">
        <f>NORM.S.INV(RAND())</f>
        <v/>
      </c>
      <c r="AM368" s="15">
        <f>IF('组合输入'!$C9="","",'组合输入'!$H9*$B368+SQRT(1-'组合输入'!$H9^2)*AL368)</f>
        <v/>
      </c>
      <c r="AN368" s="7">
        <f>IF(AM368="","",NORM.S.DIST(AM368,TRUE))</f>
        <v/>
      </c>
      <c r="AO368" s="13">
        <f>IF(AN368="","",IF(AN368&lt;='组合输入'!$K9,"AAA",IF(AN368&lt;='组合输入'!$L9,"AA",IF(AN368&lt;='组合输入'!$M9,"A",IF(AN368&lt;='组合输入'!$N9,"BBB",IF(AN368&lt;='组合输入'!$O9,"BB",IF(AN368&lt;='组合输入'!$P9,"B",IF(AN368&lt;='组合输入'!$Q9,"CCC","D")))))))</f>
        <v/>
      </c>
      <c r="AP368" s="12">
        <f>IF(AO368="","",INDEX('状态价值'!$D9:$K9,MATCH(AO368,'状态价值'!$D$1:$K$1,0)))</f>
        <v/>
      </c>
      <c r="AQ368" s="15">
        <f>NORM.S.INV(RAND())</f>
        <v/>
      </c>
      <c r="AR368" s="15">
        <f>IF('组合输入'!$C10="","",'组合输入'!$H10*$B368+SQRT(1-'组合输入'!$H10^2)*AQ368)</f>
        <v/>
      </c>
      <c r="AS368" s="7">
        <f>IF(AR368="","",NORM.S.DIST(AR368,TRUE))</f>
        <v/>
      </c>
      <c r="AT368" s="13">
        <f>IF(AS368="","",IF(AS368&lt;='组合输入'!$K10,"AAA",IF(AS368&lt;='组合输入'!$L10,"AA",IF(AS368&lt;='组合输入'!$M10,"A",IF(AS368&lt;='组合输入'!$N10,"BBB",IF(AS368&lt;='组合输入'!$O10,"BB",IF(AS368&lt;='组合输入'!$P10,"B",IF(AS368&lt;='组合输入'!$Q10,"CCC","D")))))))</f>
        <v/>
      </c>
      <c r="AU368" s="12">
        <f>IF(AT368="","",INDEX('状态价值'!$D10:$K10,MATCH(AT368,'状态价值'!$D$1:$K$1,0)))</f>
        <v/>
      </c>
      <c r="AV368" s="15">
        <f>NORM.S.INV(RAND())</f>
        <v/>
      </c>
      <c r="AW368" s="15">
        <f>IF('组合输入'!$C11="","",'组合输入'!$H11*$B368+SQRT(1-'组合输入'!$H11^2)*AV368)</f>
        <v/>
      </c>
      <c r="AX368" s="7">
        <f>IF(AW368="","",NORM.S.DIST(AW368,TRUE))</f>
        <v/>
      </c>
      <c r="AY368" s="13">
        <f>IF(AX368="","",IF(AX368&lt;='组合输入'!$K11,"AAA",IF(AX368&lt;='组合输入'!$L11,"AA",IF(AX368&lt;='组合输入'!$M11,"A",IF(AX368&lt;='组合输入'!$N11,"BBB",IF(AX368&lt;='组合输入'!$O11,"BB",IF(AX368&lt;='组合输入'!$P11,"B",IF(AX368&lt;='组合输入'!$Q11,"CCC","D")))))))</f>
        <v/>
      </c>
      <c r="AZ368" s="12">
        <f>IF(AY368="","",INDEX('状态价值'!$D11:$K11,MATCH(AY368,'状态价值'!$D$1:$K$1,0)))</f>
        <v/>
      </c>
      <c r="BA368" s="12">
        <f>G368+L368+Q368+V368+AA368+AF368+AK368+AP368+AU368+AZ368</f>
        <v/>
      </c>
      <c r="BB368" s="12">
        <f>SUM('组合输入'!$J$2:$J$11)-BA368</f>
        <v/>
      </c>
    </row>
    <row r="369">
      <c r="A369" s="11" t="n">
        <v>368</v>
      </c>
      <c r="B369" s="14">
        <f>NORM.S.INV(RAND())</f>
        <v/>
      </c>
      <c r="C369" s="14">
        <f>NORM.S.INV(RAND())</f>
        <v/>
      </c>
      <c r="D369" s="15">
        <f>IF('组合输入'!$C2="","",'组合输入'!$H2*$B369+SQRT(1-'组合输入'!$H2^2)*C369)</f>
        <v/>
      </c>
      <c r="E369" s="7">
        <f>IF(D369="","",NORM.S.DIST(D369,TRUE))</f>
        <v/>
      </c>
      <c r="F369" s="13">
        <f>IF(E369="","",IF(E369&lt;='组合输入'!$K2,"AAA",IF(E369&lt;='组合输入'!$L2,"AA",IF(E369&lt;='组合输入'!$M2,"A",IF(E369&lt;='组合输入'!$N2,"BBB",IF(E369&lt;='组合输入'!$O2,"BB",IF(E369&lt;='组合输入'!$P2,"B",IF(E369&lt;='组合输入'!$Q2,"CCC","D")))))))</f>
        <v/>
      </c>
      <c r="G369" s="12">
        <f>IF(F369="","",INDEX('状态价值'!$D2:$K2,MATCH(F369,'状态价值'!$D$1:$K$1,0)))</f>
        <v/>
      </c>
      <c r="H369" s="15">
        <f>NORM.S.INV(RAND())</f>
        <v/>
      </c>
      <c r="I369" s="15">
        <f>IF('组合输入'!$C3="","",'组合输入'!$H3*$B369+SQRT(1-'组合输入'!$H3^2)*H369)</f>
        <v/>
      </c>
      <c r="J369" s="7">
        <f>IF(I369="","",NORM.S.DIST(I369,TRUE))</f>
        <v/>
      </c>
      <c r="K369" s="13">
        <f>IF(J369="","",IF(J369&lt;='组合输入'!$K3,"AAA",IF(J369&lt;='组合输入'!$L3,"AA",IF(J369&lt;='组合输入'!$M3,"A",IF(J369&lt;='组合输入'!$N3,"BBB",IF(J369&lt;='组合输入'!$O3,"BB",IF(J369&lt;='组合输入'!$P3,"B",IF(J369&lt;='组合输入'!$Q3,"CCC","D")))))))</f>
        <v/>
      </c>
      <c r="L369" s="12">
        <f>IF(K369="","",INDEX('状态价值'!$D3:$K3,MATCH(K369,'状态价值'!$D$1:$K$1,0)))</f>
        <v/>
      </c>
      <c r="M369" s="15">
        <f>NORM.S.INV(RAND())</f>
        <v/>
      </c>
      <c r="N369" s="15">
        <f>IF('组合输入'!$C4="","",'组合输入'!$H4*$B369+SQRT(1-'组合输入'!$H4^2)*M369)</f>
        <v/>
      </c>
      <c r="O369" s="7">
        <f>IF(N369="","",NORM.S.DIST(N369,TRUE))</f>
        <v/>
      </c>
      <c r="P369" s="13">
        <f>IF(O369="","",IF(O369&lt;='组合输入'!$K4,"AAA",IF(O369&lt;='组合输入'!$L4,"AA",IF(O369&lt;='组合输入'!$M4,"A",IF(O369&lt;='组合输入'!$N4,"BBB",IF(O369&lt;='组合输入'!$O4,"BB",IF(O369&lt;='组合输入'!$P4,"B",IF(O369&lt;='组合输入'!$Q4,"CCC","D")))))))</f>
        <v/>
      </c>
      <c r="Q369" s="12">
        <f>IF(P369="","",INDEX('状态价值'!$D4:$K4,MATCH(P369,'状态价值'!$D$1:$K$1,0)))</f>
        <v/>
      </c>
      <c r="R369" s="15">
        <f>NORM.S.INV(RAND())</f>
        <v/>
      </c>
      <c r="S369" s="15">
        <f>IF('组合输入'!$C5="","",'组合输入'!$H5*$B369+SQRT(1-'组合输入'!$H5^2)*R369)</f>
        <v/>
      </c>
      <c r="T369" s="7">
        <f>IF(S369="","",NORM.S.DIST(S369,TRUE))</f>
        <v/>
      </c>
      <c r="U369" s="13">
        <f>IF(T369="","",IF(T369&lt;='组合输入'!$K5,"AAA",IF(T369&lt;='组合输入'!$L5,"AA",IF(T369&lt;='组合输入'!$M5,"A",IF(T369&lt;='组合输入'!$N5,"BBB",IF(T369&lt;='组合输入'!$O5,"BB",IF(T369&lt;='组合输入'!$P5,"B",IF(T369&lt;='组合输入'!$Q5,"CCC","D")))))))</f>
        <v/>
      </c>
      <c r="V369" s="12">
        <f>IF(U369="","",INDEX('状态价值'!$D5:$K5,MATCH(U369,'状态价值'!$D$1:$K$1,0)))</f>
        <v/>
      </c>
      <c r="W369" s="15">
        <f>NORM.S.INV(RAND())</f>
        <v/>
      </c>
      <c r="X369" s="15">
        <f>IF('组合输入'!$C6="","",'组合输入'!$H6*$B369+SQRT(1-'组合输入'!$H6^2)*W369)</f>
        <v/>
      </c>
      <c r="Y369" s="7">
        <f>IF(X369="","",NORM.S.DIST(X369,TRUE))</f>
        <v/>
      </c>
      <c r="Z369" s="13">
        <f>IF(Y369="","",IF(Y369&lt;='组合输入'!$K6,"AAA",IF(Y369&lt;='组合输入'!$L6,"AA",IF(Y369&lt;='组合输入'!$M6,"A",IF(Y369&lt;='组合输入'!$N6,"BBB",IF(Y369&lt;='组合输入'!$O6,"BB",IF(Y369&lt;='组合输入'!$P6,"B",IF(Y369&lt;='组合输入'!$Q6,"CCC","D")))))))</f>
        <v/>
      </c>
      <c r="AA369" s="12">
        <f>IF(Z369="","",INDEX('状态价值'!$D6:$K6,MATCH(Z369,'状态价值'!$D$1:$K$1,0)))</f>
        <v/>
      </c>
      <c r="AB369" s="15">
        <f>NORM.S.INV(RAND())</f>
        <v/>
      </c>
      <c r="AC369" s="15">
        <f>IF('组合输入'!$C7="","",'组合输入'!$H7*$B369+SQRT(1-'组合输入'!$H7^2)*AB369)</f>
        <v/>
      </c>
      <c r="AD369" s="7">
        <f>IF(AC369="","",NORM.S.DIST(AC369,TRUE))</f>
        <v/>
      </c>
      <c r="AE369" s="13">
        <f>IF(AD369="","",IF(AD369&lt;='组合输入'!$K7,"AAA",IF(AD369&lt;='组合输入'!$L7,"AA",IF(AD369&lt;='组合输入'!$M7,"A",IF(AD369&lt;='组合输入'!$N7,"BBB",IF(AD369&lt;='组合输入'!$O7,"BB",IF(AD369&lt;='组合输入'!$P7,"B",IF(AD369&lt;='组合输入'!$Q7,"CCC","D")))))))</f>
        <v/>
      </c>
      <c r="AF369" s="12">
        <f>IF(AE369="","",INDEX('状态价值'!$D7:$K7,MATCH(AE369,'状态价值'!$D$1:$K$1,0)))</f>
        <v/>
      </c>
      <c r="AG369" s="15">
        <f>NORM.S.INV(RAND())</f>
        <v/>
      </c>
      <c r="AH369" s="15">
        <f>IF('组合输入'!$C8="","",'组合输入'!$H8*$B369+SQRT(1-'组合输入'!$H8^2)*AG369)</f>
        <v/>
      </c>
      <c r="AI369" s="7">
        <f>IF(AH369="","",NORM.S.DIST(AH369,TRUE))</f>
        <v/>
      </c>
      <c r="AJ369" s="13">
        <f>IF(AI369="","",IF(AI369&lt;='组合输入'!$K8,"AAA",IF(AI369&lt;='组合输入'!$L8,"AA",IF(AI369&lt;='组合输入'!$M8,"A",IF(AI369&lt;='组合输入'!$N8,"BBB",IF(AI369&lt;='组合输入'!$O8,"BB",IF(AI369&lt;='组合输入'!$P8,"B",IF(AI369&lt;='组合输入'!$Q8,"CCC","D")))))))</f>
        <v/>
      </c>
      <c r="AK369" s="12">
        <f>IF(AJ369="","",INDEX('状态价值'!$D8:$K8,MATCH(AJ369,'状态价值'!$D$1:$K$1,0)))</f>
        <v/>
      </c>
      <c r="AL369" s="15">
        <f>NORM.S.INV(RAND())</f>
        <v/>
      </c>
      <c r="AM369" s="15">
        <f>IF('组合输入'!$C9="","",'组合输入'!$H9*$B369+SQRT(1-'组合输入'!$H9^2)*AL369)</f>
        <v/>
      </c>
      <c r="AN369" s="7">
        <f>IF(AM369="","",NORM.S.DIST(AM369,TRUE))</f>
        <v/>
      </c>
      <c r="AO369" s="13">
        <f>IF(AN369="","",IF(AN369&lt;='组合输入'!$K9,"AAA",IF(AN369&lt;='组合输入'!$L9,"AA",IF(AN369&lt;='组合输入'!$M9,"A",IF(AN369&lt;='组合输入'!$N9,"BBB",IF(AN369&lt;='组合输入'!$O9,"BB",IF(AN369&lt;='组合输入'!$P9,"B",IF(AN369&lt;='组合输入'!$Q9,"CCC","D")))))))</f>
        <v/>
      </c>
      <c r="AP369" s="12">
        <f>IF(AO369="","",INDEX('状态价值'!$D9:$K9,MATCH(AO369,'状态价值'!$D$1:$K$1,0)))</f>
        <v/>
      </c>
      <c r="AQ369" s="15">
        <f>NORM.S.INV(RAND())</f>
        <v/>
      </c>
      <c r="AR369" s="15">
        <f>IF('组合输入'!$C10="","",'组合输入'!$H10*$B369+SQRT(1-'组合输入'!$H10^2)*AQ369)</f>
        <v/>
      </c>
      <c r="AS369" s="7">
        <f>IF(AR369="","",NORM.S.DIST(AR369,TRUE))</f>
        <v/>
      </c>
      <c r="AT369" s="13">
        <f>IF(AS369="","",IF(AS369&lt;='组合输入'!$K10,"AAA",IF(AS369&lt;='组合输入'!$L10,"AA",IF(AS369&lt;='组合输入'!$M10,"A",IF(AS369&lt;='组合输入'!$N10,"BBB",IF(AS369&lt;='组合输入'!$O10,"BB",IF(AS369&lt;='组合输入'!$P10,"B",IF(AS369&lt;='组合输入'!$Q10,"CCC","D")))))))</f>
        <v/>
      </c>
      <c r="AU369" s="12">
        <f>IF(AT369="","",INDEX('状态价值'!$D10:$K10,MATCH(AT369,'状态价值'!$D$1:$K$1,0)))</f>
        <v/>
      </c>
      <c r="AV369" s="15">
        <f>NORM.S.INV(RAND())</f>
        <v/>
      </c>
      <c r="AW369" s="15">
        <f>IF('组合输入'!$C11="","",'组合输入'!$H11*$B369+SQRT(1-'组合输入'!$H11^2)*AV369)</f>
        <v/>
      </c>
      <c r="AX369" s="7">
        <f>IF(AW369="","",NORM.S.DIST(AW369,TRUE))</f>
        <v/>
      </c>
      <c r="AY369" s="13">
        <f>IF(AX369="","",IF(AX369&lt;='组合输入'!$K11,"AAA",IF(AX369&lt;='组合输入'!$L11,"AA",IF(AX369&lt;='组合输入'!$M11,"A",IF(AX369&lt;='组合输入'!$N11,"BBB",IF(AX369&lt;='组合输入'!$O11,"BB",IF(AX369&lt;='组合输入'!$P11,"B",IF(AX369&lt;='组合输入'!$Q11,"CCC","D")))))))</f>
        <v/>
      </c>
      <c r="AZ369" s="12">
        <f>IF(AY369="","",INDEX('状态价值'!$D11:$K11,MATCH(AY369,'状态价值'!$D$1:$K$1,0)))</f>
        <v/>
      </c>
      <c r="BA369" s="12">
        <f>G369+L369+Q369+V369+AA369+AF369+AK369+AP369+AU369+AZ369</f>
        <v/>
      </c>
      <c r="BB369" s="12">
        <f>SUM('组合输入'!$J$2:$J$11)-BA369</f>
        <v/>
      </c>
    </row>
    <row r="370">
      <c r="A370" s="11" t="n">
        <v>369</v>
      </c>
      <c r="B370" s="14">
        <f>NORM.S.INV(RAND())</f>
        <v/>
      </c>
      <c r="C370" s="14">
        <f>NORM.S.INV(RAND())</f>
        <v/>
      </c>
      <c r="D370" s="15">
        <f>IF('组合输入'!$C2="","",'组合输入'!$H2*$B370+SQRT(1-'组合输入'!$H2^2)*C370)</f>
        <v/>
      </c>
      <c r="E370" s="7">
        <f>IF(D370="","",NORM.S.DIST(D370,TRUE))</f>
        <v/>
      </c>
      <c r="F370" s="13">
        <f>IF(E370="","",IF(E370&lt;='组合输入'!$K2,"AAA",IF(E370&lt;='组合输入'!$L2,"AA",IF(E370&lt;='组合输入'!$M2,"A",IF(E370&lt;='组合输入'!$N2,"BBB",IF(E370&lt;='组合输入'!$O2,"BB",IF(E370&lt;='组合输入'!$P2,"B",IF(E370&lt;='组合输入'!$Q2,"CCC","D")))))))</f>
        <v/>
      </c>
      <c r="G370" s="12">
        <f>IF(F370="","",INDEX('状态价值'!$D2:$K2,MATCH(F370,'状态价值'!$D$1:$K$1,0)))</f>
        <v/>
      </c>
      <c r="H370" s="15">
        <f>NORM.S.INV(RAND())</f>
        <v/>
      </c>
      <c r="I370" s="15">
        <f>IF('组合输入'!$C3="","",'组合输入'!$H3*$B370+SQRT(1-'组合输入'!$H3^2)*H370)</f>
        <v/>
      </c>
      <c r="J370" s="7">
        <f>IF(I370="","",NORM.S.DIST(I370,TRUE))</f>
        <v/>
      </c>
      <c r="K370" s="13">
        <f>IF(J370="","",IF(J370&lt;='组合输入'!$K3,"AAA",IF(J370&lt;='组合输入'!$L3,"AA",IF(J370&lt;='组合输入'!$M3,"A",IF(J370&lt;='组合输入'!$N3,"BBB",IF(J370&lt;='组合输入'!$O3,"BB",IF(J370&lt;='组合输入'!$P3,"B",IF(J370&lt;='组合输入'!$Q3,"CCC","D")))))))</f>
        <v/>
      </c>
      <c r="L370" s="12">
        <f>IF(K370="","",INDEX('状态价值'!$D3:$K3,MATCH(K370,'状态价值'!$D$1:$K$1,0)))</f>
        <v/>
      </c>
      <c r="M370" s="15">
        <f>NORM.S.INV(RAND())</f>
        <v/>
      </c>
      <c r="N370" s="15">
        <f>IF('组合输入'!$C4="","",'组合输入'!$H4*$B370+SQRT(1-'组合输入'!$H4^2)*M370)</f>
        <v/>
      </c>
      <c r="O370" s="7">
        <f>IF(N370="","",NORM.S.DIST(N370,TRUE))</f>
        <v/>
      </c>
      <c r="P370" s="13">
        <f>IF(O370="","",IF(O370&lt;='组合输入'!$K4,"AAA",IF(O370&lt;='组合输入'!$L4,"AA",IF(O370&lt;='组合输入'!$M4,"A",IF(O370&lt;='组合输入'!$N4,"BBB",IF(O370&lt;='组合输入'!$O4,"BB",IF(O370&lt;='组合输入'!$P4,"B",IF(O370&lt;='组合输入'!$Q4,"CCC","D")))))))</f>
        <v/>
      </c>
      <c r="Q370" s="12">
        <f>IF(P370="","",INDEX('状态价值'!$D4:$K4,MATCH(P370,'状态价值'!$D$1:$K$1,0)))</f>
        <v/>
      </c>
      <c r="R370" s="15">
        <f>NORM.S.INV(RAND())</f>
        <v/>
      </c>
      <c r="S370" s="15">
        <f>IF('组合输入'!$C5="","",'组合输入'!$H5*$B370+SQRT(1-'组合输入'!$H5^2)*R370)</f>
        <v/>
      </c>
      <c r="T370" s="7">
        <f>IF(S370="","",NORM.S.DIST(S370,TRUE))</f>
        <v/>
      </c>
      <c r="U370" s="13">
        <f>IF(T370="","",IF(T370&lt;='组合输入'!$K5,"AAA",IF(T370&lt;='组合输入'!$L5,"AA",IF(T370&lt;='组合输入'!$M5,"A",IF(T370&lt;='组合输入'!$N5,"BBB",IF(T370&lt;='组合输入'!$O5,"BB",IF(T370&lt;='组合输入'!$P5,"B",IF(T370&lt;='组合输入'!$Q5,"CCC","D")))))))</f>
        <v/>
      </c>
      <c r="V370" s="12">
        <f>IF(U370="","",INDEX('状态价值'!$D5:$K5,MATCH(U370,'状态价值'!$D$1:$K$1,0)))</f>
        <v/>
      </c>
      <c r="W370" s="15">
        <f>NORM.S.INV(RAND())</f>
        <v/>
      </c>
      <c r="X370" s="15">
        <f>IF('组合输入'!$C6="","",'组合输入'!$H6*$B370+SQRT(1-'组合输入'!$H6^2)*W370)</f>
        <v/>
      </c>
      <c r="Y370" s="7">
        <f>IF(X370="","",NORM.S.DIST(X370,TRUE))</f>
        <v/>
      </c>
      <c r="Z370" s="13">
        <f>IF(Y370="","",IF(Y370&lt;='组合输入'!$K6,"AAA",IF(Y370&lt;='组合输入'!$L6,"AA",IF(Y370&lt;='组合输入'!$M6,"A",IF(Y370&lt;='组合输入'!$N6,"BBB",IF(Y370&lt;='组合输入'!$O6,"BB",IF(Y370&lt;='组合输入'!$P6,"B",IF(Y370&lt;='组合输入'!$Q6,"CCC","D")))))))</f>
        <v/>
      </c>
      <c r="AA370" s="12">
        <f>IF(Z370="","",INDEX('状态价值'!$D6:$K6,MATCH(Z370,'状态价值'!$D$1:$K$1,0)))</f>
        <v/>
      </c>
      <c r="AB370" s="15">
        <f>NORM.S.INV(RAND())</f>
        <v/>
      </c>
      <c r="AC370" s="15">
        <f>IF('组合输入'!$C7="","",'组合输入'!$H7*$B370+SQRT(1-'组合输入'!$H7^2)*AB370)</f>
        <v/>
      </c>
      <c r="AD370" s="7">
        <f>IF(AC370="","",NORM.S.DIST(AC370,TRUE))</f>
        <v/>
      </c>
      <c r="AE370" s="13">
        <f>IF(AD370="","",IF(AD370&lt;='组合输入'!$K7,"AAA",IF(AD370&lt;='组合输入'!$L7,"AA",IF(AD370&lt;='组合输入'!$M7,"A",IF(AD370&lt;='组合输入'!$N7,"BBB",IF(AD370&lt;='组合输入'!$O7,"BB",IF(AD370&lt;='组合输入'!$P7,"B",IF(AD370&lt;='组合输入'!$Q7,"CCC","D")))))))</f>
        <v/>
      </c>
      <c r="AF370" s="12">
        <f>IF(AE370="","",INDEX('状态价值'!$D7:$K7,MATCH(AE370,'状态价值'!$D$1:$K$1,0)))</f>
        <v/>
      </c>
      <c r="AG370" s="15">
        <f>NORM.S.INV(RAND())</f>
        <v/>
      </c>
      <c r="AH370" s="15">
        <f>IF('组合输入'!$C8="","",'组合输入'!$H8*$B370+SQRT(1-'组合输入'!$H8^2)*AG370)</f>
        <v/>
      </c>
      <c r="AI370" s="7">
        <f>IF(AH370="","",NORM.S.DIST(AH370,TRUE))</f>
        <v/>
      </c>
      <c r="AJ370" s="13">
        <f>IF(AI370="","",IF(AI370&lt;='组合输入'!$K8,"AAA",IF(AI370&lt;='组合输入'!$L8,"AA",IF(AI370&lt;='组合输入'!$M8,"A",IF(AI370&lt;='组合输入'!$N8,"BBB",IF(AI370&lt;='组合输入'!$O8,"BB",IF(AI370&lt;='组合输入'!$P8,"B",IF(AI370&lt;='组合输入'!$Q8,"CCC","D")))))))</f>
        <v/>
      </c>
      <c r="AK370" s="12">
        <f>IF(AJ370="","",INDEX('状态价值'!$D8:$K8,MATCH(AJ370,'状态价值'!$D$1:$K$1,0)))</f>
        <v/>
      </c>
      <c r="AL370" s="15">
        <f>NORM.S.INV(RAND())</f>
        <v/>
      </c>
      <c r="AM370" s="15">
        <f>IF('组合输入'!$C9="","",'组合输入'!$H9*$B370+SQRT(1-'组合输入'!$H9^2)*AL370)</f>
        <v/>
      </c>
      <c r="AN370" s="7">
        <f>IF(AM370="","",NORM.S.DIST(AM370,TRUE))</f>
        <v/>
      </c>
      <c r="AO370" s="13">
        <f>IF(AN370="","",IF(AN370&lt;='组合输入'!$K9,"AAA",IF(AN370&lt;='组合输入'!$L9,"AA",IF(AN370&lt;='组合输入'!$M9,"A",IF(AN370&lt;='组合输入'!$N9,"BBB",IF(AN370&lt;='组合输入'!$O9,"BB",IF(AN370&lt;='组合输入'!$P9,"B",IF(AN370&lt;='组合输入'!$Q9,"CCC","D")))))))</f>
        <v/>
      </c>
      <c r="AP370" s="12">
        <f>IF(AO370="","",INDEX('状态价值'!$D9:$K9,MATCH(AO370,'状态价值'!$D$1:$K$1,0)))</f>
        <v/>
      </c>
      <c r="AQ370" s="15">
        <f>NORM.S.INV(RAND())</f>
        <v/>
      </c>
      <c r="AR370" s="15">
        <f>IF('组合输入'!$C10="","",'组合输入'!$H10*$B370+SQRT(1-'组合输入'!$H10^2)*AQ370)</f>
        <v/>
      </c>
      <c r="AS370" s="7">
        <f>IF(AR370="","",NORM.S.DIST(AR370,TRUE))</f>
        <v/>
      </c>
      <c r="AT370" s="13">
        <f>IF(AS370="","",IF(AS370&lt;='组合输入'!$K10,"AAA",IF(AS370&lt;='组合输入'!$L10,"AA",IF(AS370&lt;='组合输入'!$M10,"A",IF(AS370&lt;='组合输入'!$N10,"BBB",IF(AS370&lt;='组合输入'!$O10,"BB",IF(AS370&lt;='组合输入'!$P10,"B",IF(AS370&lt;='组合输入'!$Q10,"CCC","D")))))))</f>
        <v/>
      </c>
      <c r="AU370" s="12">
        <f>IF(AT370="","",INDEX('状态价值'!$D10:$K10,MATCH(AT370,'状态价值'!$D$1:$K$1,0)))</f>
        <v/>
      </c>
      <c r="AV370" s="15">
        <f>NORM.S.INV(RAND())</f>
        <v/>
      </c>
      <c r="AW370" s="15">
        <f>IF('组合输入'!$C11="","",'组合输入'!$H11*$B370+SQRT(1-'组合输入'!$H11^2)*AV370)</f>
        <v/>
      </c>
      <c r="AX370" s="7">
        <f>IF(AW370="","",NORM.S.DIST(AW370,TRUE))</f>
        <v/>
      </c>
      <c r="AY370" s="13">
        <f>IF(AX370="","",IF(AX370&lt;='组合输入'!$K11,"AAA",IF(AX370&lt;='组合输入'!$L11,"AA",IF(AX370&lt;='组合输入'!$M11,"A",IF(AX370&lt;='组合输入'!$N11,"BBB",IF(AX370&lt;='组合输入'!$O11,"BB",IF(AX370&lt;='组合输入'!$P11,"B",IF(AX370&lt;='组合输入'!$Q11,"CCC","D")))))))</f>
        <v/>
      </c>
      <c r="AZ370" s="12">
        <f>IF(AY370="","",INDEX('状态价值'!$D11:$K11,MATCH(AY370,'状态价值'!$D$1:$K$1,0)))</f>
        <v/>
      </c>
      <c r="BA370" s="12">
        <f>G370+L370+Q370+V370+AA370+AF370+AK370+AP370+AU370+AZ370</f>
        <v/>
      </c>
      <c r="BB370" s="12">
        <f>SUM('组合输入'!$J$2:$J$11)-BA370</f>
        <v/>
      </c>
    </row>
    <row r="371">
      <c r="A371" s="11" t="n">
        <v>370</v>
      </c>
      <c r="B371" s="14">
        <f>NORM.S.INV(RAND())</f>
        <v/>
      </c>
      <c r="C371" s="14">
        <f>NORM.S.INV(RAND())</f>
        <v/>
      </c>
      <c r="D371" s="15">
        <f>IF('组合输入'!$C2="","",'组合输入'!$H2*$B371+SQRT(1-'组合输入'!$H2^2)*C371)</f>
        <v/>
      </c>
      <c r="E371" s="7">
        <f>IF(D371="","",NORM.S.DIST(D371,TRUE))</f>
        <v/>
      </c>
      <c r="F371" s="13">
        <f>IF(E371="","",IF(E371&lt;='组合输入'!$K2,"AAA",IF(E371&lt;='组合输入'!$L2,"AA",IF(E371&lt;='组合输入'!$M2,"A",IF(E371&lt;='组合输入'!$N2,"BBB",IF(E371&lt;='组合输入'!$O2,"BB",IF(E371&lt;='组合输入'!$P2,"B",IF(E371&lt;='组合输入'!$Q2,"CCC","D")))))))</f>
        <v/>
      </c>
      <c r="G371" s="12">
        <f>IF(F371="","",INDEX('状态价值'!$D2:$K2,MATCH(F371,'状态价值'!$D$1:$K$1,0)))</f>
        <v/>
      </c>
      <c r="H371" s="15">
        <f>NORM.S.INV(RAND())</f>
        <v/>
      </c>
      <c r="I371" s="15">
        <f>IF('组合输入'!$C3="","",'组合输入'!$H3*$B371+SQRT(1-'组合输入'!$H3^2)*H371)</f>
        <v/>
      </c>
      <c r="J371" s="7">
        <f>IF(I371="","",NORM.S.DIST(I371,TRUE))</f>
        <v/>
      </c>
      <c r="K371" s="13">
        <f>IF(J371="","",IF(J371&lt;='组合输入'!$K3,"AAA",IF(J371&lt;='组合输入'!$L3,"AA",IF(J371&lt;='组合输入'!$M3,"A",IF(J371&lt;='组合输入'!$N3,"BBB",IF(J371&lt;='组合输入'!$O3,"BB",IF(J371&lt;='组合输入'!$P3,"B",IF(J371&lt;='组合输入'!$Q3,"CCC","D")))))))</f>
        <v/>
      </c>
      <c r="L371" s="12">
        <f>IF(K371="","",INDEX('状态价值'!$D3:$K3,MATCH(K371,'状态价值'!$D$1:$K$1,0)))</f>
        <v/>
      </c>
      <c r="M371" s="15">
        <f>NORM.S.INV(RAND())</f>
        <v/>
      </c>
      <c r="N371" s="15">
        <f>IF('组合输入'!$C4="","",'组合输入'!$H4*$B371+SQRT(1-'组合输入'!$H4^2)*M371)</f>
        <v/>
      </c>
      <c r="O371" s="7">
        <f>IF(N371="","",NORM.S.DIST(N371,TRUE))</f>
        <v/>
      </c>
      <c r="P371" s="13">
        <f>IF(O371="","",IF(O371&lt;='组合输入'!$K4,"AAA",IF(O371&lt;='组合输入'!$L4,"AA",IF(O371&lt;='组合输入'!$M4,"A",IF(O371&lt;='组合输入'!$N4,"BBB",IF(O371&lt;='组合输入'!$O4,"BB",IF(O371&lt;='组合输入'!$P4,"B",IF(O371&lt;='组合输入'!$Q4,"CCC","D")))))))</f>
        <v/>
      </c>
      <c r="Q371" s="12">
        <f>IF(P371="","",INDEX('状态价值'!$D4:$K4,MATCH(P371,'状态价值'!$D$1:$K$1,0)))</f>
        <v/>
      </c>
      <c r="R371" s="15">
        <f>NORM.S.INV(RAND())</f>
        <v/>
      </c>
      <c r="S371" s="15">
        <f>IF('组合输入'!$C5="","",'组合输入'!$H5*$B371+SQRT(1-'组合输入'!$H5^2)*R371)</f>
        <v/>
      </c>
      <c r="T371" s="7">
        <f>IF(S371="","",NORM.S.DIST(S371,TRUE))</f>
        <v/>
      </c>
      <c r="U371" s="13">
        <f>IF(T371="","",IF(T371&lt;='组合输入'!$K5,"AAA",IF(T371&lt;='组合输入'!$L5,"AA",IF(T371&lt;='组合输入'!$M5,"A",IF(T371&lt;='组合输入'!$N5,"BBB",IF(T371&lt;='组合输入'!$O5,"BB",IF(T371&lt;='组合输入'!$P5,"B",IF(T371&lt;='组合输入'!$Q5,"CCC","D")))))))</f>
        <v/>
      </c>
      <c r="V371" s="12">
        <f>IF(U371="","",INDEX('状态价值'!$D5:$K5,MATCH(U371,'状态价值'!$D$1:$K$1,0)))</f>
        <v/>
      </c>
      <c r="W371" s="15">
        <f>NORM.S.INV(RAND())</f>
        <v/>
      </c>
      <c r="X371" s="15">
        <f>IF('组合输入'!$C6="","",'组合输入'!$H6*$B371+SQRT(1-'组合输入'!$H6^2)*W371)</f>
        <v/>
      </c>
      <c r="Y371" s="7">
        <f>IF(X371="","",NORM.S.DIST(X371,TRUE))</f>
        <v/>
      </c>
      <c r="Z371" s="13">
        <f>IF(Y371="","",IF(Y371&lt;='组合输入'!$K6,"AAA",IF(Y371&lt;='组合输入'!$L6,"AA",IF(Y371&lt;='组合输入'!$M6,"A",IF(Y371&lt;='组合输入'!$N6,"BBB",IF(Y371&lt;='组合输入'!$O6,"BB",IF(Y371&lt;='组合输入'!$P6,"B",IF(Y371&lt;='组合输入'!$Q6,"CCC","D")))))))</f>
        <v/>
      </c>
      <c r="AA371" s="12">
        <f>IF(Z371="","",INDEX('状态价值'!$D6:$K6,MATCH(Z371,'状态价值'!$D$1:$K$1,0)))</f>
        <v/>
      </c>
      <c r="AB371" s="15">
        <f>NORM.S.INV(RAND())</f>
        <v/>
      </c>
      <c r="AC371" s="15">
        <f>IF('组合输入'!$C7="","",'组合输入'!$H7*$B371+SQRT(1-'组合输入'!$H7^2)*AB371)</f>
        <v/>
      </c>
      <c r="AD371" s="7">
        <f>IF(AC371="","",NORM.S.DIST(AC371,TRUE))</f>
        <v/>
      </c>
      <c r="AE371" s="13">
        <f>IF(AD371="","",IF(AD371&lt;='组合输入'!$K7,"AAA",IF(AD371&lt;='组合输入'!$L7,"AA",IF(AD371&lt;='组合输入'!$M7,"A",IF(AD371&lt;='组合输入'!$N7,"BBB",IF(AD371&lt;='组合输入'!$O7,"BB",IF(AD371&lt;='组合输入'!$P7,"B",IF(AD371&lt;='组合输入'!$Q7,"CCC","D")))))))</f>
        <v/>
      </c>
      <c r="AF371" s="12">
        <f>IF(AE371="","",INDEX('状态价值'!$D7:$K7,MATCH(AE371,'状态价值'!$D$1:$K$1,0)))</f>
        <v/>
      </c>
      <c r="AG371" s="15">
        <f>NORM.S.INV(RAND())</f>
        <v/>
      </c>
      <c r="AH371" s="15">
        <f>IF('组合输入'!$C8="","",'组合输入'!$H8*$B371+SQRT(1-'组合输入'!$H8^2)*AG371)</f>
        <v/>
      </c>
      <c r="AI371" s="7">
        <f>IF(AH371="","",NORM.S.DIST(AH371,TRUE))</f>
        <v/>
      </c>
      <c r="AJ371" s="13">
        <f>IF(AI371="","",IF(AI371&lt;='组合输入'!$K8,"AAA",IF(AI371&lt;='组合输入'!$L8,"AA",IF(AI371&lt;='组合输入'!$M8,"A",IF(AI371&lt;='组合输入'!$N8,"BBB",IF(AI371&lt;='组合输入'!$O8,"BB",IF(AI371&lt;='组合输入'!$P8,"B",IF(AI371&lt;='组合输入'!$Q8,"CCC","D")))))))</f>
        <v/>
      </c>
      <c r="AK371" s="12">
        <f>IF(AJ371="","",INDEX('状态价值'!$D8:$K8,MATCH(AJ371,'状态价值'!$D$1:$K$1,0)))</f>
        <v/>
      </c>
      <c r="AL371" s="15">
        <f>NORM.S.INV(RAND())</f>
        <v/>
      </c>
      <c r="AM371" s="15">
        <f>IF('组合输入'!$C9="","",'组合输入'!$H9*$B371+SQRT(1-'组合输入'!$H9^2)*AL371)</f>
        <v/>
      </c>
      <c r="AN371" s="7">
        <f>IF(AM371="","",NORM.S.DIST(AM371,TRUE))</f>
        <v/>
      </c>
      <c r="AO371" s="13">
        <f>IF(AN371="","",IF(AN371&lt;='组合输入'!$K9,"AAA",IF(AN371&lt;='组合输入'!$L9,"AA",IF(AN371&lt;='组合输入'!$M9,"A",IF(AN371&lt;='组合输入'!$N9,"BBB",IF(AN371&lt;='组合输入'!$O9,"BB",IF(AN371&lt;='组合输入'!$P9,"B",IF(AN371&lt;='组合输入'!$Q9,"CCC","D")))))))</f>
        <v/>
      </c>
      <c r="AP371" s="12">
        <f>IF(AO371="","",INDEX('状态价值'!$D9:$K9,MATCH(AO371,'状态价值'!$D$1:$K$1,0)))</f>
        <v/>
      </c>
      <c r="AQ371" s="15">
        <f>NORM.S.INV(RAND())</f>
        <v/>
      </c>
      <c r="AR371" s="15">
        <f>IF('组合输入'!$C10="","",'组合输入'!$H10*$B371+SQRT(1-'组合输入'!$H10^2)*AQ371)</f>
        <v/>
      </c>
      <c r="AS371" s="7">
        <f>IF(AR371="","",NORM.S.DIST(AR371,TRUE))</f>
        <v/>
      </c>
      <c r="AT371" s="13">
        <f>IF(AS371="","",IF(AS371&lt;='组合输入'!$K10,"AAA",IF(AS371&lt;='组合输入'!$L10,"AA",IF(AS371&lt;='组合输入'!$M10,"A",IF(AS371&lt;='组合输入'!$N10,"BBB",IF(AS371&lt;='组合输入'!$O10,"BB",IF(AS371&lt;='组合输入'!$P10,"B",IF(AS371&lt;='组合输入'!$Q10,"CCC","D")))))))</f>
        <v/>
      </c>
      <c r="AU371" s="12">
        <f>IF(AT371="","",INDEX('状态价值'!$D10:$K10,MATCH(AT371,'状态价值'!$D$1:$K$1,0)))</f>
        <v/>
      </c>
      <c r="AV371" s="15">
        <f>NORM.S.INV(RAND())</f>
        <v/>
      </c>
      <c r="AW371" s="15">
        <f>IF('组合输入'!$C11="","",'组合输入'!$H11*$B371+SQRT(1-'组合输入'!$H11^2)*AV371)</f>
        <v/>
      </c>
      <c r="AX371" s="7">
        <f>IF(AW371="","",NORM.S.DIST(AW371,TRUE))</f>
        <v/>
      </c>
      <c r="AY371" s="13">
        <f>IF(AX371="","",IF(AX371&lt;='组合输入'!$K11,"AAA",IF(AX371&lt;='组合输入'!$L11,"AA",IF(AX371&lt;='组合输入'!$M11,"A",IF(AX371&lt;='组合输入'!$N11,"BBB",IF(AX371&lt;='组合输入'!$O11,"BB",IF(AX371&lt;='组合输入'!$P11,"B",IF(AX371&lt;='组合输入'!$Q11,"CCC","D")))))))</f>
        <v/>
      </c>
      <c r="AZ371" s="12">
        <f>IF(AY371="","",INDEX('状态价值'!$D11:$K11,MATCH(AY371,'状态价值'!$D$1:$K$1,0)))</f>
        <v/>
      </c>
      <c r="BA371" s="12">
        <f>G371+L371+Q371+V371+AA371+AF371+AK371+AP371+AU371+AZ371</f>
        <v/>
      </c>
      <c r="BB371" s="12">
        <f>SUM('组合输入'!$J$2:$J$11)-BA371</f>
        <v/>
      </c>
    </row>
    <row r="372">
      <c r="A372" s="11" t="n">
        <v>371</v>
      </c>
      <c r="B372" s="14">
        <f>NORM.S.INV(RAND())</f>
        <v/>
      </c>
      <c r="C372" s="14">
        <f>NORM.S.INV(RAND())</f>
        <v/>
      </c>
      <c r="D372" s="15">
        <f>IF('组合输入'!$C2="","",'组合输入'!$H2*$B372+SQRT(1-'组合输入'!$H2^2)*C372)</f>
        <v/>
      </c>
      <c r="E372" s="7">
        <f>IF(D372="","",NORM.S.DIST(D372,TRUE))</f>
        <v/>
      </c>
      <c r="F372" s="13">
        <f>IF(E372="","",IF(E372&lt;='组合输入'!$K2,"AAA",IF(E372&lt;='组合输入'!$L2,"AA",IF(E372&lt;='组合输入'!$M2,"A",IF(E372&lt;='组合输入'!$N2,"BBB",IF(E372&lt;='组合输入'!$O2,"BB",IF(E372&lt;='组合输入'!$P2,"B",IF(E372&lt;='组合输入'!$Q2,"CCC","D")))))))</f>
        <v/>
      </c>
      <c r="G372" s="12">
        <f>IF(F372="","",INDEX('状态价值'!$D2:$K2,MATCH(F372,'状态价值'!$D$1:$K$1,0)))</f>
        <v/>
      </c>
      <c r="H372" s="15">
        <f>NORM.S.INV(RAND())</f>
        <v/>
      </c>
      <c r="I372" s="15">
        <f>IF('组合输入'!$C3="","",'组合输入'!$H3*$B372+SQRT(1-'组合输入'!$H3^2)*H372)</f>
        <v/>
      </c>
      <c r="J372" s="7">
        <f>IF(I372="","",NORM.S.DIST(I372,TRUE))</f>
        <v/>
      </c>
      <c r="K372" s="13">
        <f>IF(J372="","",IF(J372&lt;='组合输入'!$K3,"AAA",IF(J372&lt;='组合输入'!$L3,"AA",IF(J372&lt;='组合输入'!$M3,"A",IF(J372&lt;='组合输入'!$N3,"BBB",IF(J372&lt;='组合输入'!$O3,"BB",IF(J372&lt;='组合输入'!$P3,"B",IF(J372&lt;='组合输入'!$Q3,"CCC","D")))))))</f>
        <v/>
      </c>
      <c r="L372" s="12">
        <f>IF(K372="","",INDEX('状态价值'!$D3:$K3,MATCH(K372,'状态价值'!$D$1:$K$1,0)))</f>
        <v/>
      </c>
      <c r="M372" s="15">
        <f>NORM.S.INV(RAND())</f>
        <v/>
      </c>
      <c r="N372" s="15">
        <f>IF('组合输入'!$C4="","",'组合输入'!$H4*$B372+SQRT(1-'组合输入'!$H4^2)*M372)</f>
        <v/>
      </c>
      <c r="O372" s="7">
        <f>IF(N372="","",NORM.S.DIST(N372,TRUE))</f>
        <v/>
      </c>
      <c r="P372" s="13">
        <f>IF(O372="","",IF(O372&lt;='组合输入'!$K4,"AAA",IF(O372&lt;='组合输入'!$L4,"AA",IF(O372&lt;='组合输入'!$M4,"A",IF(O372&lt;='组合输入'!$N4,"BBB",IF(O372&lt;='组合输入'!$O4,"BB",IF(O372&lt;='组合输入'!$P4,"B",IF(O372&lt;='组合输入'!$Q4,"CCC","D")))))))</f>
        <v/>
      </c>
      <c r="Q372" s="12">
        <f>IF(P372="","",INDEX('状态价值'!$D4:$K4,MATCH(P372,'状态价值'!$D$1:$K$1,0)))</f>
        <v/>
      </c>
      <c r="R372" s="15">
        <f>NORM.S.INV(RAND())</f>
        <v/>
      </c>
      <c r="S372" s="15">
        <f>IF('组合输入'!$C5="","",'组合输入'!$H5*$B372+SQRT(1-'组合输入'!$H5^2)*R372)</f>
        <v/>
      </c>
      <c r="T372" s="7">
        <f>IF(S372="","",NORM.S.DIST(S372,TRUE))</f>
        <v/>
      </c>
      <c r="U372" s="13">
        <f>IF(T372="","",IF(T372&lt;='组合输入'!$K5,"AAA",IF(T372&lt;='组合输入'!$L5,"AA",IF(T372&lt;='组合输入'!$M5,"A",IF(T372&lt;='组合输入'!$N5,"BBB",IF(T372&lt;='组合输入'!$O5,"BB",IF(T372&lt;='组合输入'!$P5,"B",IF(T372&lt;='组合输入'!$Q5,"CCC","D")))))))</f>
        <v/>
      </c>
      <c r="V372" s="12">
        <f>IF(U372="","",INDEX('状态价值'!$D5:$K5,MATCH(U372,'状态价值'!$D$1:$K$1,0)))</f>
        <v/>
      </c>
      <c r="W372" s="15">
        <f>NORM.S.INV(RAND())</f>
        <v/>
      </c>
      <c r="X372" s="15">
        <f>IF('组合输入'!$C6="","",'组合输入'!$H6*$B372+SQRT(1-'组合输入'!$H6^2)*W372)</f>
        <v/>
      </c>
      <c r="Y372" s="7">
        <f>IF(X372="","",NORM.S.DIST(X372,TRUE))</f>
        <v/>
      </c>
      <c r="Z372" s="13">
        <f>IF(Y372="","",IF(Y372&lt;='组合输入'!$K6,"AAA",IF(Y372&lt;='组合输入'!$L6,"AA",IF(Y372&lt;='组合输入'!$M6,"A",IF(Y372&lt;='组合输入'!$N6,"BBB",IF(Y372&lt;='组合输入'!$O6,"BB",IF(Y372&lt;='组合输入'!$P6,"B",IF(Y372&lt;='组合输入'!$Q6,"CCC","D")))))))</f>
        <v/>
      </c>
      <c r="AA372" s="12">
        <f>IF(Z372="","",INDEX('状态价值'!$D6:$K6,MATCH(Z372,'状态价值'!$D$1:$K$1,0)))</f>
        <v/>
      </c>
      <c r="AB372" s="15">
        <f>NORM.S.INV(RAND())</f>
        <v/>
      </c>
      <c r="AC372" s="15">
        <f>IF('组合输入'!$C7="","",'组合输入'!$H7*$B372+SQRT(1-'组合输入'!$H7^2)*AB372)</f>
        <v/>
      </c>
      <c r="AD372" s="7">
        <f>IF(AC372="","",NORM.S.DIST(AC372,TRUE))</f>
        <v/>
      </c>
      <c r="AE372" s="13">
        <f>IF(AD372="","",IF(AD372&lt;='组合输入'!$K7,"AAA",IF(AD372&lt;='组合输入'!$L7,"AA",IF(AD372&lt;='组合输入'!$M7,"A",IF(AD372&lt;='组合输入'!$N7,"BBB",IF(AD372&lt;='组合输入'!$O7,"BB",IF(AD372&lt;='组合输入'!$P7,"B",IF(AD372&lt;='组合输入'!$Q7,"CCC","D")))))))</f>
        <v/>
      </c>
      <c r="AF372" s="12">
        <f>IF(AE372="","",INDEX('状态价值'!$D7:$K7,MATCH(AE372,'状态价值'!$D$1:$K$1,0)))</f>
        <v/>
      </c>
      <c r="AG372" s="15">
        <f>NORM.S.INV(RAND())</f>
        <v/>
      </c>
      <c r="AH372" s="15">
        <f>IF('组合输入'!$C8="","",'组合输入'!$H8*$B372+SQRT(1-'组合输入'!$H8^2)*AG372)</f>
        <v/>
      </c>
      <c r="AI372" s="7">
        <f>IF(AH372="","",NORM.S.DIST(AH372,TRUE))</f>
        <v/>
      </c>
      <c r="AJ372" s="13">
        <f>IF(AI372="","",IF(AI372&lt;='组合输入'!$K8,"AAA",IF(AI372&lt;='组合输入'!$L8,"AA",IF(AI372&lt;='组合输入'!$M8,"A",IF(AI372&lt;='组合输入'!$N8,"BBB",IF(AI372&lt;='组合输入'!$O8,"BB",IF(AI372&lt;='组合输入'!$P8,"B",IF(AI372&lt;='组合输入'!$Q8,"CCC","D")))))))</f>
        <v/>
      </c>
      <c r="AK372" s="12">
        <f>IF(AJ372="","",INDEX('状态价值'!$D8:$K8,MATCH(AJ372,'状态价值'!$D$1:$K$1,0)))</f>
        <v/>
      </c>
      <c r="AL372" s="15">
        <f>NORM.S.INV(RAND())</f>
        <v/>
      </c>
      <c r="AM372" s="15">
        <f>IF('组合输入'!$C9="","",'组合输入'!$H9*$B372+SQRT(1-'组合输入'!$H9^2)*AL372)</f>
        <v/>
      </c>
      <c r="AN372" s="7">
        <f>IF(AM372="","",NORM.S.DIST(AM372,TRUE))</f>
        <v/>
      </c>
      <c r="AO372" s="13">
        <f>IF(AN372="","",IF(AN372&lt;='组合输入'!$K9,"AAA",IF(AN372&lt;='组合输入'!$L9,"AA",IF(AN372&lt;='组合输入'!$M9,"A",IF(AN372&lt;='组合输入'!$N9,"BBB",IF(AN372&lt;='组合输入'!$O9,"BB",IF(AN372&lt;='组合输入'!$P9,"B",IF(AN372&lt;='组合输入'!$Q9,"CCC","D")))))))</f>
        <v/>
      </c>
      <c r="AP372" s="12">
        <f>IF(AO372="","",INDEX('状态价值'!$D9:$K9,MATCH(AO372,'状态价值'!$D$1:$K$1,0)))</f>
        <v/>
      </c>
      <c r="AQ372" s="15">
        <f>NORM.S.INV(RAND())</f>
        <v/>
      </c>
      <c r="AR372" s="15">
        <f>IF('组合输入'!$C10="","",'组合输入'!$H10*$B372+SQRT(1-'组合输入'!$H10^2)*AQ372)</f>
        <v/>
      </c>
      <c r="AS372" s="7">
        <f>IF(AR372="","",NORM.S.DIST(AR372,TRUE))</f>
        <v/>
      </c>
      <c r="AT372" s="13">
        <f>IF(AS372="","",IF(AS372&lt;='组合输入'!$K10,"AAA",IF(AS372&lt;='组合输入'!$L10,"AA",IF(AS372&lt;='组合输入'!$M10,"A",IF(AS372&lt;='组合输入'!$N10,"BBB",IF(AS372&lt;='组合输入'!$O10,"BB",IF(AS372&lt;='组合输入'!$P10,"B",IF(AS372&lt;='组合输入'!$Q10,"CCC","D")))))))</f>
        <v/>
      </c>
      <c r="AU372" s="12">
        <f>IF(AT372="","",INDEX('状态价值'!$D10:$K10,MATCH(AT372,'状态价值'!$D$1:$K$1,0)))</f>
        <v/>
      </c>
      <c r="AV372" s="15">
        <f>NORM.S.INV(RAND())</f>
        <v/>
      </c>
      <c r="AW372" s="15">
        <f>IF('组合输入'!$C11="","",'组合输入'!$H11*$B372+SQRT(1-'组合输入'!$H11^2)*AV372)</f>
        <v/>
      </c>
      <c r="AX372" s="7">
        <f>IF(AW372="","",NORM.S.DIST(AW372,TRUE))</f>
        <v/>
      </c>
      <c r="AY372" s="13">
        <f>IF(AX372="","",IF(AX372&lt;='组合输入'!$K11,"AAA",IF(AX372&lt;='组合输入'!$L11,"AA",IF(AX372&lt;='组合输入'!$M11,"A",IF(AX372&lt;='组合输入'!$N11,"BBB",IF(AX372&lt;='组合输入'!$O11,"BB",IF(AX372&lt;='组合输入'!$P11,"B",IF(AX372&lt;='组合输入'!$Q11,"CCC","D")))))))</f>
        <v/>
      </c>
      <c r="AZ372" s="12">
        <f>IF(AY372="","",INDEX('状态价值'!$D11:$K11,MATCH(AY372,'状态价值'!$D$1:$K$1,0)))</f>
        <v/>
      </c>
      <c r="BA372" s="12">
        <f>G372+L372+Q372+V372+AA372+AF372+AK372+AP372+AU372+AZ372</f>
        <v/>
      </c>
      <c r="BB372" s="12">
        <f>SUM('组合输入'!$J$2:$J$11)-BA372</f>
        <v/>
      </c>
    </row>
    <row r="373">
      <c r="A373" s="11" t="n">
        <v>372</v>
      </c>
      <c r="B373" s="14">
        <f>NORM.S.INV(RAND())</f>
        <v/>
      </c>
      <c r="C373" s="14">
        <f>NORM.S.INV(RAND())</f>
        <v/>
      </c>
      <c r="D373" s="15">
        <f>IF('组合输入'!$C2="","",'组合输入'!$H2*$B373+SQRT(1-'组合输入'!$H2^2)*C373)</f>
        <v/>
      </c>
      <c r="E373" s="7">
        <f>IF(D373="","",NORM.S.DIST(D373,TRUE))</f>
        <v/>
      </c>
      <c r="F373" s="13">
        <f>IF(E373="","",IF(E373&lt;='组合输入'!$K2,"AAA",IF(E373&lt;='组合输入'!$L2,"AA",IF(E373&lt;='组合输入'!$M2,"A",IF(E373&lt;='组合输入'!$N2,"BBB",IF(E373&lt;='组合输入'!$O2,"BB",IF(E373&lt;='组合输入'!$P2,"B",IF(E373&lt;='组合输入'!$Q2,"CCC","D")))))))</f>
        <v/>
      </c>
      <c r="G373" s="12">
        <f>IF(F373="","",INDEX('状态价值'!$D2:$K2,MATCH(F373,'状态价值'!$D$1:$K$1,0)))</f>
        <v/>
      </c>
      <c r="H373" s="15">
        <f>NORM.S.INV(RAND())</f>
        <v/>
      </c>
      <c r="I373" s="15">
        <f>IF('组合输入'!$C3="","",'组合输入'!$H3*$B373+SQRT(1-'组合输入'!$H3^2)*H373)</f>
        <v/>
      </c>
      <c r="J373" s="7">
        <f>IF(I373="","",NORM.S.DIST(I373,TRUE))</f>
        <v/>
      </c>
      <c r="K373" s="13">
        <f>IF(J373="","",IF(J373&lt;='组合输入'!$K3,"AAA",IF(J373&lt;='组合输入'!$L3,"AA",IF(J373&lt;='组合输入'!$M3,"A",IF(J373&lt;='组合输入'!$N3,"BBB",IF(J373&lt;='组合输入'!$O3,"BB",IF(J373&lt;='组合输入'!$P3,"B",IF(J373&lt;='组合输入'!$Q3,"CCC","D")))))))</f>
        <v/>
      </c>
      <c r="L373" s="12">
        <f>IF(K373="","",INDEX('状态价值'!$D3:$K3,MATCH(K373,'状态价值'!$D$1:$K$1,0)))</f>
        <v/>
      </c>
      <c r="M373" s="15">
        <f>NORM.S.INV(RAND())</f>
        <v/>
      </c>
      <c r="N373" s="15">
        <f>IF('组合输入'!$C4="","",'组合输入'!$H4*$B373+SQRT(1-'组合输入'!$H4^2)*M373)</f>
        <v/>
      </c>
      <c r="O373" s="7">
        <f>IF(N373="","",NORM.S.DIST(N373,TRUE))</f>
        <v/>
      </c>
      <c r="P373" s="13">
        <f>IF(O373="","",IF(O373&lt;='组合输入'!$K4,"AAA",IF(O373&lt;='组合输入'!$L4,"AA",IF(O373&lt;='组合输入'!$M4,"A",IF(O373&lt;='组合输入'!$N4,"BBB",IF(O373&lt;='组合输入'!$O4,"BB",IF(O373&lt;='组合输入'!$P4,"B",IF(O373&lt;='组合输入'!$Q4,"CCC","D")))))))</f>
        <v/>
      </c>
      <c r="Q373" s="12">
        <f>IF(P373="","",INDEX('状态价值'!$D4:$K4,MATCH(P373,'状态价值'!$D$1:$K$1,0)))</f>
        <v/>
      </c>
      <c r="R373" s="15">
        <f>NORM.S.INV(RAND())</f>
        <v/>
      </c>
      <c r="S373" s="15">
        <f>IF('组合输入'!$C5="","",'组合输入'!$H5*$B373+SQRT(1-'组合输入'!$H5^2)*R373)</f>
        <v/>
      </c>
      <c r="T373" s="7">
        <f>IF(S373="","",NORM.S.DIST(S373,TRUE))</f>
        <v/>
      </c>
      <c r="U373" s="13">
        <f>IF(T373="","",IF(T373&lt;='组合输入'!$K5,"AAA",IF(T373&lt;='组合输入'!$L5,"AA",IF(T373&lt;='组合输入'!$M5,"A",IF(T373&lt;='组合输入'!$N5,"BBB",IF(T373&lt;='组合输入'!$O5,"BB",IF(T373&lt;='组合输入'!$P5,"B",IF(T373&lt;='组合输入'!$Q5,"CCC","D")))))))</f>
        <v/>
      </c>
      <c r="V373" s="12">
        <f>IF(U373="","",INDEX('状态价值'!$D5:$K5,MATCH(U373,'状态价值'!$D$1:$K$1,0)))</f>
        <v/>
      </c>
      <c r="W373" s="15">
        <f>NORM.S.INV(RAND())</f>
        <v/>
      </c>
      <c r="X373" s="15">
        <f>IF('组合输入'!$C6="","",'组合输入'!$H6*$B373+SQRT(1-'组合输入'!$H6^2)*W373)</f>
        <v/>
      </c>
      <c r="Y373" s="7">
        <f>IF(X373="","",NORM.S.DIST(X373,TRUE))</f>
        <v/>
      </c>
      <c r="Z373" s="13">
        <f>IF(Y373="","",IF(Y373&lt;='组合输入'!$K6,"AAA",IF(Y373&lt;='组合输入'!$L6,"AA",IF(Y373&lt;='组合输入'!$M6,"A",IF(Y373&lt;='组合输入'!$N6,"BBB",IF(Y373&lt;='组合输入'!$O6,"BB",IF(Y373&lt;='组合输入'!$P6,"B",IF(Y373&lt;='组合输入'!$Q6,"CCC","D")))))))</f>
        <v/>
      </c>
      <c r="AA373" s="12">
        <f>IF(Z373="","",INDEX('状态价值'!$D6:$K6,MATCH(Z373,'状态价值'!$D$1:$K$1,0)))</f>
        <v/>
      </c>
      <c r="AB373" s="15">
        <f>NORM.S.INV(RAND())</f>
        <v/>
      </c>
      <c r="AC373" s="15">
        <f>IF('组合输入'!$C7="","",'组合输入'!$H7*$B373+SQRT(1-'组合输入'!$H7^2)*AB373)</f>
        <v/>
      </c>
      <c r="AD373" s="7">
        <f>IF(AC373="","",NORM.S.DIST(AC373,TRUE))</f>
        <v/>
      </c>
      <c r="AE373" s="13">
        <f>IF(AD373="","",IF(AD373&lt;='组合输入'!$K7,"AAA",IF(AD373&lt;='组合输入'!$L7,"AA",IF(AD373&lt;='组合输入'!$M7,"A",IF(AD373&lt;='组合输入'!$N7,"BBB",IF(AD373&lt;='组合输入'!$O7,"BB",IF(AD373&lt;='组合输入'!$P7,"B",IF(AD373&lt;='组合输入'!$Q7,"CCC","D")))))))</f>
        <v/>
      </c>
      <c r="AF373" s="12">
        <f>IF(AE373="","",INDEX('状态价值'!$D7:$K7,MATCH(AE373,'状态价值'!$D$1:$K$1,0)))</f>
        <v/>
      </c>
      <c r="AG373" s="15">
        <f>NORM.S.INV(RAND())</f>
        <v/>
      </c>
      <c r="AH373" s="15">
        <f>IF('组合输入'!$C8="","",'组合输入'!$H8*$B373+SQRT(1-'组合输入'!$H8^2)*AG373)</f>
        <v/>
      </c>
      <c r="AI373" s="7">
        <f>IF(AH373="","",NORM.S.DIST(AH373,TRUE))</f>
        <v/>
      </c>
      <c r="AJ373" s="13">
        <f>IF(AI373="","",IF(AI373&lt;='组合输入'!$K8,"AAA",IF(AI373&lt;='组合输入'!$L8,"AA",IF(AI373&lt;='组合输入'!$M8,"A",IF(AI373&lt;='组合输入'!$N8,"BBB",IF(AI373&lt;='组合输入'!$O8,"BB",IF(AI373&lt;='组合输入'!$P8,"B",IF(AI373&lt;='组合输入'!$Q8,"CCC","D")))))))</f>
        <v/>
      </c>
      <c r="AK373" s="12">
        <f>IF(AJ373="","",INDEX('状态价值'!$D8:$K8,MATCH(AJ373,'状态价值'!$D$1:$K$1,0)))</f>
        <v/>
      </c>
      <c r="AL373" s="15">
        <f>NORM.S.INV(RAND())</f>
        <v/>
      </c>
      <c r="AM373" s="15">
        <f>IF('组合输入'!$C9="","",'组合输入'!$H9*$B373+SQRT(1-'组合输入'!$H9^2)*AL373)</f>
        <v/>
      </c>
      <c r="AN373" s="7">
        <f>IF(AM373="","",NORM.S.DIST(AM373,TRUE))</f>
        <v/>
      </c>
      <c r="AO373" s="13">
        <f>IF(AN373="","",IF(AN373&lt;='组合输入'!$K9,"AAA",IF(AN373&lt;='组合输入'!$L9,"AA",IF(AN373&lt;='组合输入'!$M9,"A",IF(AN373&lt;='组合输入'!$N9,"BBB",IF(AN373&lt;='组合输入'!$O9,"BB",IF(AN373&lt;='组合输入'!$P9,"B",IF(AN373&lt;='组合输入'!$Q9,"CCC","D")))))))</f>
        <v/>
      </c>
      <c r="AP373" s="12">
        <f>IF(AO373="","",INDEX('状态价值'!$D9:$K9,MATCH(AO373,'状态价值'!$D$1:$K$1,0)))</f>
        <v/>
      </c>
      <c r="AQ373" s="15">
        <f>NORM.S.INV(RAND())</f>
        <v/>
      </c>
      <c r="AR373" s="15">
        <f>IF('组合输入'!$C10="","",'组合输入'!$H10*$B373+SQRT(1-'组合输入'!$H10^2)*AQ373)</f>
        <v/>
      </c>
      <c r="AS373" s="7">
        <f>IF(AR373="","",NORM.S.DIST(AR373,TRUE))</f>
        <v/>
      </c>
      <c r="AT373" s="13">
        <f>IF(AS373="","",IF(AS373&lt;='组合输入'!$K10,"AAA",IF(AS373&lt;='组合输入'!$L10,"AA",IF(AS373&lt;='组合输入'!$M10,"A",IF(AS373&lt;='组合输入'!$N10,"BBB",IF(AS373&lt;='组合输入'!$O10,"BB",IF(AS373&lt;='组合输入'!$P10,"B",IF(AS373&lt;='组合输入'!$Q10,"CCC","D")))))))</f>
        <v/>
      </c>
      <c r="AU373" s="12">
        <f>IF(AT373="","",INDEX('状态价值'!$D10:$K10,MATCH(AT373,'状态价值'!$D$1:$K$1,0)))</f>
        <v/>
      </c>
      <c r="AV373" s="15">
        <f>NORM.S.INV(RAND())</f>
        <v/>
      </c>
      <c r="AW373" s="15">
        <f>IF('组合输入'!$C11="","",'组合输入'!$H11*$B373+SQRT(1-'组合输入'!$H11^2)*AV373)</f>
        <v/>
      </c>
      <c r="AX373" s="7">
        <f>IF(AW373="","",NORM.S.DIST(AW373,TRUE))</f>
        <v/>
      </c>
      <c r="AY373" s="13">
        <f>IF(AX373="","",IF(AX373&lt;='组合输入'!$K11,"AAA",IF(AX373&lt;='组合输入'!$L11,"AA",IF(AX373&lt;='组合输入'!$M11,"A",IF(AX373&lt;='组合输入'!$N11,"BBB",IF(AX373&lt;='组合输入'!$O11,"BB",IF(AX373&lt;='组合输入'!$P11,"B",IF(AX373&lt;='组合输入'!$Q11,"CCC","D")))))))</f>
        <v/>
      </c>
      <c r="AZ373" s="12">
        <f>IF(AY373="","",INDEX('状态价值'!$D11:$K11,MATCH(AY373,'状态价值'!$D$1:$K$1,0)))</f>
        <v/>
      </c>
      <c r="BA373" s="12">
        <f>G373+L373+Q373+V373+AA373+AF373+AK373+AP373+AU373+AZ373</f>
        <v/>
      </c>
      <c r="BB373" s="12">
        <f>SUM('组合输入'!$J$2:$J$11)-BA373</f>
        <v/>
      </c>
    </row>
    <row r="374">
      <c r="A374" s="11" t="n">
        <v>373</v>
      </c>
      <c r="B374" s="14">
        <f>NORM.S.INV(RAND())</f>
        <v/>
      </c>
      <c r="C374" s="14">
        <f>NORM.S.INV(RAND())</f>
        <v/>
      </c>
      <c r="D374" s="15">
        <f>IF('组合输入'!$C2="","",'组合输入'!$H2*$B374+SQRT(1-'组合输入'!$H2^2)*C374)</f>
        <v/>
      </c>
      <c r="E374" s="7">
        <f>IF(D374="","",NORM.S.DIST(D374,TRUE))</f>
        <v/>
      </c>
      <c r="F374" s="13">
        <f>IF(E374="","",IF(E374&lt;='组合输入'!$K2,"AAA",IF(E374&lt;='组合输入'!$L2,"AA",IF(E374&lt;='组合输入'!$M2,"A",IF(E374&lt;='组合输入'!$N2,"BBB",IF(E374&lt;='组合输入'!$O2,"BB",IF(E374&lt;='组合输入'!$P2,"B",IF(E374&lt;='组合输入'!$Q2,"CCC","D")))))))</f>
        <v/>
      </c>
      <c r="G374" s="12">
        <f>IF(F374="","",INDEX('状态价值'!$D2:$K2,MATCH(F374,'状态价值'!$D$1:$K$1,0)))</f>
        <v/>
      </c>
      <c r="H374" s="15">
        <f>NORM.S.INV(RAND())</f>
        <v/>
      </c>
      <c r="I374" s="15">
        <f>IF('组合输入'!$C3="","",'组合输入'!$H3*$B374+SQRT(1-'组合输入'!$H3^2)*H374)</f>
        <v/>
      </c>
      <c r="J374" s="7">
        <f>IF(I374="","",NORM.S.DIST(I374,TRUE))</f>
        <v/>
      </c>
      <c r="K374" s="13">
        <f>IF(J374="","",IF(J374&lt;='组合输入'!$K3,"AAA",IF(J374&lt;='组合输入'!$L3,"AA",IF(J374&lt;='组合输入'!$M3,"A",IF(J374&lt;='组合输入'!$N3,"BBB",IF(J374&lt;='组合输入'!$O3,"BB",IF(J374&lt;='组合输入'!$P3,"B",IF(J374&lt;='组合输入'!$Q3,"CCC","D")))))))</f>
        <v/>
      </c>
      <c r="L374" s="12">
        <f>IF(K374="","",INDEX('状态价值'!$D3:$K3,MATCH(K374,'状态价值'!$D$1:$K$1,0)))</f>
        <v/>
      </c>
      <c r="M374" s="15">
        <f>NORM.S.INV(RAND())</f>
        <v/>
      </c>
      <c r="N374" s="15">
        <f>IF('组合输入'!$C4="","",'组合输入'!$H4*$B374+SQRT(1-'组合输入'!$H4^2)*M374)</f>
        <v/>
      </c>
      <c r="O374" s="7">
        <f>IF(N374="","",NORM.S.DIST(N374,TRUE))</f>
        <v/>
      </c>
      <c r="P374" s="13">
        <f>IF(O374="","",IF(O374&lt;='组合输入'!$K4,"AAA",IF(O374&lt;='组合输入'!$L4,"AA",IF(O374&lt;='组合输入'!$M4,"A",IF(O374&lt;='组合输入'!$N4,"BBB",IF(O374&lt;='组合输入'!$O4,"BB",IF(O374&lt;='组合输入'!$P4,"B",IF(O374&lt;='组合输入'!$Q4,"CCC","D")))))))</f>
        <v/>
      </c>
      <c r="Q374" s="12">
        <f>IF(P374="","",INDEX('状态价值'!$D4:$K4,MATCH(P374,'状态价值'!$D$1:$K$1,0)))</f>
        <v/>
      </c>
      <c r="R374" s="15">
        <f>NORM.S.INV(RAND())</f>
        <v/>
      </c>
      <c r="S374" s="15">
        <f>IF('组合输入'!$C5="","",'组合输入'!$H5*$B374+SQRT(1-'组合输入'!$H5^2)*R374)</f>
        <v/>
      </c>
      <c r="T374" s="7">
        <f>IF(S374="","",NORM.S.DIST(S374,TRUE))</f>
        <v/>
      </c>
      <c r="U374" s="13">
        <f>IF(T374="","",IF(T374&lt;='组合输入'!$K5,"AAA",IF(T374&lt;='组合输入'!$L5,"AA",IF(T374&lt;='组合输入'!$M5,"A",IF(T374&lt;='组合输入'!$N5,"BBB",IF(T374&lt;='组合输入'!$O5,"BB",IF(T374&lt;='组合输入'!$P5,"B",IF(T374&lt;='组合输入'!$Q5,"CCC","D")))))))</f>
        <v/>
      </c>
      <c r="V374" s="12">
        <f>IF(U374="","",INDEX('状态价值'!$D5:$K5,MATCH(U374,'状态价值'!$D$1:$K$1,0)))</f>
        <v/>
      </c>
      <c r="W374" s="15">
        <f>NORM.S.INV(RAND())</f>
        <v/>
      </c>
      <c r="X374" s="15">
        <f>IF('组合输入'!$C6="","",'组合输入'!$H6*$B374+SQRT(1-'组合输入'!$H6^2)*W374)</f>
        <v/>
      </c>
      <c r="Y374" s="7">
        <f>IF(X374="","",NORM.S.DIST(X374,TRUE))</f>
        <v/>
      </c>
      <c r="Z374" s="13">
        <f>IF(Y374="","",IF(Y374&lt;='组合输入'!$K6,"AAA",IF(Y374&lt;='组合输入'!$L6,"AA",IF(Y374&lt;='组合输入'!$M6,"A",IF(Y374&lt;='组合输入'!$N6,"BBB",IF(Y374&lt;='组合输入'!$O6,"BB",IF(Y374&lt;='组合输入'!$P6,"B",IF(Y374&lt;='组合输入'!$Q6,"CCC","D")))))))</f>
        <v/>
      </c>
      <c r="AA374" s="12">
        <f>IF(Z374="","",INDEX('状态价值'!$D6:$K6,MATCH(Z374,'状态价值'!$D$1:$K$1,0)))</f>
        <v/>
      </c>
      <c r="AB374" s="15">
        <f>NORM.S.INV(RAND())</f>
        <v/>
      </c>
      <c r="AC374" s="15">
        <f>IF('组合输入'!$C7="","",'组合输入'!$H7*$B374+SQRT(1-'组合输入'!$H7^2)*AB374)</f>
        <v/>
      </c>
      <c r="AD374" s="7">
        <f>IF(AC374="","",NORM.S.DIST(AC374,TRUE))</f>
        <v/>
      </c>
      <c r="AE374" s="13">
        <f>IF(AD374="","",IF(AD374&lt;='组合输入'!$K7,"AAA",IF(AD374&lt;='组合输入'!$L7,"AA",IF(AD374&lt;='组合输入'!$M7,"A",IF(AD374&lt;='组合输入'!$N7,"BBB",IF(AD374&lt;='组合输入'!$O7,"BB",IF(AD374&lt;='组合输入'!$P7,"B",IF(AD374&lt;='组合输入'!$Q7,"CCC","D")))))))</f>
        <v/>
      </c>
      <c r="AF374" s="12">
        <f>IF(AE374="","",INDEX('状态价值'!$D7:$K7,MATCH(AE374,'状态价值'!$D$1:$K$1,0)))</f>
        <v/>
      </c>
      <c r="AG374" s="15">
        <f>NORM.S.INV(RAND())</f>
        <v/>
      </c>
      <c r="AH374" s="15">
        <f>IF('组合输入'!$C8="","",'组合输入'!$H8*$B374+SQRT(1-'组合输入'!$H8^2)*AG374)</f>
        <v/>
      </c>
      <c r="AI374" s="7">
        <f>IF(AH374="","",NORM.S.DIST(AH374,TRUE))</f>
        <v/>
      </c>
      <c r="AJ374" s="13">
        <f>IF(AI374="","",IF(AI374&lt;='组合输入'!$K8,"AAA",IF(AI374&lt;='组合输入'!$L8,"AA",IF(AI374&lt;='组合输入'!$M8,"A",IF(AI374&lt;='组合输入'!$N8,"BBB",IF(AI374&lt;='组合输入'!$O8,"BB",IF(AI374&lt;='组合输入'!$P8,"B",IF(AI374&lt;='组合输入'!$Q8,"CCC","D")))))))</f>
        <v/>
      </c>
      <c r="AK374" s="12">
        <f>IF(AJ374="","",INDEX('状态价值'!$D8:$K8,MATCH(AJ374,'状态价值'!$D$1:$K$1,0)))</f>
        <v/>
      </c>
      <c r="AL374" s="15">
        <f>NORM.S.INV(RAND())</f>
        <v/>
      </c>
      <c r="AM374" s="15">
        <f>IF('组合输入'!$C9="","",'组合输入'!$H9*$B374+SQRT(1-'组合输入'!$H9^2)*AL374)</f>
        <v/>
      </c>
      <c r="AN374" s="7">
        <f>IF(AM374="","",NORM.S.DIST(AM374,TRUE))</f>
        <v/>
      </c>
      <c r="AO374" s="13">
        <f>IF(AN374="","",IF(AN374&lt;='组合输入'!$K9,"AAA",IF(AN374&lt;='组合输入'!$L9,"AA",IF(AN374&lt;='组合输入'!$M9,"A",IF(AN374&lt;='组合输入'!$N9,"BBB",IF(AN374&lt;='组合输入'!$O9,"BB",IF(AN374&lt;='组合输入'!$P9,"B",IF(AN374&lt;='组合输入'!$Q9,"CCC","D")))))))</f>
        <v/>
      </c>
      <c r="AP374" s="12">
        <f>IF(AO374="","",INDEX('状态价值'!$D9:$K9,MATCH(AO374,'状态价值'!$D$1:$K$1,0)))</f>
        <v/>
      </c>
      <c r="AQ374" s="15">
        <f>NORM.S.INV(RAND())</f>
        <v/>
      </c>
      <c r="AR374" s="15">
        <f>IF('组合输入'!$C10="","",'组合输入'!$H10*$B374+SQRT(1-'组合输入'!$H10^2)*AQ374)</f>
        <v/>
      </c>
      <c r="AS374" s="7">
        <f>IF(AR374="","",NORM.S.DIST(AR374,TRUE))</f>
        <v/>
      </c>
      <c r="AT374" s="13">
        <f>IF(AS374="","",IF(AS374&lt;='组合输入'!$K10,"AAA",IF(AS374&lt;='组合输入'!$L10,"AA",IF(AS374&lt;='组合输入'!$M10,"A",IF(AS374&lt;='组合输入'!$N10,"BBB",IF(AS374&lt;='组合输入'!$O10,"BB",IF(AS374&lt;='组合输入'!$P10,"B",IF(AS374&lt;='组合输入'!$Q10,"CCC","D")))))))</f>
        <v/>
      </c>
      <c r="AU374" s="12">
        <f>IF(AT374="","",INDEX('状态价值'!$D10:$K10,MATCH(AT374,'状态价值'!$D$1:$K$1,0)))</f>
        <v/>
      </c>
      <c r="AV374" s="15">
        <f>NORM.S.INV(RAND())</f>
        <v/>
      </c>
      <c r="AW374" s="15">
        <f>IF('组合输入'!$C11="","",'组合输入'!$H11*$B374+SQRT(1-'组合输入'!$H11^2)*AV374)</f>
        <v/>
      </c>
      <c r="AX374" s="7">
        <f>IF(AW374="","",NORM.S.DIST(AW374,TRUE))</f>
        <v/>
      </c>
      <c r="AY374" s="13">
        <f>IF(AX374="","",IF(AX374&lt;='组合输入'!$K11,"AAA",IF(AX374&lt;='组合输入'!$L11,"AA",IF(AX374&lt;='组合输入'!$M11,"A",IF(AX374&lt;='组合输入'!$N11,"BBB",IF(AX374&lt;='组合输入'!$O11,"BB",IF(AX374&lt;='组合输入'!$P11,"B",IF(AX374&lt;='组合输入'!$Q11,"CCC","D")))))))</f>
        <v/>
      </c>
      <c r="AZ374" s="12">
        <f>IF(AY374="","",INDEX('状态价值'!$D11:$K11,MATCH(AY374,'状态价值'!$D$1:$K$1,0)))</f>
        <v/>
      </c>
      <c r="BA374" s="12">
        <f>G374+L374+Q374+V374+AA374+AF374+AK374+AP374+AU374+AZ374</f>
        <v/>
      </c>
      <c r="BB374" s="12">
        <f>SUM('组合输入'!$J$2:$J$11)-BA374</f>
        <v/>
      </c>
    </row>
    <row r="375">
      <c r="A375" s="11" t="n">
        <v>374</v>
      </c>
      <c r="B375" s="14">
        <f>NORM.S.INV(RAND())</f>
        <v/>
      </c>
      <c r="C375" s="14">
        <f>NORM.S.INV(RAND())</f>
        <v/>
      </c>
      <c r="D375" s="15">
        <f>IF('组合输入'!$C2="","",'组合输入'!$H2*$B375+SQRT(1-'组合输入'!$H2^2)*C375)</f>
        <v/>
      </c>
      <c r="E375" s="7">
        <f>IF(D375="","",NORM.S.DIST(D375,TRUE))</f>
        <v/>
      </c>
      <c r="F375" s="13">
        <f>IF(E375="","",IF(E375&lt;='组合输入'!$K2,"AAA",IF(E375&lt;='组合输入'!$L2,"AA",IF(E375&lt;='组合输入'!$M2,"A",IF(E375&lt;='组合输入'!$N2,"BBB",IF(E375&lt;='组合输入'!$O2,"BB",IF(E375&lt;='组合输入'!$P2,"B",IF(E375&lt;='组合输入'!$Q2,"CCC","D")))))))</f>
        <v/>
      </c>
      <c r="G375" s="12">
        <f>IF(F375="","",INDEX('状态价值'!$D2:$K2,MATCH(F375,'状态价值'!$D$1:$K$1,0)))</f>
        <v/>
      </c>
      <c r="H375" s="15">
        <f>NORM.S.INV(RAND())</f>
        <v/>
      </c>
      <c r="I375" s="15">
        <f>IF('组合输入'!$C3="","",'组合输入'!$H3*$B375+SQRT(1-'组合输入'!$H3^2)*H375)</f>
        <v/>
      </c>
      <c r="J375" s="7">
        <f>IF(I375="","",NORM.S.DIST(I375,TRUE))</f>
        <v/>
      </c>
      <c r="K375" s="13">
        <f>IF(J375="","",IF(J375&lt;='组合输入'!$K3,"AAA",IF(J375&lt;='组合输入'!$L3,"AA",IF(J375&lt;='组合输入'!$M3,"A",IF(J375&lt;='组合输入'!$N3,"BBB",IF(J375&lt;='组合输入'!$O3,"BB",IF(J375&lt;='组合输入'!$P3,"B",IF(J375&lt;='组合输入'!$Q3,"CCC","D")))))))</f>
        <v/>
      </c>
      <c r="L375" s="12">
        <f>IF(K375="","",INDEX('状态价值'!$D3:$K3,MATCH(K375,'状态价值'!$D$1:$K$1,0)))</f>
        <v/>
      </c>
      <c r="M375" s="15">
        <f>NORM.S.INV(RAND())</f>
        <v/>
      </c>
      <c r="N375" s="15">
        <f>IF('组合输入'!$C4="","",'组合输入'!$H4*$B375+SQRT(1-'组合输入'!$H4^2)*M375)</f>
        <v/>
      </c>
      <c r="O375" s="7">
        <f>IF(N375="","",NORM.S.DIST(N375,TRUE))</f>
        <v/>
      </c>
      <c r="P375" s="13">
        <f>IF(O375="","",IF(O375&lt;='组合输入'!$K4,"AAA",IF(O375&lt;='组合输入'!$L4,"AA",IF(O375&lt;='组合输入'!$M4,"A",IF(O375&lt;='组合输入'!$N4,"BBB",IF(O375&lt;='组合输入'!$O4,"BB",IF(O375&lt;='组合输入'!$P4,"B",IF(O375&lt;='组合输入'!$Q4,"CCC","D")))))))</f>
        <v/>
      </c>
      <c r="Q375" s="12">
        <f>IF(P375="","",INDEX('状态价值'!$D4:$K4,MATCH(P375,'状态价值'!$D$1:$K$1,0)))</f>
        <v/>
      </c>
      <c r="R375" s="15">
        <f>NORM.S.INV(RAND())</f>
        <v/>
      </c>
      <c r="S375" s="15">
        <f>IF('组合输入'!$C5="","",'组合输入'!$H5*$B375+SQRT(1-'组合输入'!$H5^2)*R375)</f>
        <v/>
      </c>
      <c r="T375" s="7">
        <f>IF(S375="","",NORM.S.DIST(S375,TRUE))</f>
        <v/>
      </c>
      <c r="U375" s="13">
        <f>IF(T375="","",IF(T375&lt;='组合输入'!$K5,"AAA",IF(T375&lt;='组合输入'!$L5,"AA",IF(T375&lt;='组合输入'!$M5,"A",IF(T375&lt;='组合输入'!$N5,"BBB",IF(T375&lt;='组合输入'!$O5,"BB",IF(T375&lt;='组合输入'!$P5,"B",IF(T375&lt;='组合输入'!$Q5,"CCC","D")))))))</f>
        <v/>
      </c>
      <c r="V375" s="12">
        <f>IF(U375="","",INDEX('状态价值'!$D5:$K5,MATCH(U375,'状态价值'!$D$1:$K$1,0)))</f>
        <v/>
      </c>
      <c r="W375" s="15">
        <f>NORM.S.INV(RAND())</f>
        <v/>
      </c>
      <c r="X375" s="15">
        <f>IF('组合输入'!$C6="","",'组合输入'!$H6*$B375+SQRT(1-'组合输入'!$H6^2)*W375)</f>
        <v/>
      </c>
      <c r="Y375" s="7">
        <f>IF(X375="","",NORM.S.DIST(X375,TRUE))</f>
        <v/>
      </c>
      <c r="Z375" s="13">
        <f>IF(Y375="","",IF(Y375&lt;='组合输入'!$K6,"AAA",IF(Y375&lt;='组合输入'!$L6,"AA",IF(Y375&lt;='组合输入'!$M6,"A",IF(Y375&lt;='组合输入'!$N6,"BBB",IF(Y375&lt;='组合输入'!$O6,"BB",IF(Y375&lt;='组合输入'!$P6,"B",IF(Y375&lt;='组合输入'!$Q6,"CCC","D")))))))</f>
        <v/>
      </c>
      <c r="AA375" s="12">
        <f>IF(Z375="","",INDEX('状态价值'!$D6:$K6,MATCH(Z375,'状态价值'!$D$1:$K$1,0)))</f>
        <v/>
      </c>
      <c r="AB375" s="15">
        <f>NORM.S.INV(RAND())</f>
        <v/>
      </c>
      <c r="AC375" s="15">
        <f>IF('组合输入'!$C7="","",'组合输入'!$H7*$B375+SQRT(1-'组合输入'!$H7^2)*AB375)</f>
        <v/>
      </c>
      <c r="AD375" s="7">
        <f>IF(AC375="","",NORM.S.DIST(AC375,TRUE))</f>
        <v/>
      </c>
      <c r="AE375" s="13">
        <f>IF(AD375="","",IF(AD375&lt;='组合输入'!$K7,"AAA",IF(AD375&lt;='组合输入'!$L7,"AA",IF(AD375&lt;='组合输入'!$M7,"A",IF(AD375&lt;='组合输入'!$N7,"BBB",IF(AD375&lt;='组合输入'!$O7,"BB",IF(AD375&lt;='组合输入'!$P7,"B",IF(AD375&lt;='组合输入'!$Q7,"CCC","D")))))))</f>
        <v/>
      </c>
      <c r="AF375" s="12">
        <f>IF(AE375="","",INDEX('状态价值'!$D7:$K7,MATCH(AE375,'状态价值'!$D$1:$K$1,0)))</f>
        <v/>
      </c>
      <c r="AG375" s="15">
        <f>NORM.S.INV(RAND())</f>
        <v/>
      </c>
      <c r="AH375" s="15">
        <f>IF('组合输入'!$C8="","",'组合输入'!$H8*$B375+SQRT(1-'组合输入'!$H8^2)*AG375)</f>
        <v/>
      </c>
      <c r="AI375" s="7">
        <f>IF(AH375="","",NORM.S.DIST(AH375,TRUE))</f>
        <v/>
      </c>
      <c r="AJ375" s="13">
        <f>IF(AI375="","",IF(AI375&lt;='组合输入'!$K8,"AAA",IF(AI375&lt;='组合输入'!$L8,"AA",IF(AI375&lt;='组合输入'!$M8,"A",IF(AI375&lt;='组合输入'!$N8,"BBB",IF(AI375&lt;='组合输入'!$O8,"BB",IF(AI375&lt;='组合输入'!$P8,"B",IF(AI375&lt;='组合输入'!$Q8,"CCC","D")))))))</f>
        <v/>
      </c>
      <c r="AK375" s="12">
        <f>IF(AJ375="","",INDEX('状态价值'!$D8:$K8,MATCH(AJ375,'状态价值'!$D$1:$K$1,0)))</f>
        <v/>
      </c>
      <c r="AL375" s="15">
        <f>NORM.S.INV(RAND())</f>
        <v/>
      </c>
      <c r="AM375" s="15">
        <f>IF('组合输入'!$C9="","",'组合输入'!$H9*$B375+SQRT(1-'组合输入'!$H9^2)*AL375)</f>
        <v/>
      </c>
      <c r="AN375" s="7">
        <f>IF(AM375="","",NORM.S.DIST(AM375,TRUE))</f>
        <v/>
      </c>
      <c r="AO375" s="13">
        <f>IF(AN375="","",IF(AN375&lt;='组合输入'!$K9,"AAA",IF(AN375&lt;='组合输入'!$L9,"AA",IF(AN375&lt;='组合输入'!$M9,"A",IF(AN375&lt;='组合输入'!$N9,"BBB",IF(AN375&lt;='组合输入'!$O9,"BB",IF(AN375&lt;='组合输入'!$P9,"B",IF(AN375&lt;='组合输入'!$Q9,"CCC","D")))))))</f>
        <v/>
      </c>
      <c r="AP375" s="12">
        <f>IF(AO375="","",INDEX('状态价值'!$D9:$K9,MATCH(AO375,'状态价值'!$D$1:$K$1,0)))</f>
        <v/>
      </c>
      <c r="AQ375" s="15">
        <f>NORM.S.INV(RAND())</f>
        <v/>
      </c>
      <c r="AR375" s="15">
        <f>IF('组合输入'!$C10="","",'组合输入'!$H10*$B375+SQRT(1-'组合输入'!$H10^2)*AQ375)</f>
        <v/>
      </c>
      <c r="AS375" s="7">
        <f>IF(AR375="","",NORM.S.DIST(AR375,TRUE))</f>
        <v/>
      </c>
      <c r="AT375" s="13">
        <f>IF(AS375="","",IF(AS375&lt;='组合输入'!$K10,"AAA",IF(AS375&lt;='组合输入'!$L10,"AA",IF(AS375&lt;='组合输入'!$M10,"A",IF(AS375&lt;='组合输入'!$N10,"BBB",IF(AS375&lt;='组合输入'!$O10,"BB",IF(AS375&lt;='组合输入'!$P10,"B",IF(AS375&lt;='组合输入'!$Q10,"CCC","D")))))))</f>
        <v/>
      </c>
      <c r="AU375" s="12">
        <f>IF(AT375="","",INDEX('状态价值'!$D10:$K10,MATCH(AT375,'状态价值'!$D$1:$K$1,0)))</f>
        <v/>
      </c>
      <c r="AV375" s="15">
        <f>NORM.S.INV(RAND())</f>
        <v/>
      </c>
      <c r="AW375" s="15">
        <f>IF('组合输入'!$C11="","",'组合输入'!$H11*$B375+SQRT(1-'组合输入'!$H11^2)*AV375)</f>
        <v/>
      </c>
      <c r="AX375" s="7">
        <f>IF(AW375="","",NORM.S.DIST(AW375,TRUE))</f>
        <v/>
      </c>
      <c r="AY375" s="13">
        <f>IF(AX375="","",IF(AX375&lt;='组合输入'!$K11,"AAA",IF(AX375&lt;='组合输入'!$L11,"AA",IF(AX375&lt;='组合输入'!$M11,"A",IF(AX375&lt;='组合输入'!$N11,"BBB",IF(AX375&lt;='组合输入'!$O11,"BB",IF(AX375&lt;='组合输入'!$P11,"B",IF(AX375&lt;='组合输入'!$Q11,"CCC","D")))))))</f>
        <v/>
      </c>
      <c r="AZ375" s="12">
        <f>IF(AY375="","",INDEX('状态价值'!$D11:$K11,MATCH(AY375,'状态价值'!$D$1:$K$1,0)))</f>
        <v/>
      </c>
      <c r="BA375" s="12">
        <f>G375+L375+Q375+V375+AA375+AF375+AK375+AP375+AU375+AZ375</f>
        <v/>
      </c>
      <c r="BB375" s="12">
        <f>SUM('组合输入'!$J$2:$J$11)-BA375</f>
        <v/>
      </c>
    </row>
    <row r="376">
      <c r="A376" s="11" t="n">
        <v>375</v>
      </c>
      <c r="B376" s="14">
        <f>NORM.S.INV(RAND())</f>
        <v/>
      </c>
      <c r="C376" s="14">
        <f>NORM.S.INV(RAND())</f>
        <v/>
      </c>
      <c r="D376" s="15">
        <f>IF('组合输入'!$C2="","",'组合输入'!$H2*$B376+SQRT(1-'组合输入'!$H2^2)*C376)</f>
        <v/>
      </c>
      <c r="E376" s="7">
        <f>IF(D376="","",NORM.S.DIST(D376,TRUE))</f>
        <v/>
      </c>
      <c r="F376" s="13">
        <f>IF(E376="","",IF(E376&lt;='组合输入'!$K2,"AAA",IF(E376&lt;='组合输入'!$L2,"AA",IF(E376&lt;='组合输入'!$M2,"A",IF(E376&lt;='组合输入'!$N2,"BBB",IF(E376&lt;='组合输入'!$O2,"BB",IF(E376&lt;='组合输入'!$P2,"B",IF(E376&lt;='组合输入'!$Q2,"CCC","D")))))))</f>
        <v/>
      </c>
      <c r="G376" s="12">
        <f>IF(F376="","",INDEX('状态价值'!$D2:$K2,MATCH(F376,'状态价值'!$D$1:$K$1,0)))</f>
        <v/>
      </c>
      <c r="H376" s="15">
        <f>NORM.S.INV(RAND())</f>
        <v/>
      </c>
      <c r="I376" s="15">
        <f>IF('组合输入'!$C3="","",'组合输入'!$H3*$B376+SQRT(1-'组合输入'!$H3^2)*H376)</f>
        <v/>
      </c>
      <c r="J376" s="7">
        <f>IF(I376="","",NORM.S.DIST(I376,TRUE))</f>
        <v/>
      </c>
      <c r="K376" s="13">
        <f>IF(J376="","",IF(J376&lt;='组合输入'!$K3,"AAA",IF(J376&lt;='组合输入'!$L3,"AA",IF(J376&lt;='组合输入'!$M3,"A",IF(J376&lt;='组合输入'!$N3,"BBB",IF(J376&lt;='组合输入'!$O3,"BB",IF(J376&lt;='组合输入'!$P3,"B",IF(J376&lt;='组合输入'!$Q3,"CCC","D")))))))</f>
        <v/>
      </c>
      <c r="L376" s="12">
        <f>IF(K376="","",INDEX('状态价值'!$D3:$K3,MATCH(K376,'状态价值'!$D$1:$K$1,0)))</f>
        <v/>
      </c>
      <c r="M376" s="15">
        <f>NORM.S.INV(RAND())</f>
        <v/>
      </c>
      <c r="N376" s="15">
        <f>IF('组合输入'!$C4="","",'组合输入'!$H4*$B376+SQRT(1-'组合输入'!$H4^2)*M376)</f>
        <v/>
      </c>
      <c r="O376" s="7">
        <f>IF(N376="","",NORM.S.DIST(N376,TRUE))</f>
        <v/>
      </c>
      <c r="P376" s="13">
        <f>IF(O376="","",IF(O376&lt;='组合输入'!$K4,"AAA",IF(O376&lt;='组合输入'!$L4,"AA",IF(O376&lt;='组合输入'!$M4,"A",IF(O376&lt;='组合输入'!$N4,"BBB",IF(O376&lt;='组合输入'!$O4,"BB",IF(O376&lt;='组合输入'!$P4,"B",IF(O376&lt;='组合输入'!$Q4,"CCC","D")))))))</f>
        <v/>
      </c>
      <c r="Q376" s="12">
        <f>IF(P376="","",INDEX('状态价值'!$D4:$K4,MATCH(P376,'状态价值'!$D$1:$K$1,0)))</f>
        <v/>
      </c>
      <c r="R376" s="15">
        <f>NORM.S.INV(RAND())</f>
        <v/>
      </c>
      <c r="S376" s="15">
        <f>IF('组合输入'!$C5="","",'组合输入'!$H5*$B376+SQRT(1-'组合输入'!$H5^2)*R376)</f>
        <v/>
      </c>
      <c r="T376" s="7">
        <f>IF(S376="","",NORM.S.DIST(S376,TRUE))</f>
        <v/>
      </c>
      <c r="U376" s="13">
        <f>IF(T376="","",IF(T376&lt;='组合输入'!$K5,"AAA",IF(T376&lt;='组合输入'!$L5,"AA",IF(T376&lt;='组合输入'!$M5,"A",IF(T376&lt;='组合输入'!$N5,"BBB",IF(T376&lt;='组合输入'!$O5,"BB",IF(T376&lt;='组合输入'!$P5,"B",IF(T376&lt;='组合输入'!$Q5,"CCC","D")))))))</f>
        <v/>
      </c>
      <c r="V376" s="12">
        <f>IF(U376="","",INDEX('状态价值'!$D5:$K5,MATCH(U376,'状态价值'!$D$1:$K$1,0)))</f>
        <v/>
      </c>
      <c r="W376" s="15">
        <f>NORM.S.INV(RAND())</f>
        <v/>
      </c>
      <c r="X376" s="15">
        <f>IF('组合输入'!$C6="","",'组合输入'!$H6*$B376+SQRT(1-'组合输入'!$H6^2)*W376)</f>
        <v/>
      </c>
      <c r="Y376" s="7">
        <f>IF(X376="","",NORM.S.DIST(X376,TRUE))</f>
        <v/>
      </c>
      <c r="Z376" s="13">
        <f>IF(Y376="","",IF(Y376&lt;='组合输入'!$K6,"AAA",IF(Y376&lt;='组合输入'!$L6,"AA",IF(Y376&lt;='组合输入'!$M6,"A",IF(Y376&lt;='组合输入'!$N6,"BBB",IF(Y376&lt;='组合输入'!$O6,"BB",IF(Y376&lt;='组合输入'!$P6,"B",IF(Y376&lt;='组合输入'!$Q6,"CCC","D")))))))</f>
        <v/>
      </c>
      <c r="AA376" s="12">
        <f>IF(Z376="","",INDEX('状态价值'!$D6:$K6,MATCH(Z376,'状态价值'!$D$1:$K$1,0)))</f>
        <v/>
      </c>
      <c r="AB376" s="15">
        <f>NORM.S.INV(RAND())</f>
        <v/>
      </c>
      <c r="AC376" s="15">
        <f>IF('组合输入'!$C7="","",'组合输入'!$H7*$B376+SQRT(1-'组合输入'!$H7^2)*AB376)</f>
        <v/>
      </c>
      <c r="AD376" s="7">
        <f>IF(AC376="","",NORM.S.DIST(AC376,TRUE))</f>
        <v/>
      </c>
      <c r="AE376" s="13">
        <f>IF(AD376="","",IF(AD376&lt;='组合输入'!$K7,"AAA",IF(AD376&lt;='组合输入'!$L7,"AA",IF(AD376&lt;='组合输入'!$M7,"A",IF(AD376&lt;='组合输入'!$N7,"BBB",IF(AD376&lt;='组合输入'!$O7,"BB",IF(AD376&lt;='组合输入'!$P7,"B",IF(AD376&lt;='组合输入'!$Q7,"CCC","D")))))))</f>
        <v/>
      </c>
      <c r="AF376" s="12">
        <f>IF(AE376="","",INDEX('状态价值'!$D7:$K7,MATCH(AE376,'状态价值'!$D$1:$K$1,0)))</f>
        <v/>
      </c>
      <c r="AG376" s="15">
        <f>NORM.S.INV(RAND())</f>
        <v/>
      </c>
      <c r="AH376" s="15">
        <f>IF('组合输入'!$C8="","",'组合输入'!$H8*$B376+SQRT(1-'组合输入'!$H8^2)*AG376)</f>
        <v/>
      </c>
      <c r="AI376" s="7">
        <f>IF(AH376="","",NORM.S.DIST(AH376,TRUE))</f>
        <v/>
      </c>
      <c r="AJ376" s="13">
        <f>IF(AI376="","",IF(AI376&lt;='组合输入'!$K8,"AAA",IF(AI376&lt;='组合输入'!$L8,"AA",IF(AI376&lt;='组合输入'!$M8,"A",IF(AI376&lt;='组合输入'!$N8,"BBB",IF(AI376&lt;='组合输入'!$O8,"BB",IF(AI376&lt;='组合输入'!$P8,"B",IF(AI376&lt;='组合输入'!$Q8,"CCC","D")))))))</f>
        <v/>
      </c>
      <c r="AK376" s="12">
        <f>IF(AJ376="","",INDEX('状态价值'!$D8:$K8,MATCH(AJ376,'状态价值'!$D$1:$K$1,0)))</f>
        <v/>
      </c>
      <c r="AL376" s="15">
        <f>NORM.S.INV(RAND())</f>
        <v/>
      </c>
      <c r="AM376" s="15">
        <f>IF('组合输入'!$C9="","",'组合输入'!$H9*$B376+SQRT(1-'组合输入'!$H9^2)*AL376)</f>
        <v/>
      </c>
      <c r="AN376" s="7">
        <f>IF(AM376="","",NORM.S.DIST(AM376,TRUE))</f>
        <v/>
      </c>
      <c r="AO376" s="13">
        <f>IF(AN376="","",IF(AN376&lt;='组合输入'!$K9,"AAA",IF(AN376&lt;='组合输入'!$L9,"AA",IF(AN376&lt;='组合输入'!$M9,"A",IF(AN376&lt;='组合输入'!$N9,"BBB",IF(AN376&lt;='组合输入'!$O9,"BB",IF(AN376&lt;='组合输入'!$P9,"B",IF(AN376&lt;='组合输入'!$Q9,"CCC","D")))))))</f>
        <v/>
      </c>
      <c r="AP376" s="12">
        <f>IF(AO376="","",INDEX('状态价值'!$D9:$K9,MATCH(AO376,'状态价值'!$D$1:$K$1,0)))</f>
        <v/>
      </c>
      <c r="AQ376" s="15">
        <f>NORM.S.INV(RAND())</f>
        <v/>
      </c>
      <c r="AR376" s="15">
        <f>IF('组合输入'!$C10="","",'组合输入'!$H10*$B376+SQRT(1-'组合输入'!$H10^2)*AQ376)</f>
        <v/>
      </c>
      <c r="AS376" s="7">
        <f>IF(AR376="","",NORM.S.DIST(AR376,TRUE))</f>
        <v/>
      </c>
      <c r="AT376" s="13">
        <f>IF(AS376="","",IF(AS376&lt;='组合输入'!$K10,"AAA",IF(AS376&lt;='组合输入'!$L10,"AA",IF(AS376&lt;='组合输入'!$M10,"A",IF(AS376&lt;='组合输入'!$N10,"BBB",IF(AS376&lt;='组合输入'!$O10,"BB",IF(AS376&lt;='组合输入'!$P10,"B",IF(AS376&lt;='组合输入'!$Q10,"CCC","D")))))))</f>
        <v/>
      </c>
      <c r="AU376" s="12">
        <f>IF(AT376="","",INDEX('状态价值'!$D10:$K10,MATCH(AT376,'状态价值'!$D$1:$K$1,0)))</f>
        <v/>
      </c>
      <c r="AV376" s="15">
        <f>NORM.S.INV(RAND())</f>
        <v/>
      </c>
      <c r="AW376" s="15">
        <f>IF('组合输入'!$C11="","",'组合输入'!$H11*$B376+SQRT(1-'组合输入'!$H11^2)*AV376)</f>
        <v/>
      </c>
      <c r="AX376" s="7">
        <f>IF(AW376="","",NORM.S.DIST(AW376,TRUE))</f>
        <v/>
      </c>
      <c r="AY376" s="13">
        <f>IF(AX376="","",IF(AX376&lt;='组合输入'!$K11,"AAA",IF(AX376&lt;='组合输入'!$L11,"AA",IF(AX376&lt;='组合输入'!$M11,"A",IF(AX376&lt;='组合输入'!$N11,"BBB",IF(AX376&lt;='组合输入'!$O11,"BB",IF(AX376&lt;='组合输入'!$P11,"B",IF(AX376&lt;='组合输入'!$Q11,"CCC","D")))))))</f>
        <v/>
      </c>
      <c r="AZ376" s="12">
        <f>IF(AY376="","",INDEX('状态价值'!$D11:$K11,MATCH(AY376,'状态价值'!$D$1:$K$1,0)))</f>
        <v/>
      </c>
      <c r="BA376" s="12">
        <f>G376+L376+Q376+V376+AA376+AF376+AK376+AP376+AU376+AZ376</f>
        <v/>
      </c>
      <c r="BB376" s="12">
        <f>SUM('组合输入'!$J$2:$J$11)-BA376</f>
        <v/>
      </c>
    </row>
    <row r="377">
      <c r="A377" s="11" t="n">
        <v>376</v>
      </c>
      <c r="B377" s="14">
        <f>NORM.S.INV(RAND())</f>
        <v/>
      </c>
      <c r="C377" s="14">
        <f>NORM.S.INV(RAND())</f>
        <v/>
      </c>
      <c r="D377" s="15">
        <f>IF('组合输入'!$C2="","",'组合输入'!$H2*$B377+SQRT(1-'组合输入'!$H2^2)*C377)</f>
        <v/>
      </c>
      <c r="E377" s="7">
        <f>IF(D377="","",NORM.S.DIST(D377,TRUE))</f>
        <v/>
      </c>
      <c r="F377" s="13">
        <f>IF(E377="","",IF(E377&lt;='组合输入'!$K2,"AAA",IF(E377&lt;='组合输入'!$L2,"AA",IF(E377&lt;='组合输入'!$M2,"A",IF(E377&lt;='组合输入'!$N2,"BBB",IF(E377&lt;='组合输入'!$O2,"BB",IF(E377&lt;='组合输入'!$P2,"B",IF(E377&lt;='组合输入'!$Q2,"CCC","D")))))))</f>
        <v/>
      </c>
      <c r="G377" s="12">
        <f>IF(F377="","",INDEX('状态价值'!$D2:$K2,MATCH(F377,'状态价值'!$D$1:$K$1,0)))</f>
        <v/>
      </c>
      <c r="H377" s="15">
        <f>NORM.S.INV(RAND())</f>
        <v/>
      </c>
      <c r="I377" s="15">
        <f>IF('组合输入'!$C3="","",'组合输入'!$H3*$B377+SQRT(1-'组合输入'!$H3^2)*H377)</f>
        <v/>
      </c>
      <c r="J377" s="7">
        <f>IF(I377="","",NORM.S.DIST(I377,TRUE))</f>
        <v/>
      </c>
      <c r="K377" s="13">
        <f>IF(J377="","",IF(J377&lt;='组合输入'!$K3,"AAA",IF(J377&lt;='组合输入'!$L3,"AA",IF(J377&lt;='组合输入'!$M3,"A",IF(J377&lt;='组合输入'!$N3,"BBB",IF(J377&lt;='组合输入'!$O3,"BB",IF(J377&lt;='组合输入'!$P3,"B",IF(J377&lt;='组合输入'!$Q3,"CCC","D")))))))</f>
        <v/>
      </c>
      <c r="L377" s="12">
        <f>IF(K377="","",INDEX('状态价值'!$D3:$K3,MATCH(K377,'状态价值'!$D$1:$K$1,0)))</f>
        <v/>
      </c>
      <c r="M377" s="15">
        <f>NORM.S.INV(RAND())</f>
        <v/>
      </c>
      <c r="N377" s="15">
        <f>IF('组合输入'!$C4="","",'组合输入'!$H4*$B377+SQRT(1-'组合输入'!$H4^2)*M377)</f>
        <v/>
      </c>
      <c r="O377" s="7">
        <f>IF(N377="","",NORM.S.DIST(N377,TRUE))</f>
        <v/>
      </c>
      <c r="P377" s="13">
        <f>IF(O377="","",IF(O377&lt;='组合输入'!$K4,"AAA",IF(O377&lt;='组合输入'!$L4,"AA",IF(O377&lt;='组合输入'!$M4,"A",IF(O377&lt;='组合输入'!$N4,"BBB",IF(O377&lt;='组合输入'!$O4,"BB",IF(O377&lt;='组合输入'!$P4,"B",IF(O377&lt;='组合输入'!$Q4,"CCC","D")))))))</f>
        <v/>
      </c>
      <c r="Q377" s="12">
        <f>IF(P377="","",INDEX('状态价值'!$D4:$K4,MATCH(P377,'状态价值'!$D$1:$K$1,0)))</f>
        <v/>
      </c>
      <c r="R377" s="15">
        <f>NORM.S.INV(RAND())</f>
        <v/>
      </c>
      <c r="S377" s="15">
        <f>IF('组合输入'!$C5="","",'组合输入'!$H5*$B377+SQRT(1-'组合输入'!$H5^2)*R377)</f>
        <v/>
      </c>
      <c r="T377" s="7">
        <f>IF(S377="","",NORM.S.DIST(S377,TRUE))</f>
        <v/>
      </c>
      <c r="U377" s="13">
        <f>IF(T377="","",IF(T377&lt;='组合输入'!$K5,"AAA",IF(T377&lt;='组合输入'!$L5,"AA",IF(T377&lt;='组合输入'!$M5,"A",IF(T377&lt;='组合输入'!$N5,"BBB",IF(T377&lt;='组合输入'!$O5,"BB",IF(T377&lt;='组合输入'!$P5,"B",IF(T377&lt;='组合输入'!$Q5,"CCC","D")))))))</f>
        <v/>
      </c>
      <c r="V377" s="12">
        <f>IF(U377="","",INDEX('状态价值'!$D5:$K5,MATCH(U377,'状态价值'!$D$1:$K$1,0)))</f>
        <v/>
      </c>
      <c r="W377" s="15">
        <f>NORM.S.INV(RAND())</f>
        <v/>
      </c>
      <c r="X377" s="15">
        <f>IF('组合输入'!$C6="","",'组合输入'!$H6*$B377+SQRT(1-'组合输入'!$H6^2)*W377)</f>
        <v/>
      </c>
      <c r="Y377" s="7">
        <f>IF(X377="","",NORM.S.DIST(X377,TRUE))</f>
        <v/>
      </c>
      <c r="Z377" s="13">
        <f>IF(Y377="","",IF(Y377&lt;='组合输入'!$K6,"AAA",IF(Y377&lt;='组合输入'!$L6,"AA",IF(Y377&lt;='组合输入'!$M6,"A",IF(Y377&lt;='组合输入'!$N6,"BBB",IF(Y377&lt;='组合输入'!$O6,"BB",IF(Y377&lt;='组合输入'!$P6,"B",IF(Y377&lt;='组合输入'!$Q6,"CCC","D")))))))</f>
        <v/>
      </c>
      <c r="AA377" s="12">
        <f>IF(Z377="","",INDEX('状态价值'!$D6:$K6,MATCH(Z377,'状态价值'!$D$1:$K$1,0)))</f>
        <v/>
      </c>
      <c r="AB377" s="15">
        <f>NORM.S.INV(RAND())</f>
        <v/>
      </c>
      <c r="AC377" s="15">
        <f>IF('组合输入'!$C7="","",'组合输入'!$H7*$B377+SQRT(1-'组合输入'!$H7^2)*AB377)</f>
        <v/>
      </c>
      <c r="AD377" s="7">
        <f>IF(AC377="","",NORM.S.DIST(AC377,TRUE))</f>
        <v/>
      </c>
      <c r="AE377" s="13">
        <f>IF(AD377="","",IF(AD377&lt;='组合输入'!$K7,"AAA",IF(AD377&lt;='组合输入'!$L7,"AA",IF(AD377&lt;='组合输入'!$M7,"A",IF(AD377&lt;='组合输入'!$N7,"BBB",IF(AD377&lt;='组合输入'!$O7,"BB",IF(AD377&lt;='组合输入'!$P7,"B",IF(AD377&lt;='组合输入'!$Q7,"CCC","D")))))))</f>
        <v/>
      </c>
      <c r="AF377" s="12">
        <f>IF(AE377="","",INDEX('状态价值'!$D7:$K7,MATCH(AE377,'状态价值'!$D$1:$K$1,0)))</f>
        <v/>
      </c>
      <c r="AG377" s="15">
        <f>NORM.S.INV(RAND())</f>
        <v/>
      </c>
      <c r="AH377" s="15">
        <f>IF('组合输入'!$C8="","",'组合输入'!$H8*$B377+SQRT(1-'组合输入'!$H8^2)*AG377)</f>
        <v/>
      </c>
      <c r="AI377" s="7">
        <f>IF(AH377="","",NORM.S.DIST(AH377,TRUE))</f>
        <v/>
      </c>
      <c r="AJ377" s="13">
        <f>IF(AI377="","",IF(AI377&lt;='组合输入'!$K8,"AAA",IF(AI377&lt;='组合输入'!$L8,"AA",IF(AI377&lt;='组合输入'!$M8,"A",IF(AI377&lt;='组合输入'!$N8,"BBB",IF(AI377&lt;='组合输入'!$O8,"BB",IF(AI377&lt;='组合输入'!$P8,"B",IF(AI377&lt;='组合输入'!$Q8,"CCC","D")))))))</f>
        <v/>
      </c>
      <c r="AK377" s="12">
        <f>IF(AJ377="","",INDEX('状态价值'!$D8:$K8,MATCH(AJ377,'状态价值'!$D$1:$K$1,0)))</f>
        <v/>
      </c>
      <c r="AL377" s="15">
        <f>NORM.S.INV(RAND())</f>
        <v/>
      </c>
      <c r="AM377" s="15">
        <f>IF('组合输入'!$C9="","",'组合输入'!$H9*$B377+SQRT(1-'组合输入'!$H9^2)*AL377)</f>
        <v/>
      </c>
      <c r="AN377" s="7">
        <f>IF(AM377="","",NORM.S.DIST(AM377,TRUE))</f>
        <v/>
      </c>
      <c r="AO377" s="13">
        <f>IF(AN377="","",IF(AN377&lt;='组合输入'!$K9,"AAA",IF(AN377&lt;='组合输入'!$L9,"AA",IF(AN377&lt;='组合输入'!$M9,"A",IF(AN377&lt;='组合输入'!$N9,"BBB",IF(AN377&lt;='组合输入'!$O9,"BB",IF(AN377&lt;='组合输入'!$P9,"B",IF(AN377&lt;='组合输入'!$Q9,"CCC","D")))))))</f>
        <v/>
      </c>
      <c r="AP377" s="12">
        <f>IF(AO377="","",INDEX('状态价值'!$D9:$K9,MATCH(AO377,'状态价值'!$D$1:$K$1,0)))</f>
        <v/>
      </c>
      <c r="AQ377" s="15">
        <f>NORM.S.INV(RAND())</f>
        <v/>
      </c>
      <c r="AR377" s="15">
        <f>IF('组合输入'!$C10="","",'组合输入'!$H10*$B377+SQRT(1-'组合输入'!$H10^2)*AQ377)</f>
        <v/>
      </c>
      <c r="AS377" s="7">
        <f>IF(AR377="","",NORM.S.DIST(AR377,TRUE))</f>
        <v/>
      </c>
      <c r="AT377" s="13">
        <f>IF(AS377="","",IF(AS377&lt;='组合输入'!$K10,"AAA",IF(AS377&lt;='组合输入'!$L10,"AA",IF(AS377&lt;='组合输入'!$M10,"A",IF(AS377&lt;='组合输入'!$N10,"BBB",IF(AS377&lt;='组合输入'!$O10,"BB",IF(AS377&lt;='组合输入'!$P10,"B",IF(AS377&lt;='组合输入'!$Q10,"CCC","D")))))))</f>
        <v/>
      </c>
      <c r="AU377" s="12">
        <f>IF(AT377="","",INDEX('状态价值'!$D10:$K10,MATCH(AT377,'状态价值'!$D$1:$K$1,0)))</f>
        <v/>
      </c>
      <c r="AV377" s="15">
        <f>NORM.S.INV(RAND())</f>
        <v/>
      </c>
      <c r="AW377" s="15">
        <f>IF('组合输入'!$C11="","",'组合输入'!$H11*$B377+SQRT(1-'组合输入'!$H11^2)*AV377)</f>
        <v/>
      </c>
      <c r="AX377" s="7">
        <f>IF(AW377="","",NORM.S.DIST(AW377,TRUE))</f>
        <v/>
      </c>
      <c r="AY377" s="13">
        <f>IF(AX377="","",IF(AX377&lt;='组合输入'!$K11,"AAA",IF(AX377&lt;='组合输入'!$L11,"AA",IF(AX377&lt;='组合输入'!$M11,"A",IF(AX377&lt;='组合输入'!$N11,"BBB",IF(AX377&lt;='组合输入'!$O11,"BB",IF(AX377&lt;='组合输入'!$P11,"B",IF(AX377&lt;='组合输入'!$Q11,"CCC","D")))))))</f>
        <v/>
      </c>
      <c r="AZ377" s="12">
        <f>IF(AY377="","",INDEX('状态价值'!$D11:$K11,MATCH(AY377,'状态价值'!$D$1:$K$1,0)))</f>
        <v/>
      </c>
      <c r="BA377" s="12">
        <f>G377+L377+Q377+V377+AA377+AF377+AK377+AP377+AU377+AZ377</f>
        <v/>
      </c>
      <c r="BB377" s="12">
        <f>SUM('组合输入'!$J$2:$J$11)-BA377</f>
        <v/>
      </c>
    </row>
    <row r="378">
      <c r="A378" s="11" t="n">
        <v>377</v>
      </c>
      <c r="B378" s="14">
        <f>NORM.S.INV(RAND())</f>
        <v/>
      </c>
      <c r="C378" s="14">
        <f>NORM.S.INV(RAND())</f>
        <v/>
      </c>
      <c r="D378" s="15">
        <f>IF('组合输入'!$C2="","",'组合输入'!$H2*$B378+SQRT(1-'组合输入'!$H2^2)*C378)</f>
        <v/>
      </c>
      <c r="E378" s="7">
        <f>IF(D378="","",NORM.S.DIST(D378,TRUE))</f>
        <v/>
      </c>
      <c r="F378" s="13">
        <f>IF(E378="","",IF(E378&lt;='组合输入'!$K2,"AAA",IF(E378&lt;='组合输入'!$L2,"AA",IF(E378&lt;='组合输入'!$M2,"A",IF(E378&lt;='组合输入'!$N2,"BBB",IF(E378&lt;='组合输入'!$O2,"BB",IF(E378&lt;='组合输入'!$P2,"B",IF(E378&lt;='组合输入'!$Q2,"CCC","D")))))))</f>
        <v/>
      </c>
      <c r="G378" s="12">
        <f>IF(F378="","",INDEX('状态价值'!$D2:$K2,MATCH(F378,'状态价值'!$D$1:$K$1,0)))</f>
        <v/>
      </c>
      <c r="H378" s="15">
        <f>NORM.S.INV(RAND())</f>
        <v/>
      </c>
      <c r="I378" s="15">
        <f>IF('组合输入'!$C3="","",'组合输入'!$H3*$B378+SQRT(1-'组合输入'!$H3^2)*H378)</f>
        <v/>
      </c>
      <c r="J378" s="7">
        <f>IF(I378="","",NORM.S.DIST(I378,TRUE))</f>
        <v/>
      </c>
      <c r="K378" s="13">
        <f>IF(J378="","",IF(J378&lt;='组合输入'!$K3,"AAA",IF(J378&lt;='组合输入'!$L3,"AA",IF(J378&lt;='组合输入'!$M3,"A",IF(J378&lt;='组合输入'!$N3,"BBB",IF(J378&lt;='组合输入'!$O3,"BB",IF(J378&lt;='组合输入'!$P3,"B",IF(J378&lt;='组合输入'!$Q3,"CCC","D")))))))</f>
        <v/>
      </c>
      <c r="L378" s="12">
        <f>IF(K378="","",INDEX('状态价值'!$D3:$K3,MATCH(K378,'状态价值'!$D$1:$K$1,0)))</f>
        <v/>
      </c>
      <c r="M378" s="15">
        <f>NORM.S.INV(RAND())</f>
        <v/>
      </c>
      <c r="N378" s="15">
        <f>IF('组合输入'!$C4="","",'组合输入'!$H4*$B378+SQRT(1-'组合输入'!$H4^2)*M378)</f>
        <v/>
      </c>
      <c r="O378" s="7">
        <f>IF(N378="","",NORM.S.DIST(N378,TRUE))</f>
        <v/>
      </c>
      <c r="P378" s="13">
        <f>IF(O378="","",IF(O378&lt;='组合输入'!$K4,"AAA",IF(O378&lt;='组合输入'!$L4,"AA",IF(O378&lt;='组合输入'!$M4,"A",IF(O378&lt;='组合输入'!$N4,"BBB",IF(O378&lt;='组合输入'!$O4,"BB",IF(O378&lt;='组合输入'!$P4,"B",IF(O378&lt;='组合输入'!$Q4,"CCC","D")))))))</f>
        <v/>
      </c>
      <c r="Q378" s="12">
        <f>IF(P378="","",INDEX('状态价值'!$D4:$K4,MATCH(P378,'状态价值'!$D$1:$K$1,0)))</f>
        <v/>
      </c>
      <c r="R378" s="15">
        <f>NORM.S.INV(RAND())</f>
        <v/>
      </c>
      <c r="S378" s="15">
        <f>IF('组合输入'!$C5="","",'组合输入'!$H5*$B378+SQRT(1-'组合输入'!$H5^2)*R378)</f>
        <v/>
      </c>
      <c r="T378" s="7">
        <f>IF(S378="","",NORM.S.DIST(S378,TRUE))</f>
        <v/>
      </c>
      <c r="U378" s="13">
        <f>IF(T378="","",IF(T378&lt;='组合输入'!$K5,"AAA",IF(T378&lt;='组合输入'!$L5,"AA",IF(T378&lt;='组合输入'!$M5,"A",IF(T378&lt;='组合输入'!$N5,"BBB",IF(T378&lt;='组合输入'!$O5,"BB",IF(T378&lt;='组合输入'!$P5,"B",IF(T378&lt;='组合输入'!$Q5,"CCC","D")))))))</f>
        <v/>
      </c>
      <c r="V378" s="12">
        <f>IF(U378="","",INDEX('状态价值'!$D5:$K5,MATCH(U378,'状态价值'!$D$1:$K$1,0)))</f>
        <v/>
      </c>
      <c r="W378" s="15">
        <f>NORM.S.INV(RAND())</f>
        <v/>
      </c>
      <c r="X378" s="15">
        <f>IF('组合输入'!$C6="","",'组合输入'!$H6*$B378+SQRT(1-'组合输入'!$H6^2)*W378)</f>
        <v/>
      </c>
      <c r="Y378" s="7">
        <f>IF(X378="","",NORM.S.DIST(X378,TRUE))</f>
        <v/>
      </c>
      <c r="Z378" s="13">
        <f>IF(Y378="","",IF(Y378&lt;='组合输入'!$K6,"AAA",IF(Y378&lt;='组合输入'!$L6,"AA",IF(Y378&lt;='组合输入'!$M6,"A",IF(Y378&lt;='组合输入'!$N6,"BBB",IF(Y378&lt;='组合输入'!$O6,"BB",IF(Y378&lt;='组合输入'!$P6,"B",IF(Y378&lt;='组合输入'!$Q6,"CCC","D")))))))</f>
        <v/>
      </c>
      <c r="AA378" s="12">
        <f>IF(Z378="","",INDEX('状态价值'!$D6:$K6,MATCH(Z378,'状态价值'!$D$1:$K$1,0)))</f>
        <v/>
      </c>
      <c r="AB378" s="15">
        <f>NORM.S.INV(RAND())</f>
        <v/>
      </c>
      <c r="AC378" s="15">
        <f>IF('组合输入'!$C7="","",'组合输入'!$H7*$B378+SQRT(1-'组合输入'!$H7^2)*AB378)</f>
        <v/>
      </c>
      <c r="AD378" s="7">
        <f>IF(AC378="","",NORM.S.DIST(AC378,TRUE))</f>
        <v/>
      </c>
      <c r="AE378" s="13">
        <f>IF(AD378="","",IF(AD378&lt;='组合输入'!$K7,"AAA",IF(AD378&lt;='组合输入'!$L7,"AA",IF(AD378&lt;='组合输入'!$M7,"A",IF(AD378&lt;='组合输入'!$N7,"BBB",IF(AD378&lt;='组合输入'!$O7,"BB",IF(AD378&lt;='组合输入'!$P7,"B",IF(AD378&lt;='组合输入'!$Q7,"CCC","D")))))))</f>
        <v/>
      </c>
      <c r="AF378" s="12">
        <f>IF(AE378="","",INDEX('状态价值'!$D7:$K7,MATCH(AE378,'状态价值'!$D$1:$K$1,0)))</f>
        <v/>
      </c>
      <c r="AG378" s="15">
        <f>NORM.S.INV(RAND())</f>
        <v/>
      </c>
      <c r="AH378" s="15">
        <f>IF('组合输入'!$C8="","",'组合输入'!$H8*$B378+SQRT(1-'组合输入'!$H8^2)*AG378)</f>
        <v/>
      </c>
      <c r="AI378" s="7">
        <f>IF(AH378="","",NORM.S.DIST(AH378,TRUE))</f>
        <v/>
      </c>
      <c r="AJ378" s="13">
        <f>IF(AI378="","",IF(AI378&lt;='组合输入'!$K8,"AAA",IF(AI378&lt;='组合输入'!$L8,"AA",IF(AI378&lt;='组合输入'!$M8,"A",IF(AI378&lt;='组合输入'!$N8,"BBB",IF(AI378&lt;='组合输入'!$O8,"BB",IF(AI378&lt;='组合输入'!$P8,"B",IF(AI378&lt;='组合输入'!$Q8,"CCC","D")))))))</f>
        <v/>
      </c>
      <c r="AK378" s="12">
        <f>IF(AJ378="","",INDEX('状态价值'!$D8:$K8,MATCH(AJ378,'状态价值'!$D$1:$K$1,0)))</f>
        <v/>
      </c>
      <c r="AL378" s="15">
        <f>NORM.S.INV(RAND())</f>
        <v/>
      </c>
      <c r="AM378" s="15">
        <f>IF('组合输入'!$C9="","",'组合输入'!$H9*$B378+SQRT(1-'组合输入'!$H9^2)*AL378)</f>
        <v/>
      </c>
      <c r="AN378" s="7">
        <f>IF(AM378="","",NORM.S.DIST(AM378,TRUE))</f>
        <v/>
      </c>
      <c r="AO378" s="13">
        <f>IF(AN378="","",IF(AN378&lt;='组合输入'!$K9,"AAA",IF(AN378&lt;='组合输入'!$L9,"AA",IF(AN378&lt;='组合输入'!$M9,"A",IF(AN378&lt;='组合输入'!$N9,"BBB",IF(AN378&lt;='组合输入'!$O9,"BB",IF(AN378&lt;='组合输入'!$P9,"B",IF(AN378&lt;='组合输入'!$Q9,"CCC","D")))))))</f>
        <v/>
      </c>
      <c r="AP378" s="12">
        <f>IF(AO378="","",INDEX('状态价值'!$D9:$K9,MATCH(AO378,'状态价值'!$D$1:$K$1,0)))</f>
        <v/>
      </c>
      <c r="AQ378" s="15">
        <f>NORM.S.INV(RAND())</f>
        <v/>
      </c>
      <c r="AR378" s="15">
        <f>IF('组合输入'!$C10="","",'组合输入'!$H10*$B378+SQRT(1-'组合输入'!$H10^2)*AQ378)</f>
        <v/>
      </c>
      <c r="AS378" s="7">
        <f>IF(AR378="","",NORM.S.DIST(AR378,TRUE))</f>
        <v/>
      </c>
      <c r="AT378" s="13">
        <f>IF(AS378="","",IF(AS378&lt;='组合输入'!$K10,"AAA",IF(AS378&lt;='组合输入'!$L10,"AA",IF(AS378&lt;='组合输入'!$M10,"A",IF(AS378&lt;='组合输入'!$N10,"BBB",IF(AS378&lt;='组合输入'!$O10,"BB",IF(AS378&lt;='组合输入'!$P10,"B",IF(AS378&lt;='组合输入'!$Q10,"CCC","D")))))))</f>
        <v/>
      </c>
      <c r="AU378" s="12">
        <f>IF(AT378="","",INDEX('状态价值'!$D10:$K10,MATCH(AT378,'状态价值'!$D$1:$K$1,0)))</f>
        <v/>
      </c>
      <c r="AV378" s="15">
        <f>NORM.S.INV(RAND())</f>
        <v/>
      </c>
      <c r="AW378" s="15">
        <f>IF('组合输入'!$C11="","",'组合输入'!$H11*$B378+SQRT(1-'组合输入'!$H11^2)*AV378)</f>
        <v/>
      </c>
      <c r="AX378" s="7">
        <f>IF(AW378="","",NORM.S.DIST(AW378,TRUE))</f>
        <v/>
      </c>
      <c r="AY378" s="13">
        <f>IF(AX378="","",IF(AX378&lt;='组合输入'!$K11,"AAA",IF(AX378&lt;='组合输入'!$L11,"AA",IF(AX378&lt;='组合输入'!$M11,"A",IF(AX378&lt;='组合输入'!$N11,"BBB",IF(AX378&lt;='组合输入'!$O11,"BB",IF(AX378&lt;='组合输入'!$P11,"B",IF(AX378&lt;='组合输入'!$Q11,"CCC","D")))))))</f>
        <v/>
      </c>
      <c r="AZ378" s="12">
        <f>IF(AY378="","",INDEX('状态价值'!$D11:$K11,MATCH(AY378,'状态价值'!$D$1:$K$1,0)))</f>
        <v/>
      </c>
      <c r="BA378" s="12">
        <f>G378+L378+Q378+V378+AA378+AF378+AK378+AP378+AU378+AZ378</f>
        <v/>
      </c>
      <c r="BB378" s="12">
        <f>SUM('组合输入'!$J$2:$J$11)-BA378</f>
        <v/>
      </c>
    </row>
    <row r="379">
      <c r="A379" s="11" t="n">
        <v>378</v>
      </c>
      <c r="B379" s="14">
        <f>NORM.S.INV(RAND())</f>
        <v/>
      </c>
      <c r="C379" s="14">
        <f>NORM.S.INV(RAND())</f>
        <v/>
      </c>
      <c r="D379" s="15">
        <f>IF('组合输入'!$C2="","",'组合输入'!$H2*$B379+SQRT(1-'组合输入'!$H2^2)*C379)</f>
        <v/>
      </c>
      <c r="E379" s="7">
        <f>IF(D379="","",NORM.S.DIST(D379,TRUE))</f>
        <v/>
      </c>
      <c r="F379" s="13">
        <f>IF(E379="","",IF(E379&lt;='组合输入'!$K2,"AAA",IF(E379&lt;='组合输入'!$L2,"AA",IF(E379&lt;='组合输入'!$M2,"A",IF(E379&lt;='组合输入'!$N2,"BBB",IF(E379&lt;='组合输入'!$O2,"BB",IF(E379&lt;='组合输入'!$P2,"B",IF(E379&lt;='组合输入'!$Q2,"CCC","D")))))))</f>
        <v/>
      </c>
      <c r="G379" s="12">
        <f>IF(F379="","",INDEX('状态价值'!$D2:$K2,MATCH(F379,'状态价值'!$D$1:$K$1,0)))</f>
        <v/>
      </c>
      <c r="H379" s="15">
        <f>NORM.S.INV(RAND())</f>
        <v/>
      </c>
      <c r="I379" s="15">
        <f>IF('组合输入'!$C3="","",'组合输入'!$H3*$B379+SQRT(1-'组合输入'!$H3^2)*H379)</f>
        <v/>
      </c>
      <c r="J379" s="7">
        <f>IF(I379="","",NORM.S.DIST(I379,TRUE))</f>
        <v/>
      </c>
      <c r="K379" s="13">
        <f>IF(J379="","",IF(J379&lt;='组合输入'!$K3,"AAA",IF(J379&lt;='组合输入'!$L3,"AA",IF(J379&lt;='组合输入'!$M3,"A",IF(J379&lt;='组合输入'!$N3,"BBB",IF(J379&lt;='组合输入'!$O3,"BB",IF(J379&lt;='组合输入'!$P3,"B",IF(J379&lt;='组合输入'!$Q3,"CCC","D")))))))</f>
        <v/>
      </c>
      <c r="L379" s="12">
        <f>IF(K379="","",INDEX('状态价值'!$D3:$K3,MATCH(K379,'状态价值'!$D$1:$K$1,0)))</f>
        <v/>
      </c>
      <c r="M379" s="15">
        <f>NORM.S.INV(RAND())</f>
        <v/>
      </c>
      <c r="N379" s="15">
        <f>IF('组合输入'!$C4="","",'组合输入'!$H4*$B379+SQRT(1-'组合输入'!$H4^2)*M379)</f>
        <v/>
      </c>
      <c r="O379" s="7">
        <f>IF(N379="","",NORM.S.DIST(N379,TRUE))</f>
        <v/>
      </c>
      <c r="P379" s="13">
        <f>IF(O379="","",IF(O379&lt;='组合输入'!$K4,"AAA",IF(O379&lt;='组合输入'!$L4,"AA",IF(O379&lt;='组合输入'!$M4,"A",IF(O379&lt;='组合输入'!$N4,"BBB",IF(O379&lt;='组合输入'!$O4,"BB",IF(O379&lt;='组合输入'!$P4,"B",IF(O379&lt;='组合输入'!$Q4,"CCC","D")))))))</f>
        <v/>
      </c>
      <c r="Q379" s="12">
        <f>IF(P379="","",INDEX('状态价值'!$D4:$K4,MATCH(P379,'状态价值'!$D$1:$K$1,0)))</f>
        <v/>
      </c>
      <c r="R379" s="15">
        <f>NORM.S.INV(RAND())</f>
        <v/>
      </c>
      <c r="S379" s="15">
        <f>IF('组合输入'!$C5="","",'组合输入'!$H5*$B379+SQRT(1-'组合输入'!$H5^2)*R379)</f>
        <v/>
      </c>
      <c r="T379" s="7">
        <f>IF(S379="","",NORM.S.DIST(S379,TRUE))</f>
        <v/>
      </c>
      <c r="U379" s="13">
        <f>IF(T379="","",IF(T379&lt;='组合输入'!$K5,"AAA",IF(T379&lt;='组合输入'!$L5,"AA",IF(T379&lt;='组合输入'!$M5,"A",IF(T379&lt;='组合输入'!$N5,"BBB",IF(T379&lt;='组合输入'!$O5,"BB",IF(T379&lt;='组合输入'!$P5,"B",IF(T379&lt;='组合输入'!$Q5,"CCC","D")))))))</f>
        <v/>
      </c>
      <c r="V379" s="12">
        <f>IF(U379="","",INDEX('状态价值'!$D5:$K5,MATCH(U379,'状态价值'!$D$1:$K$1,0)))</f>
        <v/>
      </c>
      <c r="W379" s="15">
        <f>NORM.S.INV(RAND())</f>
        <v/>
      </c>
      <c r="X379" s="15">
        <f>IF('组合输入'!$C6="","",'组合输入'!$H6*$B379+SQRT(1-'组合输入'!$H6^2)*W379)</f>
        <v/>
      </c>
      <c r="Y379" s="7">
        <f>IF(X379="","",NORM.S.DIST(X379,TRUE))</f>
        <v/>
      </c>
      <c r="Z379" s="13">
        <f>IF(Y379="","",IF(Y379&lt;='组合输入'!$K6,"AAA",IF(Y379&lt;='组合输入'!$L6,"AA",IF(Y379&lt;='组合输入'!$M6,"A",IF(Y379&lt;='组合输入'!$N6,"BBB",IF(Y379&lt;='组合输入'!$O6,"BB",IF(Y379&lt;='组合输入'!$P6,"B",IF(Y379&lt;='组合输入'!$Q6,"CCC","D")))))))</f>
        <v/>
      </c>
      <c r="AA379" s="12">
        <f>IF(Z379="","",INDEX('状态价值'!$D6:$K6,MATCH(Z379,'状态价值'!$D$1:$K$1,0)))</f>
        <v/>
      </c>
      <c r="AB379" s="15">
        <f>NORM.S.INV(RAND())</f>
        <v/>
      </c>
      <c r="AC379" s="15">
        <f>IF('组合输入'!$C7="","",'组合输入'!$H7*$B379+SQRT(1-'组合输入'!$H7^2)*AB379)</f>
        <v/>
      </c>
      <c r="AD379" s="7">
        <f>IF(AC379="","",NORM.S.DIST(AC379,TRUE))</f>
        <v/>
      </c>
      <c r="AE379" s="13">
        <f>IF(AD379="","",IF(AD379&lt;='组合输入'!$K7,"AAA",IF(AD379&lt;='组合输入'!$L7,"AA",IF(AD379&lt;='组合输入'!$M7,"A",IF(AD379&lt;='组合输入'!$N7,"BBB",IF(AD379&lt;='组合输入'!$O7,"BB",IF(AD379&lt;='组合输入'!$P7,"B",IF(AD379&lt;='组合输入'!$Q7,"CCC","D")))))))</f>
        <v/>
      </c>
      <c r="AF379" s="12">
        <f>IF(AE379="","",INDEX('状态价值'!$D7:$K7,MATCH(AE379,'状态价值'!$D$1:$K$1,0)))</f>
        <v/>
      </c>
      <c r="AG379" s="15">
        <f>NORM.S.INV(RAND())</f>
        <v/>
      </c>
      <c r="AH379" s="15">
        <f>IF('组合输入'!$C8="","",'组合输入'!$H8*$B379+SQRT(1-'组合输入'!$H8^2)*AG379)</f>
        <v/>
      </c>
      <c r="AI379" s="7">
        <f>IF(AH379="","",NORM.S.DIST(AH379,TRUE))</f>
        <v/>
      </c>
      <c r="AJ379" s="13">
        <f>IF(AI379="","",IF(AI379&lt;='组合输入'!$K8,"AAA",IF(AI379&lt;='组合输入'!$L8,"AA",IF(AI379&lt;='组合输入'!$M8,"A",IF(AI379&lt;='组合输入'!$N8,"BBB",IF(AI379&lt;='组合输入'!$O8,"BB",IF(AI379&lt;='组合输入'!$P8,"B",IF(AI379&lt;='组合输入'!$Q8,"CCC","D")))))))</f>
        <v/>
      </c>
      <c r="AK379" s="12">
        <f>IF(AJ379="","",INDEX('状态价值'!$D8:$K8,MATCH(AJ379,'状态价值'!$D$1:$K$1,0)))</f>
        <v/>
      </c>
      <c r="AL379" s="15">
        <f>NORM.S.INV(RAND())</f>
        <v/>
      </c>
      <c r="AM379" s="15">
        <f>IF('组合输入'!$C9="","",'组合输入'!$H9*$B379+SQRT(1-'组合输入'!$H9^2)*AL379)</f>
        <v/>
      </c>
      <c r="AN379" s="7">
        <f>IF(AM379="","",NORM.S.DIST(AM379,TRUE))</f>
        <v/>
      </c>
      <c r="AO379" s="13">
        <f>IF(AN379="","",IF(AN379&lt;='组合输入'!$K9,"AAA",IF(AN379&lt;='组合输入'!$L9,"AA",IF(AN379&lt;='组合输入'!$M9,"A",IF(AN379&lt;='组合输入'!$N9,"BBB",IF(AN379&lt;='组合输入'!$O9,"BB",IF(AN379&lt;='组合输入'!$P9,"B",IF(AN379&lt;='组合输入'!$Q9,"CCC","D")))))))</f>
        <v/>
      </c>
      <c r="AP379" s="12">
        <f>IF(AO379="","",INDEX('状态价值'!$D9:$K9,MATCH(AO379,'状态价值'!$D$1:$K$1,0)))</f>
        <v/>
      </c>
      <c r="AQ379" s="15">
        <f>NORM.S.INV(RAND())</f>
        <v/>
      </c>
      <c r="AR379" s="15">
        <f>IF('组合输入'!$C10="","",'组合输入'!$H10*$B379+SQRT(1-'组合输入'!$H10^2)*AQ379)</f>
        <v/>
      </c>
      <c r="AS379" s="7">
        <f>IF(AR379="","",NORM.S.DIST(AR379,TRUE))</f>
        <v/>
      </c>
      <c r="AT379" s="13">
        <f>IF(AS379="","",IF(AS379&lt;='组合输入'!$K10,"AAA",IF(AS379&lt;='组合输入'!$L10,"AA",IF(AS379&lt;='组合输入'!$M10,"A",IF(AS379&lt;='组合输入'!$N10,"BBB",IF(AS379&lt;='组合输入'!$O10,"BB",IF(AS379&lt;='组合输入'!$P10,"B",IF(AS379&lt;='组合输入'!$Q10,"CCC","D")))))))</f>
        <v/>
      </c>
      <c r="AU379" s="12">
        <f>IF(AT379="","",INDEX('状态价值'!$D10:$K10,MATCH(AT379,'状态价值'!$D$1:$K$1,0)))</f>
        <v/>
      </c>
      <c r="AV379" s="15">
        <f>NORM.S.INV(RAND())</f>
        <v/>
      </c>
      <c r="AW379" s="15">
        <f>IF('组合输入'!$C11="","",'组合输入'!$H11*$B379+SQRT(1-'组合输入'!$H11^2)*AV379)</f>
        <v/>
      </c>
      <c r="AX379" s="7">
        <f>IF(AW379="","",NORM.S.DIST(AW379,TRUE))</f>
        <v/>
      </c>
      <c r="AY379" s="13">
        <f>IF(AX379="","",IF(AX379&lt;='组合输入'!$K11,"AAA",IF(AX379&lt;='组合输入'!$L11,"AA",IF(AX379&lt;='组合输入'!$M11,"A",IF(AX379&lt;='组合输入'!$N11,"BBB",IF(AX379&lt;='组合输入'!$O11,"BB",IF(AX379&lt;='组合输入'!$P11,"B",IF(AX379&lt;='组合输入'!$Q11,"CCC","D")))))))</f>
        <v/>
      </c>
      <c r="AZ379" s="12">
        <f>IF(AY379="","",INDEX('状态价值'!$D11:$K11,MATCH(AY379,'状态价值'!$D$1:$K$1,0)))</f>
        <v/>
      </c>
      <c r="BA379" s="12">
        <f>G379+L379+Q379+V379+AA379+AF379+AK379+AP379+AU379+AZ379</f>
        <v/>
      </c>
      <c r="BB379" s="12">
        <f>SUM('组合输入'!$J$2:$J$11)-BA379</f>
        <v/>
      </c>
    </row>
    <row r="380">
      <c r="A380" s="11" t="n">
        <v>379</v>
      </c>
      <c r="B380" s="14">
        <f>NORM.S.INV(RAND())</f>
        <v/>
      </c>
      <c r="C380" s="14">
        <f>NORM.S.INV(RAND())</f>
        <v/>
      </c>
      <c r="D380" s="15">
        <f>IF('组合输入'!$C2="","",'组合输入'!$H2*$B380+SQRT(1-'组合输入'!$H2^2)*C380)</f>
        <v/>
      </c>
      <c r="E380" s="7">
        <f>IF(D380="","",NORM.S.DIST(D380,TRUE))</f>
        <v/>
      </c>
      <c r="F380" s="13">
        <f>IF(E380="","",IF(E380&lt;='组合输入'!$K2,"AAA",IF(E380&lt;='组合输入'!$L2,"AA",IF(E380&lt;='组合输入'!$M2,"A",IF(E380&lt;='组合输入'!$N2,"BBB",IF(E380&lt;='组合输入'!$O2,"BB",IF(E380&lt;='组合输入'!$P2,"B",IF(E380&lt;='组合输入'!$Q2,"CCC","D")))))))</f>
        <v/>
      </c>
      <c r="G380" s="12">
        <f>IF(F380="","",INDEX('状态价值'!$D2:$K2,MATCH(F380,'状态价值'!$D$1:$K$1,0)))</f>
        <v/>
      </c>
      <c r="H380" s="15">
        <f>NORM.S.INV(RAND())</f>
        <v/>
      </c>
      <c r="I380" s="15">
        <f>IF('组合输入'!$C3="","",'组合输入'!$H3*$B380+SQRT(1-'组合输入'!$H3^2)*H380)</f>
        <v/>
      </c>
      <c r="J380" s="7">
        <f>IF(I380="","",NORM.S.DIST(I380,TRUE))</f>
        <v/>
      </c>
      <c r="K380" s="13">
        <f>IF(J380="","",IF(J380&lt;='组合输入'!$K3,"AAA",IF(J380&lt;='组合输入'!$L3,"AA",IF(J380&lt;='组合输入'!$M3,"A",IF(J380&lt;='组合输入'!$N3,"BBB",IF(J380&lt;='组合输入'!$O3,"BB",IF(J380&lt;='组合输入'!$P3,"B",IF(J380&lt;='组合输入'!$Q3,"CCC","D")))))))</f>
        <v/>
      </c>
      <c r="L380" s="12">
        <f>IF(K380="","",INDEX('状态价值'!$D3:$K3,MATCH(K380,'状态价值'!$D$1:$K$1,0)))</f>
        <v/>
      </c>
      <c r="M380" s="15">
        <f>NORM.S.INV(RAND())</f>
        <v/>
      </c>
      <c r="N380" s="15">
        <f>IF('组合输入'!$C4="","",'组合输入'!$H4*$B380+SQRT(1-'组合输入'!$H4^2)*M380)</f>
        <v/>
      </c>
      <c r="O380" s="7">
        <f>IF(N380="","",NORM.S.DIST(N380,TRUE))</f>
        <v/>
      </c>
      <c r="P380" s="13">
        <f>IF(O380="","",IF(O380&lt;='组合输入'!$K4,"AAA",IF(O380&lt;='组合输入'!$L4,"AA",IF(O380&lt;='组合输入'!$M4,"A",IF(O380&lt;='组合输入'!$N4,"BBB",IF(O380&lt;='组合输入'!$O4,"BB",IF(O380&lt;='组合输入'!$P4,"B",IF(O380&lt;='组合输入'!$Q4,"CCC","D")))))))</f>
        <v/>
      </c>
      <c r="Q380" s="12">
        <f>IF(P380="","",INDEX('状态价值'!$D4:$K4,MATCH(P380,'状态价值'!$D$1:$K$1,0)))</f>
        <v/>
      </c>
      <c r="R380" s="15">
        <f>NORM.S.INV(RAND())</f>
        <v/>
      </c>
      <c r="S380" s="15">
        <f>IF('组合输入'!$C5="","",'组合输入'!$H5*$B380+SQRT(1-'组合输入'!$H5^2)*R380)</f>
        <v/>
      </c>
      <c r="T380" s="7">
        <f>IF(S380="","",NORM.S.DIST(S380,TRUE))</f>
        <v/>
      </c>
      <c r="U380" s="13">
        <f>IF(T380="","",IF(T380&lt;='组合输入'!$K5,"AAA",IF(T380&lt;='组合输入'!$L5,"AA",IF(T380&lt;='组合输入'!$M5,"A",IF(T380&lt;='组合输入'!$N5,"BBB",IF(T380&lt;='组合输入'!$O5,"BB",IF(T380&lt;='组合输入'!$P5,"B",IF(T380&lt;='组合输入'!$Q5,"CCC","D")))))))</f>
        <v/>
      </c>
      <c r="V380" s="12">
        <f>IF(U380="","",INDEX('状态价值'!$D5:$K5,MATCH(U380,'状态价值'!$D$1:$K$1,0)))</f>
        <v/>
      </c>
      <c r="W380" s="15">
        <f>NORM.S.INV(RAND())</f>
        <v/>
      </c>
      <c r="X380" s="15">
        <f>IF('组合输入'!$C6="","",'组合输入'!$H6*$B380+SQRT(1-'组合输入'!$H6^2)*W380)</f>
        <v/>
      </c>
      <c r="Y380" s="7">
        <f>IF(X380="","",NORM.S.DIST(X380,TRUE))</f>
        <v/>
      </c>
      <c r="Z380" s="13">
        <f>IF(Y380="","",IF(Y380&lt;='组合输入'!$K6,"AAA",IF(Y380&lt;='组合输入'!$L6,"AA",IF(Y380&lt;='组合输入'!$M6,"A",IF(Y380&lt;='组合输入'!$N6,"BBB",IF(Y380&lt;='组合输入'!$O6,"BB",IF(Y380&lt;='组合输入'!$P6,"B",IF(Y380&lt;='组合输入'!$Q6,"CCC","D")))))))</f>
        <v/>
      </c>
      <c r="AA380" s="12">
        <f>IF(Z380="","",INDEX('状态价值'!$D6:$K6,MATCH(Z380,'状态价值'!$D$1:$K$1,0)))</f>
        <v/>
      </c>
      <c r="AB380" s="15">
        <f>NORM.S.INV(RAND())</f>
        <v/>
      </c>
      <c r="AC380" s="15">
        <f>IF('组合输入'!$C7="","",'组合输入'!$H7*$B380+SQRT(1-'组合输入'!$H7^2)*AB380)</f>
        <v/>
      </c>
      <c r="AD380" s="7">
        <f>IF(AC380="","",NORM.S.DIST(AC380,TRUE))</f>
        <v/>
      </c>
      <c r="AE380" s="13">
        <f>IF(AD380="","",IF(AD380&lt;='组合输入'!$K7,"AAA",IF(AD380&lt;='组合输入'!$L7,"AA",IF(AD380&lt;='组合输入'!$M7,"A",IF(AD380&lt;='组合输入'!$N7,"BBB",IF(AD380&lt;='组合输入'!$O7,"BB",IF(AD380&lt;='组合输入'!$P7,"B",IF(AD380&lt;='组合输入'!$Q7,"CCC","D")))))))</f>
        <v/>
      </c>
      <c r="AF380" s="12">
        <f>IF(AE380="","",INDEX('状态价值'!$D7:$K7,MATCH(AE380,'状态价值'!$D$1:$K$1,0)))</f>
        <v/>
      </c>
      <c r="AG380" s="15">
        <f>NORM.S.INV(RAND())</f>
        <v/>
      </c>
      <c r="AH380" s="15">
        <f>IF('组合输入'!$C8="","",'组合输入'!$H8*$B380+SQRT(1-'组合输入'!$H8^2)*AG380)</f>
        <v/>
      </c>
      <c r="AI380" s="7">
        <f>IF(AH380="","",NORM.S.DIST(AH380,TRUE))</f>
        <v/>
      </c>
      <c r="AJ380" s="13">
        <f>IF(AI380="","",IF(AI380&lt;='组合输入'!$K8,"AAA",IF(AI380&lt;='组合输入'!$L8,"AA",IF(AI380&lt;='组合输入'!$M8,"A",IF(AI380&lt;='组合输入'!$N8,"BBB",IF(AI380&lt;='组合输入'!$O8,"BB",IF(AI380&lt;='组合输入'!$P8,"B",IF(AI380&lt;='组合输入'!$Q8,"CCC","D")))))))</f>
        <v/>
      </c>
      <c r="AK380" s="12">
        <f>IF(AJ380="","",INDEX('状态价值'!$D8:$K8,MATCH(AJ380,'状态价值'!$D$1:$K$1,0)))</f>
        <v/>
      </c>
      <c r="AL380" s="15">
        <f>NORM.S.INV(RAND())</f>
        <v/>
      </c>
      <c r="AM380" s="15">
        <f>IF('组合输入'!$C9="","",'组合输入'!$H9*$B380+SQRT(1-'组合输入'!$H9^2)*AL380)</f>
        <v/>
      </c>
      <c r="AN380" s="7">
        <f>IF(AM380="","",NORM.S.DIST(AM380,TRUE))</f>
        <v/>
      </c>
      <c r="AO380" s="13">
        <f>IF(AN380="","",IF(AN380&lt;='组合输入'!$K9,"AAA",IF(AN380&lt;='组合输入'!$L9,"AA",IF(AN380&lt;='组合输入'!$M9,"A",IF(AN380&lt;='组合输入'!$N9,"BBB",IF(AN380&lt;='组合输入'!$O9,"BB",IF(AN380&lt;='组合输入'!$P9,"B",IF(AN380&lt;='组合输入'!$Q9,"CCC","D")))))))</f>
        <v/>
      </c>
      <c r="AP380" s="12">
        <f>IF(AO380="","",INDEX('状态价值'!$D9:$K9,MATCH(AO380,'状态价值'!$D$1:$K$1,0)))</f>
        <v/>
      </c>
      <c r="AQ380" s="15">
        <f>NORM.S.INV(RAND())</f>
        <v/>
      </c>
      <c r="AR380" s="15">
        <f>IF('组合输入'!$C10="","",'组合输入'!$H10*$B380+SQRT(1-'组合输入'!$H10^2)*AQ380)</f>
        <v/>
      </c>
      <c r="AS380" s="7">
        <f>IF(AR380="","",NORM.S.DIST(AR380,TRUE))</f>
        <v/>
      </c>
      <c r="AT380" s="13">
        <f>IF(AS380="","",IF(AS380&lt;='组合输入'!$K10,"AAA",IF(AS380&lt;='组合输入'!$L10,"AA",IF(AS380&lt;='组合输入'!$M10,"A",IF(AS380&lt;='组合输入'!$N10,"BBB",IF(AS380&lt;='组合输入'!$O10,"BB",IF(AS380&lt;='组合输入'!$P10,"B",IF(AS380&lt;='组合输入'!$Q10,"CCC","D")))))))</f>
        <v/>
      </c>
      <c r="AU380" s="12">
        <f>IF(AT380="","",INDEX('状态价值'!$D10:$K10,MATCH(AT380,'状态价值'!$D$1:$K$1,0)))</f>
        <v/>
      </c>
      <c r="AV380" s="15">
        <f>NORM.S.INV(RAND())</f>
        <v/>
      </c>
      <c r="AW380" s="15">
        <f>IF('组合输入'!$C11="","",'组合输入'!$H11*$B380+SQRT(1-'组合输入'!$H11^2)*AV380)</f>
        <v/>
      </c>
      <c r="AX380" s="7">
        <f>IF(AW380="","",NORM.S.DIST(AW380,TRUE))</f>
        <v/>
      </c>
      <c r="AY380" s="13">
        <f>IF(AX380="","",IF(AX380&lt;='组合输入'!$K11,"AAA",IF(AX380&lt;='组合输入'!$L11,"AA",IF(AX380&lt;='组合输入'!$M11,"A",IF(AX380&lt;='组合输入'!$N11,"BBB",IF(AX380&lt;='组合输入'!$O11,"BB",IF(AX380&lt;='组合输入'!$P11,"B",IF(AX380&lt;='组合输入'!$Q11,"CCC","D")))))))</f>
        <v/>
      </c>
      <c r="AZ380" s="12">
        <f>IF(AY380="","",INDEX('状态价值'!$D11:$K11,MATCH(AY380,'状态价值'!$D$1:$K$1,0)))</f>
        <v/>
      </c>
      <c r="BA380" s="12">
        <f>G380+L380+Q380+V380+AA380+AF380+AK380+AP380+AU380+AZ380</f>
        <v/>
      </c>
      <c r="BB380" s="12">
        <f>SUM('组合输入'!$J$2:$J$11)-BA380</f>
        <v/>
      </c>
    </row>
    <row r="381">
      <c r="A381" s="11" t="n">
        <v>380</v>
      </c>
      <c r="B381" s="14">
        <f>NORM.S.INV(RAND())</f>
        <v/>
      </c>
      <c r="C381" s="14">
        <f>NORM.S.INV(RAND())</f>
        <v/>
      </c>
      <c r="D381" s="15">
        <f>IF('组合输入'!$C2="","",'组合输入'!$H2*$B381+SQRT(1-'组合输入'!$H2^2)*C381)</f>
        <v/>
      </c>
      <c r="E381" s="7">
        <f>IF(D381="","",NORM.S.DIST(D381,TRUE))</f>
        <v/>
      </c>
      <c r="F381" s="13">
        <f>IF(E381="","",IF(E381&lt;='组合输入'!$K2,"AAA",IF(E381&lt;='组合输入'!$L2,"AA",IF(E381&lt;='组合输入'!$M2,"A",IF(E381&lt;='组合输入'!$N2,"BBB",IF(E381&lt;='组合输入'!$O2,"BB",IF(E381&lt;='组合输入'!$P2,"B",IF(E381&lt;='组合输入'!$Q2,"CCC","D")))))))</f>
        <v/>
      </c>
      <c r="G381" s="12">
        <f>IF(F381="","",INDEX('状态价值'!$D2:$K2,MATCH(F381,'状态价值'!$D$1:$K$1,0)))</f>
        <v/>
      </c>
      <c r="H381" s="15">
        <f>NORM.S.INV(RAND())</f>
        <v/>
      </c>
      <c r="I381" s="15">
        <f>IF('组合输入'!$C3="","",'组合输入'!$H3*$B381+SQRT(1-'组合输入'!$H3^2)*H381)</f>
        <v/>
      </c>
      <c r="J381" s="7">
        <f>IF(I381="","",NORM.S.DIST(I381,TRUE))</f>
        <v/>
      </c>
      <c r="K381" s="13">
        <f>IF(J381="","",IF(J381&lt;='组合输入'!$K3,"AAA",IF(J381&lt;='组合输入'!$L3,"AA",IF(J381&lt;='组合输入'!$M3,"A",IF(J381&lt;='组合输入'!$N3,"BBB",IF(J381&lt;='组合输入'!$O3,"BB",IF(J381&lt;='组合输入'!$P3,"B",IF(J381&lt;='组合输入'!$Q3,"CCC","D")))))))</f>
        <v/>
      </c>
      <c r="L381" s="12">
        <f>IF(K381="","",INDEX('状态价值'!$D3:$K3,MATCH(K381,'状态价值'!$D$1:$K$1,0)))</f>
        <v/>
      </c>
      <c r="M381" s="15">
        <f>NORM.S.INV(RAND())</f>
        <v/>
      </c>
      <c r="N381" s="15">
        <f>IF('组合输入'!$C4="","",'组合输入'!$H4*$B381+SQRT(1-'组合输入'!$H4^2)*M381)</f>
        <v/>
      </c>
      <c r="O381" s="7">
        <f>IF(N381="","",NORM.S.DIST(N381,TRUE))</f>
        <v/>
      </c>
      <c r="P381" s="13">
        <f>IF(O381="","",IF(O381&lt;='组合输入'!$K4,"AAA",IF(O381&lt;='组合输入'!$L4,"AA",IF(O381&lt;='组合输入'!$M4,"A",IF(O381&lt;='组合输入'!$N4,"BBB",IF(O381&lt;='组合输入'!$O4,"BB",IF(O381&lt;='组合输入'!$P4,"B",IF(O381&lt;='组合输入'!$Q4,"CCC","D")))))))</f>
        <v/>
      </c>
      <c r="Q381" s="12">
        <f>IF(P381="","",INDEX('状态价值'!$D4:$K4,MATCH(P381,'状态价值'!$D$1:$K$1,0)))</f>
        <v/>
      </c>
      <c r="R381" s="15">
        <f>NORM.S.INV(RAND())</f>
        <v/>
      </c>
      <c r="S381" s="15">
        <f>IF('组合输入'!$C5="","",'组合输入'!$H5*$B381+SQRT(1-'组合输入'!$H5^2)*R381)</f>
        <v/>
      </c>
      <c r="T381" s="7">
        <f>IF(S381="","",NORM.S.DIST(S381,TRUE))</f>
        <v/>
      </c>
      <c r="U381" s="13">
        <f>IF(T381="","",IF(T381&lt;='组合输入'!$K5,"AAA",IF(T381&lt;='组合输入'!$L5,"AA",IF(T381&lt;='组合输入'!$M5,"A",IF(T381&lt;='组合输入'!$N5,"BBB",IF(T381&lt;='组合输入'!$O5,"BB",IF(T381&lt;='组合输入'!$P5,"B",IF(T381&lt;='组合输入'!$Q5,"CCC","D")))))))</f>
        <v/>
      </c>
      <c r="V381" s="12">
        <f>IF(U381="","",INDEX('状态价值'!$D5:$K5,MATCH(U381,'状态价值'!$D$1:$K$1,0)))</f>
        <v/>
      </c>
      <c r="W381" s="15">
        <f>NORM.S.INV(RAND())</f>
        <v/>
      </c>
      <c r="X381" s="15">
        <f>IF('组合输入'!$C6="","",'组合输入'!$H6*$B381+SQRT(1-'组合输入'!$H6^2)*W381)</f>
        <v/>
      </c>
      <c r="Y381" s="7">
        <f>IF(X381="","",NORM.S.DIST(X381,TRUE))</f>
        <v/>
      </c>
      <c r="Z381" s="13">
        <f>IF(Y381="","",IF(Y381&lt;='组合输入'!$K6,"AAA",IF(Y381&lt;='组合输入'!$L6,"AA",IF(Y381&lt;='组合输入'!$M6,"A",IF(Y381&lt;='组合输入'!$N6,"BBB",IF(Y381&lt;='组合输入'!$O6,"BB",IF(Y381&lt;='组合输入'!$P6,"B",IF(Y381&lt;='组合输入'!$Q6,"CCC","D")))))))</f>
        <v/>
      </c>
      <c r="AA381" s="12">
        <f>IF(Z381="","",INDEX('状态价值'!$D6:$K6,MATCH(Z381,'状态价值'!$D$1:$K$1,0)))</f>
        <v/>
      </c>
      <c r="AB381" s="15">
        <f>NORM.S.INV(RAND())</f>
        <v/>
      </c>
      <c r="AC381" s="15">
        <f>IF('组合输入'!$C7="","",'组合输入'!$H7*$B381+SQRT(1-'组合输入'!$H7^2)*AB381)</f>
        <v/>
      </c>
      <c r="AD381" s="7">
        <f>IF(AC381="","",NORM.S.DIST(AC381,TRUE))</f>
        <v/>
      </c>
      <c r="AE381" s="13">
        <f>IF(AD381="","",IF(AD381&lt;='组合输入'!$K7,"AAA",IF(AD381&lt;='组合输入'!$L7,"AA",IF(AD381&lt;='组合输入'!$M7,"A",IF(AD381&lt;='组合输入'!$N7,"BBB",IF(AD381&lt;='组合输入'!$O7,"BB",IF(AD381&lt;='组合输入'!$P7,"B",IF(AD381&lt;='组合输入'!$Q7,"CCC","D")))))))</f>
        <v/>
      </c>
      <c r="AF381" s="12">
        <f>IF(AE381="","",INDEX('状态价值'!$D7:$K7,MATCH(AE381,'状态价值'!$D$1:$K$1,0)))</f>
        <v/>
      </c>
      <c r="AG381" s="15">
        <f>NORM.S.INV(RAND())</f>
        <v/>
      </c>
      <c r="AH381" s="15">
        <f>IF('组合输入'!$C8="","",'组合输入'!$H8*$B381+SQRT(1-'组合输入'!$H8^2)*AG381)</f>
        <v/>
      </c>
      <c r="AI381" s="7">
        <f>IF(AH381="","",NORM.S.DIST(AH381,TRUE))</f>
        <v/>
      </c>
      <c r="AJ381" s="13">
        <f>IF(AI381="","",IF(AI381&lt;='组合输入'!$K8,"AAA",IF(AI381&lt;='组合输入'!$L8,"AA",IF(AI381&lt;='组合输入'!$M8,"A",IF(AI381&lt;='组合输入'!$N8,"BBB",IF(AI381&lt;='组合输入'!$O8,"BB",IF(AI381&lt;='组合输入'!$P8,"B",IF(AI381&lt;='组合输入'!$Q8,"CCC","D")))))))</f>
        <v/>
      </c>
      <c r="AK381" s="12">
        <f>IF(AJ381="","",INDEX('状态价值'!$D8:$K8,MATCH(AJ381,'状态价值'!$D$1:$K$1,0)))</f>
        <v/>
      </c>
      <c r="AL381" s="15">
        <f>NORM.S.INV(RAND())</f>
        <v/>
      </c>
      <c r="AM381" s="15">
        <f>IF('组合输入'!$C9="","",'组合输入'!$H9*$B381+SQRT(1-'组合输入'!$H9^2)*AL381)</f>
        <v/>
      </c>
      <c r="AN381" s="7">
        <f>IF(AM381="","",NORM.S.DIST(AM381,TRUE))</f>
        <v/>
      </c>
      <c r="AO381" s="13">
        <f>IF(AN381="","",IF(AN381&lt;='组合输入'!$K9,"AAA",IF(AN381&lt;='组合输入'!$L9,"AA",IF(AN381&lt;='组合输入'!$M9,"A",IF(AN381&lt;='组合输入'!$N9,"BBB",IF(AN381&lt;='组合输入'!$O9,"BB",IF(AN381&lt;='组合输入'!$P9,"B",IF(AN381&lt;='组合输入'!$Q9,"CCC","D")))))))</f>
        <v/>
      </c>
      <c r="AP381" s="12">
        <f>IF(AO381="","",INDEX('状态价值'!$D9:$K9,MATCH(AO381,'状态价值'!$D$1:$K$1,0)))</f>
        <v/>
      </c>
      <c r="AQ381" s="15">
        <f>NORM.S.INV(RAND())</f>
        <v/>
      </c>
      <c r="AR381" s="15">
        <f>IF('组合输入'!$C10="","",'组合输入'!$H10*$B381+SQRT(1-'组合输入'!$H10^2)*AQ381)</f>
        <v/>
      </c>
      <c r="AS381" s="7">
        <f>IF(AR381="","",NORM.S.DIST(AR381,TRUE))</f>
        <v/>
      </c>
      <c r="AT381" s="13">
        <f>IF(AS381="","",IF(AS381&lt;='组合输入'!$K10,"AAA",IF(AS381&lt;='组合输入'!$L10,"AA",IF(AS381&lt;='组合输入'!$M10,"A",IF(AS381&lt;='组合输入'!$N10,"BBB",IF(AS381&lt;='组合输入'!$O10,"BB",IF(AS381&lt;='组合输入'!$P10,"B",IF(AS381&lt;='组合输入'!$Q10,"CCC","D")))))))</f>
        <v/>
      </c>
      <c r="AU381" s="12">
        <f>IF(AT381="","",INDEX('状态价值'!$D10:$K10,MATCH(AT381,'状态价值'!$D$1:$K$1,0)))</f>
        <v/>
      </c>
      <c r="AV381" s="15">
        <f>NORM.S.INV(RAND())</f>
        <v/>
      </c>
      <c r="AW381" s="15">
        <f>IF('组合输入'!$C11="","",'组合输入'!$H11*$B381+SQRT(1-'组合输入'!$H11^2)*AV381)</f>
        <v/>
      </c>
      <c r="AX381" s="7">
        <f>IF(AW381="","",NORM.S.DIST(AW381,TRUE))</f>
        <v/>
      </c>
      <c r="AY381" s="13">
        <f>IF(AX381="","",IF(AX381&lt;='组合输入'!$K11,"AAA",IF(AX381&lt;='组合输入'!$L11,"AA",IF(AX381&lt;='组合输入'!$M11,"A",IF(AX381&lt;='组合输入'!$N11,"BBB",IF(AX381&lt;='组合输入'!$O11,"BB",IF(AX381&lt;='组合输入'!$P11,"B",IF(AX381&lt;='组合输入'!$Q11,"CCC","D")))))))</f>
        <v/>
      </c>
      <c r="AZ381" s="12">
        <f>IF(AY381="","",INDEX('状态价值'!$D11:$K11,MATCH(AY381,'状态价值'!$D$1:$K$1,0)))</f>
        <v/>
      </c>
      <c r="BA381" s="12">
        <f>G381+L381+Q381+V381+AA381+AF381+AK381+AP381+AU381+AZ381</f>
        <v/>
      </c>
      <c r="BB381" s="12">
        <f>SUM('组合输入'!$J$2:$J$11)-BA381</f>
        <v/>
      </c>
    </row>
    <row r="382">
      <c r="A382" s="11" t="n">
        <v>381</v>
      </c>
      <c r="B382" s="14">
        <f>NORM.S.INV(RAND())</f>
        <v/>
      </c>
      <c r="C382" s="14">
        <f>NORM.S.INV(RAND())</f>
        <v/>
      </c>
      <c r="D382" s="15">
        <f>IF('组合输入'!$C2="","",'组合输入'!$H2*$B382+SQRT(1-'组合输入'!$H2^2)*C382)</f>
        <v/>
      </c>
      <c r="E382" s="7">
        <f>IF(D382="","",NORM.S.DIST(D382,TRUE))</f>
        <v/>
      </c>
      <c r="F382" s="13">
        <f>IF(E382="","",IF(E382&lt;='组合输入'!$K2,"AAA",IF(E382&lt;='组合输入'!$L2,"AA",IF(E382&lt;='组合输入'!$M2,"A",IF(E382&lt;='组合输入'!$N2,"BBB",IF(E382&lt;='组合输入'!$O2,"BB",IF(E382&lt;='组合输入'!$P2,"B",IF(E382&lt;='组合输入'!$Q2,"CCC","D")))))))</f>
        <v/>
      </c>
      <c r="G382" s="12">
        <f>IF(F382="","",INDEX('状态价值'!$D2:$K2,MATCH(F382,'状态价值'!$D$1:$K$1,0)))</f>
        <v/>
      </c>
      <c r="H382" s="15">
        <f>NORM.S.INV(RAND())</f>
        <v/>
      </c>
      <c r="I382" s="15">
        <f>IF('组合输入'!$C3="","",'组合输入'!$H3*$B382+SQRT(1-'组合输入'!$H3^2)*H382)</f>
        <v/>
      </c>
      <c r="J382" s="7">
        <f>IF(I382="","",NORM.S.DIST(I382,TRUE))</f>
        <v/>
      </c>
      <c r="K382" s="13">
        <f>IF(J382="","",IF(J382&lt;='组合输入'!$K3,"AAA",IF(J382&lt;='组合输入'!$L3,"AA",IF(J382&lt;='组合输入'!$M3,"A",IF(J382&lt;='组合输入'!$N3,"BBB",IF(J382&lt;='组合输入'!$O3,"BB",IF(J382&lt;='组合输入'!$P3,"B",IF(J382&lt;='组合输入'!$Q3,"CCC","D")))))))</f>
        <v/>
      </c>
      <c r="L382" s="12">
        <f>IF(K382="","",INDEX('状态价值'!$D3:$K3,MATCH(K382,'状态价值'!$D$1:$K$1,0)))</f>
        <v/>
      </c>
      <c r="M382" s="15">
        <f>NORM.S.INV(RAND())</f>
        <v/>
      </c>
      <c r="N382" s="15">
        <f>IF('组合输入'!$C4="","",'组合输入'!$H4*$B382+SQRT(1-'组合输入'!$H4^2)*M382)</f>
        <v/>
      </c>
      <c r="O382" s="7">
        <f>IF(N382="","",NORM.S.DIST(N382,TRUE))</f>
        <v/>
      </c>
      <c r="P382" s="13">
        <f>IF(O382="","",IF(O382&lt;='组合输入'!$K4,"AAA",IF(O382&lt;='组合输入'!$L4,"AA",IF(O382&lt;='组合输入'!$M4,"A",IF(O382&lt;='组合输入'!$N4,"BBB",IF(O382&lt;='组合输入'!$O4,"BB",IF(O382&lt;='组合输入'!$P4,"B",IF(O382&lt;='组合输入'!$Q4,"CCC","D")))))))</f>
        <v/>
      </c>
      <c r="Q382" s="12">
        <f>IF(P382="","",INDEX('状态价值'!$D4:$K4,MATCH(P382,'状态价值'!$D$1:$K$1,0)))</f>
        <v/>
      </c>
      <c r="R382" s="15">
        <f>NORM.S.INV(RAND())</f>
        <v/>
      </c>
      <c r="S382" s="15">
        <f>IF('组合输入'!$C5="","",'组合输入'!$H5*$B382+SQRT(1-'组合输入'!$H5^2)*R382)</f>
        <v/>
      </c>
      <c r="T382" s="7">
        <f>IF(S382="","",NORM.S.DIST(S382,TRUE))</f>
        <v/>
      </c>
      <c r="U382" s="13">
        <f>IF(T382="","",IF(T382&lt;='组合输入'!$K5,"AAA",IF(T382&lt;='组合输入'!$L5,"AA",IF(T382&lt;='组合输入'!$M5,"A",IF(T382&lt;='组合输入'!$N5,"BBB",IF(T382&lt;='组合输入'!$O5,"BB",IF(T382&lt;='组合输入'!$P5,"B",IF(T382&lt;='组合输入'!$Q5,"CCC","D")))))))</f>
        <v/>
      </c>
      <c r="V382" s="12">
        <f>IF(U382="","",INDEX('状态价值'!$D5:$K5,MATCH(U382,'状态价值'!$D$1:$K$1,0)))</f>
        <v/>
      </c>
      <c r="W382" s="15">
        <f>NORM.S.INV(RAND())</f>
        <v/>
      </c>
      <c r="X382" s="15">
        <f>IF('组合输入'!$C6="","",'组合输入'!$H6*$B382+SQRT(1-'组合输入'!$H6^2)*W382)</f>
        <v/>
      </c>
      <c r="Y382" s="7">
        <f>IF(X382="","",NORM.S.DIST(X382,TRUE))</f>
        <v/>
      </c>
      <c r="Z382" s="13">
        <f>IF(Y382="","",IF(Y382&lt;='组合输入'!$K6,"AAA",IF(Y382&lt;='组合输入'!$L6,"AA",IF(Y382&lt;='组合输入'!$M6,"A",IF(Y382&lt;='组合输入'!$N6,"BBB",IF(Y382&lt;='组合输入'!$O6,"BB",IF(Y382&lt;='组合输入'!$P6,"B",IF(Y382&lt;='组合输入'!$Q6,"CCC","D")))))))</f>
        <v/>
      </c>
      <c r="AA382" s="12">
        <f>IF(Z382="","",INDEX('状态价值'!$D6:$K6,MATCH(Z382,'状态价值'!$D$1:$K$1,0)))</f>
        <v/>
      </c>
      <c r="AB382" s="15">
        <f>NORM.S.INV(RAND())</f>
        <v/>
      </c>
      <c r="AC382" s="15">
        <f>IF('组合输入'!$C7="","",'组合输入'!$H7*$B382+SQRT(1-'组合输入'!$H7^2)*AB382)</f>
        <v/>
      </c>
      <c r="AD382" s="7">
        <f>IF(AC382="","",NORM.S.DIST(AC382,TRUE))</f>
        <v/>
      </c>
      <c r="AE382" s="13">
        <f>IF(AD382="","",IF(AD382&lt;='组合输入'!$K7,"AAA",IF(AD382&lt;='组合输入'!$L7,"AA",IF(AD382&lt;='组合输入'!$M7,"A",IF(AD382&lt;='组合输入'!$N7,"BBB",IF(AD382&lt;='组合输入'!$O7,"BB",IF(AD382&lt;='组合输入'!$P7,"B",IF(AD382&lt;='组合输入'!$Q7,"CCC","D")))))))</f>
        <v/>
      </c>
      <c r="AF382" s="12">
        <f>IF(AE382="","",INDEX('状态价值'!$D7:$K7,MATCH(AE382,'状态价值'!$D$1:$K$1,0)))</f>
        <v/>
      </c>
      <c r="AG382" s="15">
        <f>NORM.S.INV(RAND())</f>
        <v/>
      </c>
      <c r="AH382" s="15">
        <f>IF('组合输入'!$C8="","",'组合输入'!$H8*$B382+SQRT(1-'组合输入'!$H8^2)*AG382)</f>
        <v/>
      </c>
      <c r="AI382" s="7">
        <f>IF(AH382="","",NORM.S.DIST(AH382,TRUE))</f>
        <v/>
      </c>
      <c r="AJ382" s="13">
        <f>IF(AI382="","",IF(AI382&lt;='组合输入'!$K8,"AAA",IF(AI382&lt;='组合输入'!$L8,"AA",IF(AI382&lt;='组合输入'!$M8,"A",IF(AI382&lt;='组合输入'!$N8,"BBB",IF(AI382&lt;='组合输入'!$O8,"BB",IF(AI382&lt;='组合输入'!$P8,"B",IF(AI382&lt;='组合输入'!$Q8,"CCC","D")))))))</f>
        <v/>
      </c>
      <c r="AK382" s="12">
        <f>IF(AJ382="","",INDEX('状态价值'!$D8:$K8,MATCH(AJ382,'状态价值'!$D$1:$K$1,0)))</f>
        <v/>
      </c>
      <c r="AL382" s="15">
        <f>NORM.S.INV(RAND())</f>
        <v/>
      </c>
      <c r="AM382" s="15">
        <f>IF('组合输入'!$C9="","",'组合输入'!$H9*$B382+SQRT(1-'组合输入'!$H9^2)*AL382)</f>
        <v/>
      </c>
      <c r="AN382" s="7">
        <f>IF(AM382="","",NORM.S.DIST(AM382,TRUE))</f>
        <v/>
      </c>
      <c r="AO382" s="13">
        <f>IF(AN382="","",IF(AN382&lt;='组合输入'!$K9,"AAA",IF(AN382&lt;='组合输入'!$L9,"AA",IF(AN382&lt;='组合输入'!$M9,"A",IF(AN382&lt;='组合输入'!$N9,"BBB",IF(AN382&lt;='组合输入'!$O9,"BB",IF(AN382&lt;='组合输入'!$P9,"B",IF(AN382&lt;='组合输入'!$Q9,"CCC","D")))))))</f>
        <v/>
      </c>
      <c r="AP382" s="12">
        <f>IF(AO382="","",INDEX('状态价值'!$D9:$K9,MATCH(AO382,'状态价值'!$D$1:$K$1,0)))</f>
        <v/>
      </c>
      <c r="AQ382" s="15">
        <f>NORM.S.INV(RAND())</f>
        <v/>
      </c>
      <c r="AR382" s="15">
        <f>IF('组合输入'!$C10="","",'组合输入'!$H10*$B382+SQRT(1-'组合输入'!$H10^2)*AQ382)</f>
        <v/>
      </c>
      <c r="AS382" s="7">
        <f>IF(AR382="","",NORM.S.DIST(AR382,TRUE))</f>
        <v/>
      </c>
      <c r="AT382" s="13">
        <f>IF(AS382="","",IF(AS382&lt;='组合输入'!$K10,"AAA",IF(AS382&lt;='组合输入'!$L10,"AA",IF(AS382&lt;='组合输入'!$M10,"A",IF(AS382&lt;='组合输入'!$N10,"BBB",IF(AS382&lt;='组合输入'!$O10,"BB",IF(AS382&lt;='组合输入'!$P10,"B",IF(AS382&lt;='组合输入'!$Q10,"CCC","D")))))))</f>
        <v/>
      </c>
      <c r="AU382" s="12">
        <f>IF(AT382="","",INDEX('状态价值'!$D10:$K10,MATCH(AT382,'状态价值'!$D$1:$K$1,0)))</f>
        <v/>
      </c>
      <c r="AV382" s="15">
        <f>NORM.S.INV(RAND())</f>
        <v/>
      </c>
      <c r="AW382" s="15">
        <f>IF('组合输入'!$C11="","",'组合输入'!$H11*$B382+SQRT(1-'组合输入'!$H11^2)*AV382)</f>
        <v/>
      </c>
      <c r="AX382" s="7">
        <f>IF(AW382="","",NORM.S.DIST(AW382,TRUE))</f>
        <v/>
      </c>
      <c r="AY382" s="13">
        <f>IF(AX382="","",IF(AX382&lt;='组合输入'!$K11,"AAA",IF(AX382&lt;='组合输入'!$L11,"AA",IF(AX382&lt;='组合输入'!$M11,"A",IF(AX382&lt;='组合输入'!$N11,"BBB",IF(AX382&lt;='组合输入'!$O11,"BB",IF(AX382&lt;='组合输入'!$P11,"B",IF(AX382&lt;='组合输入'!$Q11,"CCC","D")))))))</f>
        <v/>
      </c>
      <c r="AZ382" s="12">
        <f>IF(AY382="","",INDEX('状态价值'!$D11:$K11,MATCH(AY382,'状态价值'!$D$1:$K$1,0)))</f>
        <v/>
      </c>
      <c r="BA382" s="12">
        <f>G382+L382+Q382+V382+AA382+AF382+AK382+AP382+AU382+AZ382</f>
        <v/>
      </c>
      <c r="BB382" s="12">
        <f>SUM('组合输入'!$J$2:$J$11)-BA382</f>
        <v/>
      </c>
    </row>
    <row r="383">
      <c r="A383" s="11" t="n">
        <v>382</v>
      </c>
      <c r="B383" s="14">
        <f>NORM.S.INV(RAND())</f>
        <v/>
      </c>
      <c r="C383" s="14">
        <f>NORM.S.INV(RAND())</f>
        <v/>
      </c>
      <c r="D383" s="15">
        <f>IF('组合输入'!$C2="","",'组合输入'!$H2*$B383+SQRT(1-'组合输入'!$H2^2)*C383)</f>
        <v/>
      </c>
      <c r="E383" s="7">
        <f>IF(D383="","",NORM.S.DIST(D383,TRUE))</f>
        <v/>
      </c>
      <c r="F383" s="13">
        <f>IF(E383="","",IF(E383&lt;='组合输入'!$K2,"AAA",IF(E383&lt;='组合输入'!$L2,"AA",IF(E383&lt;='组合输入'!$M2,"A",IF(E383&lt;='组合输入'!$N2,"BBB",IF(E383&lt;='组合输入'!$O2,"BB",IF(E383&lt;='组合输入'!$P2,"B",IF(E383&lt;='组合输入'!$Q2,"CCC","D")))))))</f>
        <v/>
      </c>
      <c r="G383" s="12">
        <f>IF(F383="","",INDEX('状态价值'!$D2:$K2,MATCH(F383,'状态价值'!$D$1:$K$1,0)))</f>
        <v/>
      </c>
      <c r="H383" s="15">
        <f>NORM.S.INV(RAND())</f>
        <v/>
      </c>
      <c r="I383" s="15">
        <f>IF('组合输入'!$C3="","",'组合输入'!$H3*$B383+SQRT(1-'组合输入'!$H3^2)*H383)</f>
        <v/>
      </c>
      <c r="J383" s="7">
        <f>IF(I383="","",NORM.S.DIST(I383,TRUE))</f>
        <v/>
      </c>
      <c r="K383" s="13">
        <f>IF(J383="","",IF(J383&lt;='组合输入'!$K3,"AAA",IF(J383&lt;='组合输入'!$L3,"AA",IF(J383&lt;='组合输入'!$M3,"A",IF(J383&lt;='组合输入'!$N3,"BBB",IF(J383&lt;='组合输入'!$O3,"BB",IF(J383&lt;='组合输入'!$P3,"B",IF(J383&lt;='组合输入'!$Q3,"CCC","D")))))))</f>
        <v/>
      </c>
      <c r="L383" s="12">
        <f>IF(K383="","",INDEX('状态价值'!$D3:$K3,MATCH(K383,'状态价值'!$D$1:$K$1,0)))</f>
        <v/>
      </c>
      <c r="M383" s="15">
        <f>NORM.S.INV(RAND())</f>
        <v/>
      </c>
      <c r="N383" s="15">
        <f>IF('组合输入'!$C4="","",'组合输入'!$H4*$B383+SQRT(1-'组合输入'!$H4^2)*M383)</f>
        <v/>
      </c>
      <c r="O383" s="7">
        <f>IF(N383="","",NORM.S.DIST(N383,TRUE))</f>
        <v/>
      </c>
      <c r="P383" s="13">
        <f>IF(O383="","",IF(O383&lt;='组合输入'!$K4,"AAA",IF(O383&lt;='组合输入'!$L4,"AA",IF(O383&lt;='组合输入'!$M4,"A",IF(O383&lt;='组合输入'!$N4,"BBB",IF(O383&lt;='组合输入'!$O4,"BB",IF(O383&lt;='组合输入'!$P4,"B",IF(O383&lt;='组合输入'!$Q4,"CCC","D")))))))</f>
        <v/>
      </c>
      <c r="Q383" s="12">
        <f>IF(P383="","",INDEX('状态价值'!$D4:$K4,MATCH(P383,'状态价值'!$D$1:$K$1,0)))</f>
        <v/>
      </c>
      <c r="R383" s="15">
        <f>NORM.S.INV(RAND())</f>
        <v/>
      </c>
      <c r="S383" s="15">
        <f>IF('组合输入'!$C5="","",'组合输入'!$H5*$B383+SQRT(1-'组合输入'!$H5^2)*R383)</f>
        <v/>
      </c>
      <c r="T383" s="7">
        <f>IF(S383="","",NORM.S.DIST(S383,TRUE))</f>
        <v/>
      </c>
      <c r="U383" s="13">
        <f>IF(T383="","",IF(T383&lt;='组合输入'!$K5,"AAA",IF(T383&lt;='组合输入'!$L5,"AA",IF(T383&lt;='组合输入'!$M5,"A",IF(T383&lt;='组合输入'!$N5,"BBB",IF(T383&lt;='组合输入'!$O5,"BB",IF(T383&lt;='组合输入'!$P5,"B",IF(T383&lt;='组合输入'!$Q5,"CCC","D")))))))</f>
        <v/>
      </c>
      <c r="V383" s="12">
        <f>IF(U383="","",INDEX('状态价值'!$D5:$K5,MATCH(U383,'状态价值'!$D$1:$K$1,0)))</f>
        <v/>
      </c>
      <c r="W383" s="15">
        <f>NORM.S.INV(RAND())</f>
        <v/>
      </c>
      <c r="X383" s="15">
        <f>IF('组合输入'!$C6="","",'组合输入'!$H6*$B383+SQRT(1-'组合输入'!$H6^2)*W383)</f>
        <v/>
      </c>
      <c r="Y383" s="7">
        <f>IF(X383="","",NORM.S.DIST(X383,TRUE))</f>
        <v/>
      </c>
      <c r="Z383" s="13">
        <f>IF(Y383="","",IF(Y383&lt;='组合输入'!$K6,"AAA",IF(Y383&lt;='组合输入'!$L6,"AA",IF(Y383&lt;='组合输入'!$M6,"A",IF(Y383&lt;='组合输入'!$N6,"BBB",IF(Y383&lt;='组合输入'!$O6,"BB",IF(Y383&lt;='组合输入'!$P6,"B",IF(Y383&lt;='组合输入'!$Q6,"CCC","D")))))))</f>
        <v/>
      </c>
      <c r="AA383" s="12">
        <f>IF(Z383="","",INDEX('状态价值'!$D6:$K6,MATCH(Z383,'状态价值'!$D$1:$K$1,0)))</f>
        <v/>
      </c>
      <c r="AB383" s="15">
        <f>NORM.S.INV(RAND())</f>
        <v/>
      </c>
      <c r="AC383" s="15">
        <f>IF('组合输入'!$C7="","",'组合输入'!$H7*$B383+SQRT(1-'组合输入'!$H7^2)*AB383)</f>
        <v/>
      </c>
      <c r="AD383" s="7">
        <f>IF(AC383="","",NORM.S.DIST(AC383,TRUE))</f>
        <v/>
      </c>
      <c r="AE383" s="13">
        <f>IF(AD383="","",IF(AD383&lt;='组合输入'!$K7,"AAA",IF(AD383&lt;='组合输入'!$L7,"AA",IF(AD383&lt;='组合输入'!$M7,"A",IF(AD383&lt;='组合输入'!$N7,"BBB",IF(AD383&lt;='组合输入'!$O7,"BB",IF(AD383&lt;='组合输入'!$P7,"B",IF(AD383&lt;='组合输入'!$Q7,"CCC","D")))))))</f>
        <v/>
      </c>
      <c r="AF383" s="12">
        <f>IF(AE383="","",INDEX('状态价值'!$D7:$K7,MATCH(AE383,'状态价值'!$D$1:$K$1,0)))</f>
        <v/>
      </c>
      <c r="AG383" s="15">
        <f>NORM.S.INV(RAND())</f>
        <v/>
      </c>
      <c r="AH383" s="15">
        <f>IF('组合输入'!$C8="","",'组合输入'!$H8*$B383+SQRT(1-'组合输入'!$H8^2)*AG383)</f>
        <v/>
      </c>
      <c r="AI383" s="7">
        <f>IF(AH383="","",NORM.S.DIST(AH383,TRUE))</f>
        <v/>
      </c>
      <c r="AJ383" s="13">
        <f>IF(AI383="","",IF(AI383&lt;='组合输入'!$K8,"AAA",IF(AI383&lt;='组合输入'!$L8,"AA",IF(AI383&lt;='组合输入'!$M8,"A",IF(AI383&lt;='组合输入'!$N8,"BBB",IF(AI383&lt;='组合输入'!$O8,"BB",IF(AI383&lt;='组合输入'!$P8,"B",IF(AI383&lt;='组合输入'!$Q8,"CCC","D")))))))</f>
        <v/>
      </c>
      <c r="AK383" s="12">
        <f>IF(AJ383="","",INDEX('状态价值'!$D8:$K8,MATCH(AJ383,'状态价值'!$D$1:$K$1,0)))</f>
        <v/>
      </c>
      <c r="AL383" s="15">
        <f>NORM.S.INV(RAND())</f>
        <v/>
      </c>
      <c r="AM383" s="15">
        <f>IF('组合输入'!$C9="","",'组合输入'!$H9*$B383+SQRT(1-'组合输入'!$H9^2)*AL383)</f>
        <v/>
      </c>
      <c r="AN383" s="7">
        <f>IF(AM383="","",NORM.S.DIST(AM383,TRUE))</f>
        <v/>
      </c>
      <c r="AO383" s="13">
        <f>IF(AN383="","",IF(AN383&lt;='组合输入'!$K9,"AAA",IF(AN383&lt;='组合输入'!$L9,"AA",IF(AN383&lt;='组合输入'!$M9,"A",IF(AN383&lt;='组合输入'!$N9,"BBB",IF(AN383&lt;='组合输入'!$O9,"BB",IF(AN383&lt;='组合输入'!$P9,"B",IF(AN383&lt;='组合输入'!$Q9,"CCC","D")))))))</f>
        <v/>
      </c>
      <c r="AP383" s="12">
        <f>IF(AO383="","",INDEX('状态价值'!$D9:$K9,MATCH(AO383,'状态价值'!$D$1:$K$1,0)))</f>
        <v/>
      </c>
      <c r="AQ383" s="15">
        <f>NORM.S.INV(RAND())</f>
        <v/>
      </c>
      <c r="AR383" s="15">
        <f>IF('组合输入'!$C10="","",'组合输入'!$H10*$B383+SQRT(1-'组合输入'!$H10^2)*AQ383)</f>
        <v/>
      </c>
      <c r="AS383" s="7">
        <f>IF(AR383="","",NORM.S.DIST(AR383,TRUE))</f>
        <v/>
      </c>
      <c r="AT383" s="13">
        <f>IF(AS383="","",IF(AS383&lt;='组合输入'!$K10,"AAA",IF(AS383&lt;='组合输入'!$L10,"AA",IF(AS383&lt;='组合输入'!$M10,"A",IF(AS383&lt;='组合输入'!$N10,"BBB",IF(AS383&lt;='组合输入'!$O10,"BB",IF(AS383&lt;='组合输入'!$P10,"B",IF(AS383&lt;='组合输入'!$Q10,"CCC","D")))))))</f>
        <v/>
      </c>
      <c r="AU383" s="12">
        <f>IF(AT383="","",INDEX('状态价值'!$D10:$K10,MATCH(AT383,'状态价值'!$D$1:$K$1,0)))</f>
        <v/>
      </c>
      <c r="AV383" s="15">
        <f>NORM.S.INV(RAND())</f>
        <v/>
      </c>
      <c r="AW383" s="15">
        <f>IF('组合输入'!$C11="","",'组合输入'!$H11*$B383+SQRT(1-'组合输入'!$H11^2)*AV383)</f>
        <v/>
      </c>
      <c r="AX383" s="7">
        <f>IF(AW383="","",NORM.S.DIST(AW383,TRUE))</f>
        <v/>
      </c>
      <c r="AY383" s="13">
        <f>IF(AX383="","",IF(AX383&lt;='组合输入'!$K11,"AAA",IF(AX383&lt;='组合输入'!$L11,"AA",IF(AX383&lt;='组合输入'!$M11,"A",IF(AX383&lt;='组合输入'!$N11,"BBB",IF(AX383&lt;='组合输入'!$O11,"BB",IF(AX383&lt;='组合输入'!$P11,"B",IF(AX383&lt;='组合输入'!$Q11,"CCC","D")))))))</f>
        <v/>
      </c>
      <c r="AZ383" s="12">
        <f>IF(AY383="","",INDEX('状态价值'!$D11:$K11,MATCH(AY383,'状态价值'!$D$1:$K$1,0)))</f>
        <v/>
      </c>
      <c r="BA383" s="12">
        <f>G383+L383+Q383+V383+AA383+AF383+AK383+AP383+AU383+AZ383</f>
        <v/>
      </c>
      <c r="BB383" s="12">
        <f>SUM('组合输入'!$J$2:$J$11)-BA383</f>
        <v/>
      </c>
    </row>
    <row r="384">
      <c r="A384" s="11" t="n">
        <v>383</v>
      </c>
      <c r="B384" s="14">
        <f>NORM.S.INV(RAND())</f>
        <v/>
      </c>
      <c r="C384" s="14">
        <f>NORM.S.INV(RAND())</f>
        <v/>
      </c>
      <c r="D384" s="15">
        <f>IF('组合输入'!$C2="","",'组合输入'!$H2*$B384+SQRT(1-'组合输入'!$H2^2)*C384)</f>
        <v/>
      </c>
      <c r="E384" s="7">
        <f>IF(D384="","",NORM.S.DIST(D384,TRUE))</f>
        <v/>
      </c>
      <c r="F384" s="13">
        <f>IF(E384="","",IF(E384&lt;='组合输入'!$K2,"AAA",IF(E384&lt;='组合输入'!$L2,"AA",IF(E384&lt;='组合输入'!$M2,"A",IF(E384&lt;='组合输入'!$N2,"BBB",IF(E384&lt;='组合输入'!$O2,"BB",IF(E384&lt;='组合输入'!$P2,"B",IF(E384&lt;='组合输入'!$Q2,"CCC","D")))))))</f>
        <v/>
      </c>
      <c r="G384" s="12">
        <f>IF(F384="","",INDEX('状态价值'!$D2:$K2,MATCH(F384,'状态价值'!$D$1:$K$1,0)))</f>
        <v/>
      </c>
      <c r="H384" s="15">
        <f>NORM.S.INV(RAND())</f>
        <v/>
      </c>
      <c r="I384" s="15">
        <f>IF('组合输入'!$C3="","",'组合输入'!$H3*$B384+SQRT(1-'组合输入'!$H3^2)*H384)</f>
        <v/>
      </c>
      <c r="J384" s="7">
        <f>IF(I384="","",NORM.S.DIST(I384,TRUE))</f>
        <v/>
      </c>
      <c r="K384" s="13">
        <f>IF(J384="","",IF(J384&lt;='组合输入'!$K3,"AAA",IF(J384&lt;='组合输入'!$L3,"AA",IF(J384&lt;='组合输入'!$M3,"A",IF(J384&lt;='组合输入'!$N3,"BBB",IF(J384&lt;='组合输入'!$O3,"BB",IF(J384&lt;='组合输入'!$P3,"B",IF(J384&lt;='组合输入'!$Q3,"CCC","D")))))))</f>
        <v/>
      </c>
      <c r="L384" s="12">
        <f>IF(K384="","",INDEX('状态价值'!$D3:$K3,MATCH(K384,'状态价值'!$D$1:$K$1,0)))</f>
        <v/>
      </c>
      <c r="M384" s="15">
        <f>NORM.S.INV(RAND())</f>
        <v/>
      </c>
      <c r="N384" s="15">
        <f>IF('组合输入'!$C4="","",'组合输入'!$H4*$B384+SQRT(1-'组合输入'!$H4^2)*M384)</f>
        <v/>
      </c>
      <c r="O384" s="7">
        <f>IF(N384="","",NORM.S.DIST(N384,TRUE))</f>
        <v/>
      </c>
      <c r="P384" s="13">
        <f>IF(O384="","",IF(O384&lt;='组合输入'!$K4,"AAA",IF(O384&lt;='组合输入'!$L4,"AA",IF(O384&lt;='组合输入'!$M4,"A",IF(O384&lt;='组合输入'!$N4,"BBB",IF(O384&lt;='组合输入'!$O4,"BB",IF(O384&lt;='组合输入'!$P4,"B",IF(O384&lt;='组合输入'!$Q4,"CCC","D")))))))</f>
        <v/>
      </c>
      <c r="Q384" s="12">
        <f>IF(P384="","",INDEX('状态价值'!$D4:$K4,MATCH(P384,'状态价值'!$D$1:$K$1,0)))</f>
        <v/>
      </c>
      <c r="R384" s="15">
        <f>NORM.S.INV(RAND())</f>
        <v/>
      </c>
      <c r="S384" s="15">
        <f>IF('组合输入'!$C5="","",'组合输入'!$H5*$B384+SQRT(1-'组合输入'!$H5^2)*R384)</f>
        <v/>
      </c>
      <c r="T384" s="7">
        <f>IF(S384="","",NORM.S.DIST(S384,TRUE))</f>
        <v/>
      </c>
      <c r="U384" s="13">
        <f>IF(T384="","",IF(T384&lt;='组合输入'!$K5,"AAA",IF(T384&lt;='组合输入'!$L5,"AA",IF(T384&lt;='组合输入'!$M5,"A",IF(T384&lt;='组合输入'!$N5,"BBB",IF(T384&lt;='组合输入'!$O5,"BB",IF(T384&lt;='组合输入'!$P5,"B",IF(T384&lt;='组合输入'!$Q5,"CCC","D")))))))</f>
        <v/>
      </c>
      <c r="V384" s="12">
        <f>IF(U384="","",INDEX('状态价值'!$D5:$K5,MATCH(U384,'状态价值'!$D$1:$K$1,0)))</f>
        <v/>
      </c>
      <c r="W384" s="15">
        <f>NORM.S.INV(RAND())</f>
        <v/>
      </c>
      <c r="X384" s="15">
        <f>IF('组合输入'!$C6="","",'组合输入'!$H6*$B384+SQRT(1-'组合输入'!$H6^2)*W384)</f>
        <v/>
      </c>
      <c r="Y384" s="7">
        <f>IF(X384="","",NORM.S.DIST(X384,TRUE))</f>
        <v/>
      </c>
      <c r="Z384" s="13">
        <f>IF(Y384="","",IF(Y384&lt;='组合输入'!$K6,"AAA",IF(Y384&lt;='组合输入'!$L6,"AA",IF(Y384&lt;='组合输入'!$M6,"A",IF(Y384&lt;='组合输入'!$N6,"BBB",IF(Y384&lt;='组合输入'!$O6,"BB",IF(Y384&lt;='组合输入'!$P6,"B",IF(Y384&lt;='组合输入'!$Q6,"CCC","D")))))))</f>
        <v/>
      </c>
      <c r="AA384" s="12">
        <f>IF(Z384="","",INDEX('状态价值'!$D6:$K6,MATCH(Z384,'状态价值'!$D$1:$K$1,0)))</f>
        <v/>
      </c>
      <c r="AB384" s="15">
        <f>NORM.S.INV(RAND())</f>
        <v/>
      </c>
      <c r="AC384" s="15">
        <f>IF('组合输入'!$C7="","",'组合输入'!$H7*$B384+SQRT(1-'组合输入'!$H7^2)*AB384)</f>
        <v/>
      </c>
      <c r="AD384" s="7">
        <f>IF(AC384="","",NORM.S.DIST(AC384,TRUE))</f>
        <v/>
      </c>
      <c r="AE384" s="13">
        <f>IF(AD384="","",IF(AD384&lt;='组合输入'!$K7,"AAA",IF(AD384&lt;='组合输入'!$L7,"AA",IF(AD384&lt;='组合输入'!$M7,"A",IF(AD384&lt;='组合输入'!$N7,"BBB",IF(AD384&lt;='组合输入'!$O7,"BB",IF(AD384&lt;='组合输入'!$P7,"B",IF(AD384&lt;='组合输入'!$Q7,"CCC","D")))))))</f>
        <v/>
      </c>
      <c r="AF384" s="12">
        <f>IF(AE384="","",INDEX('状态价值'!$D7:$K7,MATCH(AE384,'状态价值'!$D$1:$K$1,0)))</f>
        <v/>
      </c>
      <c r="AG384" s="15">
        <f>NORM.S.INV(RAND())</f>
        <v/>
      </c>
      <c r="AH384" s="15">
        <f>IF('组合输入'!$C8="","",'组合输入'!$H8*$B384+SQRT(1-'组合输入'!$H8^2)*AG384)</f>
        <v/>
      </c>
      <c r="AI384" s="7">
        <f>IF(AH384="","",NORM.S.DIST(AH384,TRUE))</f>
        <v/>
      </c>
      <c r="AJ384" s="13">
        <f>IF(AI384="","",IF(AI384&lt;='组合输入'!$K8,"AAA",IF(AI384&lt;='组合输入'!$L8,"AA",IF(AI384&lt;='组合输入'!$M8,"A",IF(AI384&lt;='组合输入'!$N8,"BBB",IF(AI384&lt;='组合输入'!$O8,"BB",IF(AI384&lt;='组合输入'!$P8,"B",IF(AI384&lt;='组合输入'!$Q8,"CCC","D")))))))</f>
        <v/>
      </c>
      <c r="AK384" s="12">
        <f>IF(AJ384="","",INDEX('状态价值'!$D8:$K8,MATCH(AJ384,'状态价值'!$D$1:$K$1,0)))</f>
        <v/>
      </c>
      <c r="AL384" s="15">
        <f>NORM.S.INV(RAND())</f>
        <v/>
      </c>
      <c r="AM384" s="15">
        <f>IF('组合输入'!$C9="","",'组合输入'!$H9*$B384+SQRT(1-'组合输入'!$H9^2)*AL384)</f>
        <v/>
      </c>
      <c r="AN384" s="7">
        <f>IF(AM384="","",NORM.S.DIST(AM384,TRUE))</f>
        <v/>
      </c>
      <c r="AO384" s="13">
        <f>IF(AN384="","",IF(AN384&lt;='组合输入'!$K9,"AAA",IF(AN384&lt;='组合输入'!$L9,"AA",IF(AN384&lt;='组合输入'!$M9,"A",IF(AN384&lt;='组合输入'!$N9,"BBB",IF(AN384&lt;='组合输入'!$O9,"BB",IF(AN384&lt;='组合输入'!$P9,"B",IF(AN384&lt;='组合输入'!$Q9,"CCC","D")))))))</f>
        <v/>
      </c>
      <c r="AP384" s="12">
        <f>IF(AO384="","",INDEX('状态价值'!$D9:$K9,MATCH(AO384,'状态价值'!$D$1:$K$1,0)))</f>
        <v/>
      </c>
      <c r="AQ384" s="15">
        <f>NORM.S.INV(RAND())</f>
        <v/>
      </c>
      <c r="AR384" s="15">
        <f>IF('组合输入'!$C10="","",'组合输入'!$H10*$B384+SQRT(1-'组合输入'!$H10^2)*AQ384)</f>
        <v/>
      </c>
      <c r="AS384" s="7">
        <f>IF(AR384="","",NORM.S.DIST(AR384,TRUE))</f>
        <v/>
      </c>
      <c r="AT384" s="13">
        <f>IF(AS384="","",IF(AS384&lt;='组合输入'!$K10,"AAA",IF(AS384&lt;='组合输入'!$L10,"AA",IF(AS384&lt;='组合输入'!$M10,"A",IF(AS384&lt;='组合输入'!$N10,"BBB",IF(AS384&lt;='组合输入'!$O10,"BB",IF(AS384&lt;='组合输入'!$P10,"B",IF(AS384&lt;='组合输入'!$Q10,"CCC","D")))))))</f>
        <v/>
      </c>
      <c r="AU384" s="12">
        <f>IF(AT384="","",INDEX('状态价值'!$D10:$K10,MATCH(AT384,'状态价值'!$D$1:$K$1,0)))</f>
        <v/>
      </c>
      <c r="AV384" s="15">
        <f>NORM.S.INV(RAND())</f>
        <v/>
      </c>
      <c r="AW384" s="15">
        <f>IF('组合输入'!$C11="","",'组合输入'!$H11*$B384+SQRT(1-'组合输入'!$H11^2)*AV384)</f>
        <v/>
      </c>
      <c r="AX384" s="7">
        <f>IF(AW384="","",NORM.S.DIST(AW384,TRUE))</f>
        <v/>
      </c>
      <c r="AY384" s="13">
        <f>IF(AX384="","",IF(AX384&lt;='组合输入'!$K11,"AAA",IF(AX384&lt;='组合输入'!$L11,"AA",IF(AX384&lt;='组合输入'!$M11,"A",IF(AX384&lt;='组合输入'!$N11,"BBB",IF(AX384&lt;='组合输入'!$O11,"BB",IF(AX384&lt;='组合输入'!$P11,"B",IF(AX384&lt;='组合输入'!$Q11,"CCC","D")))))))</f>
        <v/>
      </c>
      <c r="AZ384" s="12">
        <f>IF(AY384="","",INDEX('状态价值'!$D11:$K11,MATCH(AY384,'状态价值'!$D$1:$K$1,0)))</f>
        <v/>
      </c>
      <c r="BA384" s="12">
        <f>G384+L384+Q384+V384+AA384+AF384+AK384+AP384+AU384+AZ384</f>
        <v/>
      </c>
      <c r="BB384" s="12">
        <f>SUM('组合输入'!$J$2:$J$11)-BA384</f>
        <v/>
      </c>
    </row>
    <row r="385">
      <c r="A385" s="11" t="n">
        <v>384</v>
      </c>
      <c r="B385" s="14">
        <f>NORM.S.INV(RAND())</f>
        <v/>
      </c>
      <c r="C385" s="14">
        <f>NORM.S.INV(RAND())</f>
        <v/>
      </c>
      <c r="D385" s="15">
        <f>IF('组合输入'!$C2="","",'组合输入'!$H2*$B385+SQRT(1-'组合输入'!$H2^2)*C385)</f>
        <v/>
      </c>
      <c r="E385" s="7">
        <f>IF(D385="","",NORM.S.DIST(D385,TRUE))</f>
        <v/>
      </c>
      <c r="F385" s="13">
        <f>IF(E385="","",IF(E385&lt;='组合输入'!$K2,"AAA",IF(E385&lt;='组合输入'!$L2,"AA",IF(E385&lt;='组合输入'!$M2,"A",IF(E385&lt;='组合输入'!$N2,"BBB",IF(E385&lt;='组合输入'!$O2,"BB",IF(E385&lt;='组合输入'!$P2,"B",IF(E385&lt;='组合输入'!$Q2,"CCC","D")))))))</f>
        <v/>
      </c>
      <c r="G385" s="12">
        <f>IF(F385="","",INDEX('状态价值'!$D2:$K2,MATCH(F385,'状态价值'!$D$1:$K$1,0)))</f>
        <v/>
      </c>
      <c r="H385" s="15">
        <f>NORM.S.INV(RAND())</f>
        <v/>
      </c>
      <c r="I385" s="15">
        <f>IF('组合输入'!$C3="","",'组合输入'!$H3*$B385+SQRT(1-'组合输入'!$H3^2)*H385)</f>
        <v/>
      </c>
      <c r="J385" s="7">
        <f>IF(I385="","",NORM.S.DIST(I385,TRUE))</f>
        <v/>
      </c>
      <c r="K385" s="13">
        <f>IF(J385="","",IF(J385&lt;='组合输入'!$K3,"AAA",IF(J385&lt;='组合输入'!$L3,"AA",IF(J385&lt;='组合输入'!$M3,"A",IF(J385&lt;='组合输入'!$N3,"BBB",IF(J385&lt;='组合输入'!$O3,"BB",IF(J385&lt;='组合输入'!$P3,"B",IF(J385&lt;='组合输入'!$Q3,"CCC","D")))))))</f>
        <v/>
      </c>
      <c r="L385" s="12">
        <f>IF(K385="","",INDEX('状态价值'!$D3:$K3,MATCH(K385,'状态价值'!$D$1:$K$1,0)))</f>
        <v/>
      </c>
      <c r="M385" s="15">
        <f>NORM.S.INV(RAND())</f>
        <v/>
      </c>
      <c r="N385" s="15">
        <f>IF('组合输入'!$C4="","",'组合输入'!$H4*$B385+SQRT(1-'组合输入'!$H4^2)*M385)</f>
        <v/>
      </c>
      <c r="O385" s="7">
        <f>IF(N385="","",NORM.S.DIST(N385,TRUE))</f>
        <v/>
      </c>
      <c r="P385" s="13">
        <f>IF(O385="","",IF(O385&lt;='组合输入'!$K4,"AAA",IF(O385&lt;='组合输入'!$L4,"AA",IF(O385&lt;='组合输入'!$M4,"A",IF(O385&lt;='组合输入'!$N4,"BBB",IF(O385&lt;='组合输入'!$O4,"BB",IF(O385&lt;='组合输入'!$P4,"B",IF(O385&lt;='组合输入'!$Q4,"CCC","D")))))))</f>
        <v/>
      </c>
      <c r="Q385" s="12">
        <f>IF(P385="","",INDEX('状态价值'!$D4:$K4,MATCH(P385,'状态价值'!$D$1:$K$1,0)))</f>
        <v/>
      </c>
      <c r="R385" s="15">
        <f>NORM.S.INV(RAND())</f>
        <v/>
      </c>
      <c r="S385" s="15">
        <f>IF('组合输入'!$C5="","",'组合输入'!$H5*$B385+SQRT(1-'组合输入'!$H5^2)*R385)</f>
        <v/>
      </c>
      <c r="T385" s="7">
        <f>IF(S385="","",NORM.S.DIST(S385,TRUE))</f>
        <v/>
      </c>
      <c r="U385" s="13">
        <f>IF(T385="","",IF(T385&lt;='组合输入'!$K5,"AAA",IF(T385&lt;='组合输入'!$L5,"AA",IF(T385&lt;='组合输入'!$M5,"A",IF(T385&lt;='组合输入'!$N5,"BBB",IF(T385&lt;='组合输入'!$O5,"BB",IF(T385&lt;='组合输入'!$P5,"B",IF(T385&lt;='组合输入'!$Q5,"CCC","D")))))))</f>
        <v/>
      </c>
      <c r="V385" s="12">
        <f>IF(U385="","",INDEX('状态价值'!$D5:$K5,MATCH(U385,'状态价值'!$D$1:$K$1,0)))</f>
        <v/>
      </c>
      <c r="W385" s="15">
        <f>NORM.S.INV(RAND())</f>
        <v/>
      </c>
      <c r="X385" s="15">
        <f>IF('组合输入'!$C6="","",'组合输入'!$H6*$B385+SQRT(1-'组合输入'!$H6^2)*W385)</f>
        <v/>
      </c>
      <c r="Y385" s="7">
        <f>IF(X385="","",NORM.S.DIST(X385,TRUE))</f>
        <v/>
      </c>
      <c r="Z385" s="13">
        <f>IF(Y385="","",IF(Y385&lt;='组合输入'!$K6,"AAA",IF(Y385&lt;='组合输入'!$L6,"AA",IF(Y385&lt;='组合输入'!$M6,"A",IF(Y385&lt;='组合输入'!$N6,"BBB",IF(Y385&lt;='组合输入'!$O6,"BB",IF(Y385&lt;='组合输入'!$P6,"B",IF(Y385&lt;='组合输入'!$Q6,"CCC","D")))))))</f>
        <v/>
      </c>
      <c r="AA385" s="12">
        <f>IF(Z385="","",INDEX('状态价值'!$D6:$K6,MATCH(Z385,'状态价值'!$D$1:$K$1,0)))</f>
        <v/>
      </c>
      <c r="AB385" s="15">
        <f>NORM.S.INV(RAND())</f>
        <v/>
      </c>
      <c r="AC385" s="15">
        <f>IF('组合输入'!$C7="","",'组合输入'!$H7*$B385+SQRT(1-'组合输入'!$H7^2)*AB385)</f>
        <v/>
      </c>
      <c r="AD385" s="7">
        <f>IF(AC385="","",NORM.S.DIST(AC385,TRUE))</f>
        <v/>
      </c>
      <c r="AE385" s="13">
        <f>IF(AD385="","",IF(AD385&lt;='组合输入'!$K7,"AAA",IF(AD385&lt;='组合输入'!$L7,"AA",IF(AD385&lt;='组合输入'!$M7,"A",IF(AD385&lt;='组合输入'!$N7,"BBB",IF(AD385&lt;='组合输入'!$O7,"BB",IF(AD385&lt;='组合输入'!$P7,"B",IF(AD385&lt;='组合输入'!$Q7,"CCC","D")))))))</f>
        <v/>
      </c>
      <c r="AF385" s="12">
        <f>IF(AE385="","",INDEX('状态价值'!$D7:$K7,MATCH(AE385,'状态价值'!$D$1:$K$1,0)))</f>
        <v/>
      </c>
      <c r="AG385" s="15">
        <f>NORM.S.INV(RAND())</f>
        <v/>
      </c>
      <c r="AH385" s="15">
        <f>IF('组合输入'!$C8="","",'组合输入'!$H8*$B385+SQRT(1-'组合输入'!$H8^2)*AG385)</f>
        <v/>
      </c>
      <c r="AI385" s="7">
        <f>IF(AH385="","",NORM.S.DIST(AH385,TRUE))</f>
        <v/>
      </c>
      <c r="AJ385" s="13">
        <f>IF(AI385="","",IF(AI385&lt;='组合输入'!$K8,"AAA",IF(AI385&lt;='组合输入'!$L8,"AA",IF(AI385&lt;='组合输入'!$M8,"A",IF(AI385&lt;='组合输入'!$N8,"BBB",IF(AI385&lt;='组合输入'!$O8,"BB",IF(AI385&lt;='组合输入'!$P8,"B",IF(AI385&lt;='组合输入'!$Q8,"CCC","D")))))))</f>
        <v/>
      </c>
      <c r="AK385" s="12">
        <f>IF(AJ385="","",INDEX('状态价值'!$D8:$K8,MATCH(AJ385,'状态价值'!$D$1:$K$1,0)))</f>
        <v/>
      </c>
      <c r="AL385" s="15">
        <f>NORM.S.INV(RAND())</f>
        <v/>
      </c>
      <c r="AM385" s="15">
        <f>IF('组合输入'!$C9="","",'组合输入'!$H9*$B385+SQRT(1-'组合输入'!$H9^2)*AL385)</f>
        <v/>
      </c>
      <c r="AN385" s="7">
        <f>IF(AM385="","",NORM.S.DIST(AM385,TRUE))</f>
        <v/>
      </c>
      <c r="AO385" s="13">
        <f>IF(AN385="","",IF(AN385&lt;='组合输入'!$K9,"AAA",IF(AN385&lt;='组合输入'!$L9,"AA",IF(AN385&lt;='组合输入'!$M9,"A",IF(AN385&lt;='组合输入'!$N9,"BBB",IF(AN385&lt;='组合输入'!$O9,"BB",IF(AN385&lt;='组合输入'!$P9,"B",IF(AN385&lt;='组合输入'!$Q9,"CCC","D")))))))</f>
        <v/>
      </c>
      <c r="AP385" s="12">
        <f>IF(AO385="","",INDEX('状态价值'!$D9:$K9,MATCH(AO385,'状态价值'!$D$1:$K$1,0)))</f>
        <v/>
      </c>
      <c r="AQ385" s="15">
        <f>NORM.S.INV(RAND())</f>
        <v/>
      </c>
      <c r="AR385" s="15">
        <f>IF('组合输入'!$C10="","",'组合输入'!$H10*$B385+SQRT(1-'组合输入'!$H10^2)*AQ385)</f>
        <v/>
      </c>
      <c r="AS385" s="7">
        <f>IF(AR385="","",NORM.S.DIST(AR385,TRUE))</f>
        <v/>
      </c>
      <c r="AT385" s="13">
        <f>IF(AS385="","",IF(AS385&lt;='组合输入'!$K10,"AAA",IF(AS385&lt;='组合输入'!$L10,"AA",IF(AS385&lt;='组合输入'!$M10,"A",IF(AS385&lt;='组合输入'!$N10,"BBB",IF(AS385&lt;='组合输入'!$O10,"BB",IF(AS385&lt;='组合输入'!$P10,"B",IF(AS385&lt;='组合输入'!$Q10,"CCC","D")))))))</f>
        <v/>
      </c>
      <c r="AU385" s="12">
        <f>IF(AT385="","",INDEX('状态价值'!$D10:$K10,MATCH(AT385,'状态价值'!$D$1:$K$1,0)))</f>
        <v/>
      </c>
      <c r="AV385" s="15">
        <f>NORM.S.INV(RAND())</f>
        <v/>
      </c>
      <c r="AW385" s="15">
        <f>IF('组合输入'!$C11="","",'组合输入'!$H11*$B385+SQRT(1-'组合输入'!$H11^2)*AV385)</f>
        <v/>
      </c>
      <c r="AX385" s="7">
        <f>IF(AW385="","",NORM.S.DIST(AW385,TRUE))</f>
        <v/>
      </c>
      <c r="AY385" s="13">
        <f>IF(AX385="","",IF(AX385&lt;='组合输入'!$K11,"AAA",IF(AX385&lt;='组合输入'!$L11,"AA",IF(AX385&lt;='组合输入'!$M11,"A",IF(AX385&lt;='组合输入'!$N11,"BBB",IF(AX385&lt;='组合输入'!$O11,"BB",IF(AX385&lt;='组合输入'!$P11,"B",IF(AX385&lt;='组合输入'!$Q11,"CCC","D")))))))</f>
        <v/>
      </c>
      <c r="AZ385" s="12">
        <f>IF(AY385="","",INDEX('状态价值'!$D11:$K11,MATCH(AY385,'状态价值'!$D$1:$K$1,0)))</f>
        <v/>
      </c>
      <c r="BA385" s="12">
        <f>G385+L385+Q385+V385+AA385+AF385+AK385+AP385+AU385+AZ385</f>
        <v/>
      </c>
      <c r="BB385" s="12">
        <f>SUM('组合输入'!$J$2:$J$11)-BA385</f>
        <v/>
      </c>
    </row>
    <row r="386">
      <c r="A386" s="11" t="n">
        <v>385</v>
      </c>
      <c r="B386" s="14">
        <f>NORM.S.INV(RAND())</f>
        <v/>
      </c>
      <c r="C386" s="14">
        <f>NORM.S.INV(RAND())</f>
        <v/>
      </c>
      <c r="D386" s="15">
        <f>IF('组合输入'!$C2="","",'组合输入'!$H2*$B386+SQRT(1-'组合输入'!$H2^2)*C386)</f>
        <v/>
      </c>
      <c r="E386" s="7">
        <f>IF(D386="","",NORM.S.DIST(D386,TRUE))</f>
        <v/>
      </c>
      <c r="F386" s="13">
        <f>IF(E386="","",IF(E386&lt;='组合输入'!$K2,"AAA",IF(E386&lt;='组合输入'!$L2,"AA",IF(E386&lt;='组合输入'!$M2,"A",IF(E386&lt;='组合输入'!$N2,"BBB",IF(E386&lt;='组合输入'!$O2,"BB",IF(E386&lt;='组合输入'!$P2,"B",IF(E386&lt;='组合输入'!$Q2,"CCC","D")))))))</f>
        <v/>
      </c>
      <c r="G386" s="12">
        <f>IF(F386="","",INDEX('状态价值'!$D2:$K2,MATCH(F386,'状态价值'!$D$1:$K$1,0)))</f>
        <v/>
      </c>
      <c r="H386" s="15">
        <f>NORM.S.INV(RAND())</f>
        <v/>
      </c>
      <c r="I386" s="15">
        <f>IF('组合输入'!$C3="","",'组合输入'!$H3*$B386+SQRT(1-'组合输入'!$H3^2)*H386)</f>
        <v/>
      </c>
      <c r="J386" s="7">
        <f>IF(I386="","",NORM.S.DIST(I386,TRUE))</f>
        <v/>
      </c>
      <c r="K386" s="13">
        <f>IF(J386="","",IF(J386&lt;='组合输入'!$K3,"AAA",IF(J386&lt;='组合输入'!$L3,"AA",IF(J386&lt;='组合输入'!$M3,"A",IF(J386&lt;='组合输入'!$N3,"BBB",IF(J386&lt;='组合输入'!$O3,"BB",IF(J386&lt;='组合输入'!$P3,"B",IF(J386&lt;='组合输入'!$Q3,"CCC","D")))))))</f>
        <v/>
      </c>
      <c r="L386" s="12">
        <f>IF(K386="","",INDEX('状态价值'!$D3:$K3,MATCH(K386,'状态价值'!$D$1:$K$1,0)))</f>
        <v/>
      </c>
      <c r="M386" s="15">
        <f>NORM.S.INV(RAND())</f>
        <v/>
      </c>
      <c r="N386" s="15">
        <f>IF('组合输入'!$C4="","",'组合输入'!$H4*$B386+SQRT(1-'组合输入'!$H4^2)*M386)</f>
        <v/>
      </c>
      <c r="O386" s="7">
        <f>IF(N386="","",NORM.S.DIST(N386,TRUE))</f>
        <v/>
      </c>
      <c r="P386" s="13">
        <f>IF(O386="","",IF(O386&lt;='组合输入'!$K4,"AAA",IF(O386&lt;='组合输入'!$L4,"AA",IF(O386&lt;='组合输入'!$M4,"A",IF(O386&lt;='组合输入'!$N4,"BBB",IF(O386&lt;='组合输入'!$O4,"BB",IF(O386&lt;='组合输入'!$P4,"B",IF(O386&lt;='组合输入'!$Q4,"CCC","D")))))))</f>
        <v/>
      </c>
      <c r="Q386" s="12">
        <f>IF(P386="","",INDEX('状态价值'!$D4:$K4,MATCH(P386,'状态价值'!$D$1:$K$1,0)))</f>
        <v/>
      </c>
      <c r="R386" s="15">
        <f>NORM.S.INV(RAND())</f>
        <v/>
      </c>
      <c r="S386" s="15">
        <f>IF('组合输入'!$C5="","",'组合输入'!$H5*$B386+SQRT(1-'组合输入'!$H5^2)*R386)</f>
        <v/>
      </c>
      <c r="T386" s="7">
        <f>IF(S386="","",NORM.S.DIST(S386,TRUE))</f>
        <v/>
      </c>
      <c r="U386" s="13">
        <f>IF(T386="","",IF(T386&lt;='组合输入'!$K5,"AAA",IF(T386&lt;='组合输入'!$L5,"AA",IF(T386&lt;='组合输入'!$M5,"A",IF(T386&lt;='组合输入'!$N5,"BBB",IF(T386&lt;='组合输入'!$O5,"BB",IF(T386&lt;='组合输入'!$P5,"B",IF(T386&lt;='组合输入'!$Q5,"CCC","D")))))))</f>
        <v/>
      </c>
      <c r="V386" s="12">
        <f>IF(U386="","",INDEX('状态价值'!$D5:$K5,MATCH(U386,'状态价值'!$D$1:$K$1,0)))</f>
        <v/>
      </c>
      <c r="W386" s="15">
        <f>NORM.S.INV(RAND())</f>
        <v/>
      </c>
      <c r="X386" s="15">
        <f>IF('组合输入'!$C6="","",'组合输入'!$H6*$B386+SQRT(1-'组合输入'!$H6^2)*W386)</f>
        <v/>
      </c>
      <c r="Y386" s="7">
        <f>IF(X386="","",NORM.S.DIST(X386,TRUE))</f>
        <v/>
      </c>
      <c r="Z386" s="13">
        <f>IF(Y386="","",IF(Y386&lt;='组合输入'!$K6,"AAA",IF(Y386&lt;='组合输入'!$L6,"AA",IF(Y386&lt;='组合输入'!$M6,"A",IF(Y386&lt;='组合输入'!$N6,"BBB",IF(Y386&lt;='组合输入'!$O6,"BB",IF(Y386&lt;='组合输入'!$P6,"B",IF(Y386&lt;='组合输入'!$Q6,"CCC","D")))))))</f>
        <v/>
      </c>
      <c r="AA386" s="12">
        <f>IF(Z386="","",INDEX('状态价值'!$D6:$K6,MATCH(Z386,'状态价值'!$D$1:$K$1,0)))</f>
        <v/>
      </c>
      <c r="AB386" s="15">
        <f>NORM.S.INV(RAND())</f>
        <v/>
      </c>
      <c r="AC386" s="15">
        <f>IF('组合输入'!$C7="","",'组合输入'!$H7*$B386+SQRT(1-'组合输入'!$H7^2)*AB386)</f>
        <v/>
      </c>
      <c r="AD386" s="7">
        <f>IF(AC386="","",NORM.S.DIST(AC386,TRUE))</f>
        <v/>
      </c>
      <c r="AE386" s="13">
        <f>IF(AD386="","",IF(AD386&lt;='组合输入'!$K7,"AAA",IF(AD386&lt;='组合输入'!$L7,"AA",IF(AD386&lt;='组合输入'!$M7,"A",IF(AD386&lt;='组合输入'!$N7,"BBB",IF(AD386&lt;='组合输入'!$O7,"BB",IF(AD386&lt;='组合输入'!$P7,"B",IF(AD386&lt;='组合输入'!$Q7,"CCC","D")))))))</f>
        <v/>
      </c>
      <c r="AF386" s="12">
        <f>IF(AE386="","",INDEX('状态价值'!$D7:$K7,MATCH(AE386,'状态价值'!$D$1:$K$1,0)))</f>
        <v/>
      </c>
      <c r="AG386" s="15">
        <f>NORM.S.INV(RAND())</f>
        <v/>
      </c>
      <c r="AH386" s="15">
        <f>IF('组合输入'!$C8="","",'组合输入'!$H8*$B386+SQRT(1-'组合输入'!$H8^2)*AG386)</f>
        <v/>
      </c>
      <c r="AI386" s="7">
        <f>IF(AH386="","",NORM.S.DIST(AH386,TRUE))</f>
        <v/>
      </c>
      <c r="AJ386" s="13">
        <f>IF(AI386="","",IF(AI386&lt;='组合输入'!$K8,"AAA",IF(AI386&lt;='组合输入'!$L8,"AA",IF(AI386&lt;='组合输入'!$M8,"A",IF(AI386&lt;='组合输入'!$N8,"BBB",IF(AI386&lt;='组合输入'!$O8,"BB",IF(AI386&lt;='组合输入'!$P8,"B",IF(AI386&lt;='组合输入'!$Q8,"CCC","D")))))))</f>
        <v/>
      </c>
      <c r="AK386" s="12">
        <f>IF(AJ386="","",INDEX('状态价值'!$D8:$K8,MATCH(AJ386,'状态价值'!$D$1:$K$1,0)))</f>
        <v/>
      </c>
      <c r="AL386" s="15">
        <f>NORM.S.INV(RAND())</f>
        <v/>
      </c>
      <c r="AM386" s="15">
        <f>IF('组合输入'!$C9="","",'组合输入'!$H9*$B386+SQRT(1-'组合输入'!$H9^2)*AL386)</f>
        <v/>
      </c>
      <c r="AN386" s="7">
        <f>IF(AM386="","",NORM.S.DIST(AM386,TRUE))</f>
        <v/>
      </c>
      <c r="AO386" s="13">
        <f>IF(AN386="","",IF(AN386&lt;='组合输入'!$K9,"AAA",IF(AN386&lt;='组合输入'!$L9,"AA",IF(AN386&lt;='组合输入'!$M9,"A",IF(AN386&lt;='组合输入'!$N9,"BBB",IF(AN386&lt;='组合输入'!$O9,"BB",IF(AN386&lt;='组合输入'!$P9,"B",IF(AN386&lt;='组合输入'!$Q9,"CCC","D")))))))</f>
        <v/>
      </c>
      <c r="AP386" s="12">
        <f>IF(AO386="","",INDEX('状态价值'!$D9:$K9,MATCH(AO386,'状态价值'!$D$1:$K$1,0)))</f>
        <v/>
      </c>
      <c r="AQ386" s="15">
        <f>NORM.S.INV(RAND())</f>
        <v/>
      </c>
      <c r="AR386" s="15">
        <f>IF('组合输入'!$C10="","",'组合输入'!$H10*$B386+SQRT(1-'组合输入'!$H10^2)*AQ386)</f>
        <v/>
      </c>
      <c r="AS386" s="7">
        <f>IF(AR386="","",NORM.S.DIST(AR386,TRUE))</f>
        <v/>
      </c>
      <c r="AT386" s="13">
        <f>IF(AS386="","",IF(AS386&lt;='组合输入'!$K10,"AAA",IF(AS386&lt;='组合输入'!$L10,"AA",IF(AS386&lt;='组合输入'!$M10,"A",IF(AS386&lt;='组合输入'!$N10,"BBB",IF(AS386&lt;='组合输入'!$O10,"BB",IF(AS386&lt;='组合输入'!$P10,"B",IF(AS386&lt;='组合输入'!$Q10,"CCC","D")))))))</f>
        <v/>
      </c>
      <c r="AU386" s="12">
        <f>IF(AT386="","",INDEX('状态价值'!$D10:$K10,MATCH(AT386,'状态价值'!$D$1:$K$1,0)))</f>
        <v/>
      </c>
      <c r="AV386" s="15">
        <f>NORM.S.INV(RAND())</f>
        <v/>
      </c>
      <c r="AW386" s="15">
        <f>IF('组合输入'!$C11="","",'组合输入'!$H11*$B386+SQRT(1-'组合输入'!$H11^2)*AV386)</f>
        <v/>
      </c>
      <c r="AX386" s="7">
        <f>IF(AW386="","",NORM.S.DIST(AW386,TRUE))</f>
        <v/>
      </c>
      <c r="AY386" s="13">
        <f>IF(AX386="","",IF(AX386&lt;='组合输入'!$K11,"AAA",IF(AX386&lt;='组合输入'!$L11,"AA",IF(AX386&lt;='组合输入'!$M11,"A",IF(AX386&lt;='组合输入'!$N11,"BBB",IF(AX386&lt;='组合输入'!$O11,"BB",IF(AX386&lt;='组合输入'!$P11,"B",IF(AX386&lt;='组合输入'!$Q11,"CCC","D")))))))</f>
        <v/>
      </c>
      <c r="AZ386" s="12">
        <f>IF(AY386="","",INDEX('状态价值'!$D11:$K11,MATCH(AY386,'状态价值'!$D$1:$K$1,0)))</f>
        <v/>
      </c>
      <c r="BA386" s="12">
        <f>G386+L386+Q386+V386+AA386+AF386+AK386+AP386+AU386+AZ386</f>
        <v/>
      </c>
      <c r="BB386" s="12">
        <f>SUM('组合输入'!$J$2:$J$11)-BA386</f>
        <v/>
      </c>
    </row>
    <row r="387">
      <c r="A387" s="11" t="n">
        <v>386</v>
      </c>
      <c r="B387" s="14">
        <f>NORM.S.INV(RAND())</f>
        <v/>
      </c>
      <c r="C387" s="14">
        <f>NORM.S.INV(RAND())</f>
        <v/>
      </c>
      <c r="D387" s="15">
        <f>IF('组合输入'!$C2="","",'组合输入'!$H2*$B387+SQRT(1-'组合输入'!$H2^2)*C387)</f>
        <v/>
      </c>
      <c r="E387" s="7">
        <f>IF(D387="","",NORM.S.DIST(D387,TRUE))</f>
        <v/>
      </c>
      <c r="F387" s="13">
        <f>IF(E387="","",IF(E387&lt;='组合输入'!$K2,"AAA",IF(E387&lt;='组合输入'!$L2,"AA",IF(E387&lt;='组合输入'!$M2,"A",IF(E387&lt;='组合输入'!$N2,"BBB",IF(E387&lt;='组合输入'!$O2,"BB",IF(E387&lt;='组合输入'!$P2,"B",IF(E387&lt;='组合输入'!$Q2,"CCC","D")))))))</f>
        <v/>
      </c>
      <c r="G387" s="12">
        <f>IF(F387="","",INDEX('状态价值'!$D2:$K2,MATCH(F387,'状态价值'!$D$1:$K$1,0)))</f>
        <v/>
      </c>
      <c r="H387" s="15">
        <f>NORM.S.INV(RAND())</f>
        <v/>
      </c>
      <c r="I387" s="15">
        <f>IF('组合输入'!$C3="","",'组合输入'!$H3*$B387+SQRT(1-'组合输入'!$H3^2)*H387)</f>
        <v/>
      </c>
      <c r="J387" s="7">
        <f>IF(I387="","",NORM.S.DIST(I387,TRUE))</f>
        <v/>
      </c>
      <c r="K387" s="13">
        <f>IF(J387="","",IF(J387&lt;='组合输入'!$K3,"AAA",IF(J387&lt;='组合输入'!$L3,"AA",IF(J387&lt;='组合输入'!$M3,"A",IF(J387&lt;='组合输入'!$N3,"BBB",IF(J387&lt;='组合输入'!$O3,"BB",IF(J387&lt;='组合输入'!$P3,"B",IF(J387&lt;='组合输入'!$Q3,"CCC","D")))))))</f>
        <v/>
      </c>
      <c r="L387" s="12">
        <f>IF(K387="","",INDEX('状态价值'!$D3:$K3,MATCH(K387,'状态价值'!$D$1:$K$1,0)))</f>
        <v/>
      </c>
      <c r="M387" s="15">
        <f>NORM.S.INV(RAND())</f>
        <v/>
      </c>
      <c r="N387" s="15">
        <f>IF('组合输入'!$C4="","",'组合输入'!$H4*$B387+SQRT(1-'组合输入'!$H4^2)*M387)</f>
        <v/>
      </c>
      <c r="O387" s="7">
        <f>IF(N387="","",NORM.S.DIST(N387,TRUE))</f>
        <v/>
      </c>
      <c r="P387" s="13">
        <f>IF(O387="","",IF(O387&lt;='组合输入'!$K4,"AAA",IF(O387&lt;='组合输入'!$L4,"AA",IF(O387&lt;='组合输入'!$M4,"A",IF(O387&lt;='组合输入'!$N4,"BBB",IF(O387&lt;='组合输入'!$O4,"BB",IF(O387&lt;='组合输入'!$P4,"B",IF(O387&lt;='组合输入'!$Q4,"CCC","D")))))))</f>
        <v/>
      </c>
      <c r="Q387" s="12">
        <f>IF(P387="","",INDEX('状态价值'!$D4:$K4,MATCH(P387,'状态价值'!$D$1:$K$1,0)))</f>
        <v/>
      </c>
      <c r="R387" s="15">
        <f>NORM.S.INV(RAND())</f>
        <v/>
      </c>
      <c r="S387" s="15">
        <f>IF('组合输入'!$C5="","",'组合输入'!$H5*$B387+SQRT(1-'组合输入'!$H5^2)*R387)</f>
        <v/>
      </c>
      <c r="T387" s="7">
        <f>IF(S387="","",NORM.S.DIST(S387,TRUE))</f>
        <v/>
      </c>
      <c r="U387" s="13">
        <f>IF(T387="","",IF(T387&lt;='组合输入'!$K5,"AAA",IF(T387&lt;='组合输入'!$L5,"AA",IF(T387&lt;='组合输入'!$M5,"A",IF(T387&lt;='组合输入'!$N5,"BBB",IF(T387&lt;='组合输入'!$O5,"BB",IF(T387&lt;='组合输入'!$P5,"B",IF(T387&lt;='组合输入'!$Q5,"CCC","D")))))))</f>
        <v/>
      </c>
      <c r="V387" s="12">
        <f>IF(U387="","",INDEX('状态价值'!$D5:$K5,MATCH(U387,'状态价值'!$D$1:$K$1,0)))</f>
        <v/>
      </c>
      <c r="W387" s="15">
        <f>NORM.S.INV(RAND())</f>
        <v/>
      </c>
      <c r="X387" s="15">
        <f>IF('组合输入'!$C6="","",'组合输入'!$H6*$B387+SQRT(1-'组合输入'!$H6^2)*W387)</f>
        <v/>
      </c>
      <c r="Y387" s="7">
        <f>IF(X387="","",NORM.S.DIST(X387,TRUE))</f>
        <v/>
      </c>
      <c r="Z387" s="13">
        <f>IF(Y387="","",IF(Y387&lt;='组合输入'!$K6,"AAA",IF(Y387&lt;='组合输入'!$L6,"AA",IF(Y387&lt;='组合输入'!$M6,"A",IF(Y387&lt;='组合输入'!$N6,"BBB",IF(Y387&lt;='组合输入'!$O6,"BB",IF(Y387&lt;='组合输入'!$P6,"B",IF(Y387&lt;='组合输入'!$Q6,"CCC","D")))))))</f>
        <v/>
      </c>
      <c r="AA387" s="12">
        <f>IF(Z387="","",INDEX('状态价值'!$D6:$K6,MATCH(Z387,'状态价值'!$D$1:$K$1,0)))</f>
        <v/>
      </c>
      <c r="AB387" s="15">
        <f>NORM.S.INV(RAND())</f>
        <v/>
      </c>
      <c r="AC387" s="15">
        <f>IF('组合输入'!$C7="","",'组合输入'!$H7*$B387+SQRT(1-'组合输入'!$H7^2)*AB387)</f>
        <v/>
      </c>
      <c r="AD387" s="7">
        <f>IF(AC387="","",NORM.S.DIST(AC387,TRUE))</f>
        <v/>
      </c>
      <c r="AE387" s="13">
        <f>IF(AD387="","",IF(AD387&lt;='组合输入'!$K7,"AAA",IF(AD387&lt;='组合输入'!$L7,"AA",IF(AD387&lt;='组合输入'!$M7,"A",IF(AD387&lt;='组合输入'!$N7,"BBB",IF(AD387&lt;='组合输入'!$O7,"BB",IF(AD387&lt;='组合输入'!$P7,"B",IF(AD387&lt;='组合输入'!$Q7,"CCC","D")))))))</f>
        <v/>
      </c>
      <c r="AF387" s="12">
        <f>IF(AE387="","",INDEX('状态价值'!$D7:$K7,MATCH(AE387,'状态价值'!$D$1:$K$1,0)))</f>
        <v/>
      </c>
      <c r="AG387" s="15">
        <f>NORM.S.INV(RAND())</f>
        <v/>
      </c>
      <c r="AH387" s="15">
        <f>IF('组合输入'!$C8="","",'组合输入'!$H8*$B387+SQRT(1-'组合输入'!$H8^2)*AG387)</f>
        <v/>
      </c>
      <c r="AI387" s="7">
        <f>IF(AH387="","",NORM.S.DIST(AH387,TRUE))</f>
        <v/>
      </c>
      <c r="AJ387" s="13">
        <f>IF(AI387="","",IF(AI387&lt;='组合输入'!$K8,"AAA",IF(AI387&lt;='组合输入'!$L8,"AA",IF(AI387&lt;='组合输入'!$M8,"A",IF(AI387&lt;='组合输入'!$N8,"BBB",IF(AI387&lt;='组合输入'!$O8,"BB",IF(AI387&lt;='组合输入'!$P8,"B",IF(AI387&lt;='组合输入'!$Q8,"CCC","D")))))))</f>
        <v/>
      </c>
      <c r="AK387" s="12">
        <f>IF(AJ387="","",INDEX('状态价值'!$D8:$K8,MATCH(AJ387,'状态价值'!$D$1:$K$1,0)))</f>
        <v/>
      </c>
      <c r="AL387" s="15">
        <f>NORM.S.INV(RAND())</f>
        <v/>
      </c>
      <c r="AM387" s="15">
        <f>IF('组合输入'!$C9="","",'组合输入'!$H9*$B387+SQRT(1-'组合输入'!$H9^2)*AL387)</f>
        <v/>
      </c>
      <c r="AN387" s="7">
        <f>IF(AM387="","",NORM.S.DIST(AM387,TRUE))</f>
        <v/>
      </c>
      <c r="AO387" s="13">
        <f>IF(AN387="","",IF(AN387&lt;='组合输入'!$K9,"AAA",IF(AN387&lt;='组合输入'!$L9,"AA",IF(AN387&lt;='组合输入'!$M9,"A",IF(AN387&lt;='组合输入'!$N9,"BBB",IF(AN387&lt;='组合输入'!$O9,"BB",IF(AN387&lt;='组合输入'!$P9,"B",IF(AN387&lt;='组合输入'!$Q9,"CCC","D")))))))</f>
        <v/>
      </c>
      <c r="AP387" s="12">
        <f>IF(AO387="","",INDEX('状态价值'!$D9:$K9,MATCH(AO387,'状态价值'!$D$1:$K$1,0)))</f>
        <v/>
      </c>
      <c r="AQ387" s="15">
        <f>NORM.S.INV(RAND())</f>
        <v/>
      </c>
      <c r="AR387" s="15">
        <f>IF('组合输入'!$C10="","",'组合输入'!$H10*$B387+SQRT(1-'组合输入'!$H10^2)*AQ387)</f>
        <v/>
      </c>
      <c r="AS387" s="7">
        <f>IF(AR387="","",NORM.S.DIST(AR387,TRUE))</f>
        <v/>
      </c>
      <c r="AT387" s="13">
        <f>IF(AS387="","",IF(AS387&lt;='组合输入'!$K10,"AAA",IF(AS387&lt;='组合输入'!$L10,"AA",IF(AS387&lt;='组合输入'!$M10,"A",IF(AS387&lt;='组合输入'!$N10,"BBB",IF(AS387&lt;='组合输入'!$O10,"BB",IF(AS387&lt;='组合输入'!$P10,"B",IF(AS387&lt;='组合输入'!$Q10,"CCC","D")))))))</f>
        <v/>
      </c>
      <c r="AU387" s="12">
        <f>IF(AT387="","",INDEX('状态价值'!$D10:$K10,MATCH(AT387,'状态价值'!$D$1:$K$1,0)))</f>
        <v/>
      </c>
      <c r="AV387" s="15">
        <f>NORM.S.INV(RAND())</f>
        <v/>
      </c>
      <c r="AW387" s="15">
        <f>IF('组合输入'!$C11="","",'组合输入'!$H11*$B387+SQRT(1-'组合输入'!$H11^2)*AV387)</f>
        <v/>
      </c>
      <c r="AX387" s="7">
        <f>IF(AW387="","",NORM.S.DIST(AW387,TRUE))</f>
        <v/>
      </c>
      <c r="AY387" s="13">
        <f>IF(AX387="","",IF(AX387&lt;='组合输入'!$K11,"AAA",IF(AX387&lt;='组合输入'!$L11,"AA",IF(AX387&lt;='组合输入'!$M11,"A",IF(AX387&lt;='组合输入'!$N11,"BBB",IF(AX387&lt;='组合输入'!$O11,"BB",IF(AX387&lt;='组合输入'!$P11,"B",IF(AX387&lt;='组合输入'!$Q11,"CCC","D")))))))</f>
        <v/>
      </c>
      <c r="AZ387" s="12">
        <f>IF(AY387="","",INDEX('状态价值'!$D11:$K11,MATCH(AY387,'状态价值'!$D$1:$K$1,0)))</f>
        <v/>
      </c>
      <c r="BA387" s="12">
        <f>G387+L387+Q387+V387+AA387+AF387+AK387+AP387+AU387+AZ387</f>
        <v/>
      </c>
      <c r="BB387" s="12">
        <f>SUM('组合输入'!$J$2:$J$11)-BA387</f>
        <v/>
      </c>
    </row>
    <row r="388">
      <c r="A388" s="11" t="n">
        <v>387</v>
      </c>
      <c r="B388" s="14">
        <f>NORM.S.INV(RAND())</f>
        <v/>
      </c>
      <c r="C388" s="14">
        <f>NORM.S.INV(RAND())</f>
        <v/>
      </c>
      <c r="D388" s="15">
        <f>IF('组合输入'!$C2="","",'组合输入'!$H2*$B388+SQRT(1-'组合输入'!$H2^2)*C388)</f>
        <v/>
      </c>
      <c r="E388" s="7">
        <f>IF(D388="","",NORM.S.DIST(D388,TRUE))</f>
        <v/>
      </c>
      <c r="F388" s="13">
        <f>IF(E388="","",IF(E388&lt;='组合输入'!$K2,"AAA",IF(E388&lt;='组合输入'!$L2,"AA",IF(E388&lt;='组合输入'!$M2,"A",IF(E388&lt;='组合输入'!$N2,"BBB",IF(E388&lt;='组合输入'!$O2,"BB",IF(E388&lt;='组合输入'!$P2,"B",IF(E388&lt;='组合输入'!$Q2,"CCC","D")))))))</f>
        <v/>
      </c>
      <c r="G388" s="12">
        <f>IF(F388="","",INDEX('状态价值'!$D2:$K2,MATCH(F388,'状态价值'!$D$1:$K$1,0)))</f>
        <v/>
      </c>
      <c r="H388" s="15">
        <f>NORM.S.INV(RAND())</f>
        <v/>
      </c>
      <c r="I388" s="15">
        <f>IF('组合输入'!$C3="","",'组合输入'!$H3*$B388+SQRT(1-'组合输入'!$H3^2)*H388)</f>
        <v/>
      </c>
      <c r="J388" s="7">
        <f>IF(I388="","",NORM.S.DIST(I388,TRUE))</f>
        <v/>
      </c>
      <c r="K388" s="13">
        <f>IF(J388="","",IF(J388&lt;='组合输入'!$K3,"AAA",IF(J388&lt;='组合输入'!$L3,"AA",IF(J388&lt;='组合输入'!$M3,"A",IF(J388&lt;='组合输入'!$N3,"BBB",IF(J388&lt;='组合输入'!$O3,"BB",IF(J388&lt;='组合输入'!$P3,"B",IF(J388&lt;='组合输入'!$Q3,"CCC","D")))))))</f>
        <v/>
      </c>
      <c r="L388" s="12">
        <f>IF(K388="","",INDEX('状态价值'!$D3:$K3,MATCH(K388,'状态价值'!$D$1:$K$1,0)))</f>
        <v/>
      </c>
      <c r="M388" s="15">
        <f>NORM.S.INV(RAND())</f>
        <v/>
      </c>
      <c r="N388" s="15">
        <f>IF('组合输入'!$C4="","",'组合输入'!$H4*$B388+SQRT(1-'组合输入'!$H4^2)*M388)</f>
        <v/>
      </c>
      <c r="O388" s="7">
        <f>IF(N388="","",NORM.S.DIST(N388,TRUE))</f>
        <v/>
      </c>
      <c r="P388" s="13">
        <f>IF(O388="","",IF(O388&lt;='组合输入'!$K4,"AAA",IF(O388&lt;='组合输入'!$L4,"AA",IF(O388&lt;='组合输入'!$M4,"A",IF(O388&lt;='组合输入'!$N4,"BBB",IF(O388&lt;='组合输入'!$O4,"BB",IF(O388&lt;='组合输入'!$P4,"B",IF(O388&lt;='组合输入'!$Q4,"CCC","D")))))))</f>
        <v/>
      </c>
      <c r="Q388" s="12">
        <f>IF(P388="","",INDEX('状态价值'!$D4:$K4,MATCH(P388,'状态价值'!$D$1:$K$1,0)))</f>
        <v/>
      </c>
      <c r="R388" s="15">
        <f>NORM.S.INV(RAND())</f>
        <v/>
      </c>
      <c r="S388" s="15">
        <f>IF('组合输入'!$C5="","",'组合输入'!$H5*$B388+SQRT(1-'组合输入'!$H5^2)*R388)</f>
        <v/>
      </c>
      <c r="T388" s="7">
        <f>IF(S388="","",NORM.S.DIST(S388,TRUE))</f>
        <v/>
      </c>
      <c r="U388" s="13">
        <f>IF(T388="","",IF(T388&lt;='组合输入'!$K5,"AAA",IF(T388&lt;='组合输入'!$L5,"AA",IF(T388&lt;='组合输入'!$M5,"A",IF(T388&lt;='组合输入'!$N5,"BBB",IF(T388&lt;='组合输入'!$O5,"BB",IF(T388&lt;='组合输入'!$P5,"B",IF(T388&lt;='组合输入'!$Q5,"CCC","D")))))))</f>
        <v/>
      </c>
      <c r="V388" s="12">
        <f>IF(U388="","",INDEX('状态价值'!$D5:$K5,MATCH(U388,'状态价值'!$D$1:$K$1,0)))</f>
        <v/>
      </c>
      <c r="W388" s="15">
        <f>NORM.S.INV(RAND())</f>
        <v/>
      </c>
      <c r="X388" s="15">
        <f>IF('组合输入'!$C6="","",'组合输入'!$H6*$B388+SQRT(1-'组合输入'!$H6^2)*W388)</f>
        <v/>
      </c>
      <c r="Y388" s="7">
        <f>IF(X388="","",NORM.S.DIST(X388,TRUE))</f>
        <v/>
      </c>
      <c r="Z388" s="13">
        <f>IF(Y388="","",IF(Y388&lt;='组合输入'!$K6,"AAA",IF(Y388&lt;='组合输入'!$L6,"AA",IF(Y388&lt;='组合输入'!$M6,"A",IF(Y388&lt;='组合输入'!$N6,"BBB",IF(Y388&lt;='组合输入'!$O6,"BB",IF(Y388&lt;='组合输入'!$P6,"B",IF(Y388&lt;='组合输入'!$Q6,"CCC","D")))))))</f>
        <v/>
      </c>
      <c r="AA388" s="12">
        <f>IF(Z388="","",INDEX('状态价值'!$D6:$K6,MATCH(Z388,'状态价值'!$D$1:$K$1,0)))</f>
        <v/>
      </c>
      <c r="AB388" s="15">
        <f>NORM.S.INV(RAND())</f>
        <v/>
      </c>
      <c r="AC388" s="15">
        <f>IF('组合输入'!$C7="","",'组合输入'!$H7*$B388+SQRT(1-'组合输入'!$H7^2)*AB388)</f>
        <v/>
      </c>
      <c r="AD388" s="7">
        <f>IF(AC388="","",NORM.S.DIST(AC388,TRUE))</f>
        <v/>
      </c>
      <c r="AE388" s="13">
        <f>IF(AD388="","",IF(AD388&lt;='组合输入'!$K7,"AAA",IF(AD388&lt;='组合输入'!$L7,"AA",IF(AD388&lt;='组合输入'!$M7,"A",IF(AD388&lt;='组合输入'!$N7,"BBB",IF(AD388&lt;='组合输入'!$O7,"BB",IF(AD388&lt;='组合输入'!$P7,"B",IF(AD388&lt;='组合输入'!$Q7,"CCC","D")))))))</f>
        <v/>
      </c>
      <c r="AF388" s="12">
        <f>IF(AE388="","",INDEX('状态价值'!$D7:$K7,MATCH(AE388,'状态价值'!$D$1:$K$1,0)))</f>
        <v/>
      </c>
      <c r="AG388" s="15">
        <f>NORM.S.INV(RAND())</f>
        <v/>
      </c>
      <c r="AH388" s="15">
        <f>IF('组合输入'!$C8="","",'组合输入'!$H8*$B388+SQRT(1-'组合输入'!$H8^2)*AG388)</f>
        <v/>
      </c>
      <c r="AI388" s="7">
        <f>IF(AH388="","",NORM.S.DIST(AH388,TRUE))</f>
        <v/>
      </c>
      <c r="AJ388" s="13">
        <f>IF(AI388="","",IF(AI388&lt;='组合输入'!$K8,"AAA",IF(AI388&lt;='组合输入'!$L8,"AA",IF(AI388&lt;='组合输入'!$M8,"A",IF(AI388&lt;='组合输入'!$N8,"BBB",IF(AI388&lt;='组合输入'!$O8,"BB",IF(AI388&lt;='组合输入'!$P8,"B",IF(AI388&lt;='组合输入'!$Q8,"CCC","D")))))))</f>
        <v/>
      </c>
      <c r="AK388" s="12">
        <f>IF(AJ388="","",INDEX('状态价值'!$D8:$K8,MATCH(AJ388,'状态价值'!$D$1:$K$1,0)))</f>
        <v/>
      </c>
      <c r="AL388" s="15">
        <f>NORM.S.INV(RAND())</f>
        <v/>
      </c>
      <c r="AM388" s="15">
        <f>IF('组合输入'!$C9="","",'组合输入'!$H9*$B388+SQRT(1-'组合输入'!$H9^2)*AL388)</f>
        <v/>
      </c>
      <c r="AN388" s="7">
        <f>IF(AM388="","",NORM.S.DIST(AM388,TRUE))</f>
        <v/>
      </c>
      <c r="AO388" s="13">
        <f>IF(AN388="","",IF(AN388&lt;='组合输入'!$K9,"AAA",IF(AN388&lt;='组合输入'!$L9,"AA",IF(AN388&lt;='组合输入'!$M9,"A",IF(AN388&lt;='组合输入'!$N9,"BBB",IF(AN388&lt;='组合输入'!$O9,"BB",IF(AN388&lt;='组合输入'!$P9,"B",IF(AN388&lt;='组合输入'!$Q9,"CCC","D")))))))</f>
        <v/>
      </c>
      <c r="AP388" s="12">
        <f>IF(AO388="","",INDEX('状态价值'!$D9:$K9,MATCH(AO388,'状态价值'!$D$1:$K$1,0)))</f>
        <v/>
      </c>
      <c r="AQ388" s="15">
        <f>NORM.S.INV(RAND())</f>
        <v/>
      </c>
      <c r="AR388" s="15">
        <f>IF('组合输入'!$C10="","",'组合输入'!$H10*$B388+SQRT(1-'组合输入'!$H10^2)*AQ388)</f>
        <v/>
      </c>
      <c r="AS388" s="7">
        <f>IF(AR388="","",NORM.S.DIST(AR388,TRUE))</f>
        <v/>
      </c>
      <c r="AT388" s="13">
        <f>IF(AS388="","",IF(AS388&lt;='组合输入'!$K10,"AAA",IF(AS388&lt;='组合输入'!$L10,"AA",IF(AS388&lt;='组合输入'!$M10,"A",IF(AS388&lt;='组合输入'!$N10,"BBB",IF(AS388&lt;='组合输入'!$O10,"BB",IF(AS388&lt;='组合输入'!$P10,"B",IF(AS388&lt;='组合输入'!$Q10,"CCC","D")))))))</f>
        <v/>
      </c>
      <c r="AU388" s="12">
        <f>IF(AT388="","",INDEX('状态价值'!$D10:$K10,MATCH(AT388,'状态价值'!$D$1:$K$1,0)))</f>
        <v/>
      </c>
      <c r="AV388" s="15">
        <f>NORM.S.INV(RAND())</f>
        <v/>
      </c>
      <c r="AW388" s="15">
        <f>IF('组合输入'!$C11="","",'组合输入'!$H11*$B388+SQRT(1-'组合输入'!$H11^2)*AV388)</f>
        <v/>
      </c>
      <c r="AX388" s="7">
        <f>IF(AW388="","",NORM.S.DIST(AW388,TRUE))</f>
        <v/>
      </c>
      <c r="AY388" s="13">
        <f>IF(AX388="","",IF(AX388&lt;='组合输入'!$K11,"AAA",IF(AX388&lt;='组合输入'!$L11,"AA",IF(AX388&lt;='组合输入'!$M11,"A",IF(AX388&lt;='组合输入'!$N11,"BBB",IF(AX388&lt;='组合输入'!$O11,"BB",IF(AX388&lt;='组合输入'!$P11,"B",IF(AX388&lt;='组合输入'!$Q11,"CCC","D")))))))</f>
        <v/>
      </c>
      <c r="AZ388" s="12">
        <f>IF(AY388="","",INDEX('状态价值'!$D11:$K11,MATCH(AY388,'状态价值'!$D$1:$K$1,0)))</f>
        <v/>
      </c>
      <c r="BA388" s="12">
        <f>G388+L388+Q388+V388+AA388+AF388+AK388+AP388+AU388+AZ388</f>
        <v/>
      </c>
      <c r="BB388" s="12">
        <f>SUM('组合输入'!$J$2:$J$11)-BA388</f>
        <v/>
      </c>
    </row>
    <row r="389">
      <c r="A389" s="11" t="n">
        <v>388</v>
      </c>
      <c r="B389" s="14">
        <f>NORM.S.INV(RAND())</f>
        <v/>
      </c>
      <c r="C389" s="14">
        <f>NORM.S.INV(RAND())</f>
        <v/>
      </c>
      <c r="D389" s="15">
        <f>IF('组合输入'!$C2="","",'组合输入'!$H2*$B389+SQRT(1-'组合输入'!$H2^2)*C389)</f>
        <v/>
      </c>
      <c r="E389" s="7">
        <f>IF(D389="","",NORM.S.DIST(D389,TRUE))</f>
        <v/>
      </c>
      <c r="F389" s="13">
        <f>IF(E389="","",IF(E389&lt;='组合输入'!$K2,"AAA",IF(E389&lt;='组合输入'!$L2,"AA",IF(E389&lt;='组合输入'!$M2,"A",IF(E389&lt;='组合输入'!$N2,"BBB",IF(E389&lt;='组合输入'!$O2,"BB",IF(E389&lt;='组合输入'!$P2,"B",IF(E389&lt;='组合输入'!$Q2,"CCC","D")))))))</f>
        <v/>
      </c>
      <c r="G389" s="12">
        <f>IF(F389="","",INDEX('状态价值'!$D2:$K2,MATCH(F389,'状态价值'!$D$1:$K$1,0)))</f>
        <v/>
      </c>
      <c r="H389" s="15">
        <f>NORM.S.INV(RAND())</f>
        <v/>
      </c>
      <c r="I389" s="15">
        <f>IF('组合输入'!$C3="","",'组合输入'!$H3*$B389+SQRT(1-'组合输入'!$H3^2)*H389)</f>
        <v/>
      </c>
      <c r="J389" s="7">
        <f>IF(I389="","",NORM.S.DIST(I389,TRUE))</f>
        <v/>
      </c>
      <c r="K389" s="13">
        <f>IF(J389="","",IF(J389&lt;='组合输入'!$K3,"AAA",IF(J389&lt;='组合输入'!$L3,"AA",IF(J389&lt;='组合输入'!$M3,"A",IF(J389&lt;='组合输入'!$N3,"BBB",IF(J389&lt;='组合输入'!$O3,"BB",IF(J389&lt;='组合输入'!$P3,"B",IF(J389&lt;='组合输入'!$Q3,"CCC","D")))))))</f>
        <v/>
      </c>
      <c r="L389" s="12">
        <f>IF(K389="","",INDEX('状态价值'!$D3:$K3,MATCH(K389,'状态价值'!$D$1:$K$1,0)))</f>
        <v/>
      </c>
      <c r="M389" s="15">
        <f>NORM.S.INV(RAND())</f>
        <v/>
      </c>
      <c r="N389" s="15">
        <f>IF('组合输入'!$C4="","",'组合输入'!$H4*$B389+SQRT(1-'组合输入'!$H4^2)*M389)</f>
        <v/>
      </c>
      <c r="O389" s="7">
        <f>IF(N389="","",NORM.S.DIST(N389,TRUE))</f>
        <v/>
      </c>
      <c r="P389" s="13">
        <f>IF(O389="","",IF(O389&lt;='组合输入'!$K4,"AAA",IF(O389&lt;='组合输入'!$L4,"AA",IF(O389&lt;='组合输入'!$M4,"A",IF(O389&lt;='组合输入'!$N4,"BBB",IF(O389&lt;='组合输入'!$O4,"BB",IF(O389&lt;='组合输入'!$P4,"B",IF(O389&lt;='组合输入'!$Q4,"CCC","D")))))))</f>
        <v/>
      </c>
      <c r="Q389" s="12">
        <f>IF(P389="","",INDEX('状态价值'!$D4:$K4,MATCH(P389,'状态价值'!$D$1:$K$1,0)))</f>
        <v/>
      </c>
      <c r="R389" s="15">
        <f>NORM.S.INV(RAND())</f>
        <v/>
      </c>
      <c r="S389" s="15">
        <f>IF('组合输入'!$C5="","",'组合输入'!$H5*$B389+SQRT(1-'组合输入'!$H5^2)*R389)</f>
        <v/>
      </c>
      <c r="T389" s="7">
        <f>IF(S389="","",NORM.S.DIST(S389,TRUE))</f>
        <v/>
      </c>
      <c r="U389" s="13">
        <f>IF(T389="","",IF(T389&lt;='组合输入'!$K5,"AAA",IF(T389&lt;='组合输入'!$L5,"AA",IF(T389&lt;='组合输入'!$M5,"A",IF(T389&lt;='组合输入'!$N5,"BBB",IF(T389&lt;='组合输入'!$O5,"BB",IF(T389&lt;='组合输入'!$P5,"B",IF(T389&lt;='组合输入'!$Q5,"CCC","D")))))))</f>
        <v/>
      </c>
      <c r="V389" s="12">
        <f>IF(U389="","",INDEX('状态价值'!$D5:$K5,MATCH(U389,'状态价值'!$D$1:$K$1,0)))</f>
        <v/>
      </c>
      <c r="W389" s="15">
        <f>NORM.S.INV(RAND())</f>
        <v/>
      </c>
      <c r="X389" s="15">
        <f>IF('组合输入'!$C6="","",'组合输入'!$H6*$B389+SQRT(1-'组合输入'!$H6^2)*W389)</f>
        <v/>
      </c>
      <c r="Y389" s="7">
        <f>IF(X389="","",NORM.S.DIST(X389,TRUE))</f>
        <v/>
      </c>
      <c r="Z389" s="13">
        <f>IF(Y389="","",IF(Y389&lt;='组合输入'!$K6,"AAA",IF(Y389&lt;='组合输入'!$L6,"AA",IF(Y389&lt;='组合输入'!$M6,"A",IF(Y389&lt;='组合输入'!$N6,"BBB",IF(Y389&lt;='组合输入'!$O6,"BB",IF(Y389&lt;='组合输入'!$P6,"B",IF(Y389&lt;='组合输入'!$Q6,"CCC","D")))))))</f>
        <v/>
      </c>
      <c r="AA389" s="12">
        <f>IF(Z389="","",INDEX('状态价值'!$D6:$K6,MATCH(Z389,'状态价值'!$D$1:$K$1,0)))</f>
        <v/>
      </c>
      <c r="AB389" s="15">
        <f>NORM.S.INV(RAND())</f>
        <v/>
      </c>
      <c r="AC389" s="15">
        <f>IF('组合输入'!$C7="","",'组合输入'!$H7*$B389+SQRT(1-'组合输入'!$H7^2)*AB389)</f>
        <v/>
      </c>
      <c r="AD389" s="7">
        <f>IF(AC389="","",NORM.S.DIST(AC389,TRUE))</f>
        <v/>
      </c>
      <c r="AE389" s="13">
        <f>IF(AD389="","",IF(AD389&lt;='组合输入'!$K7,"AAA",IF(AD389&lt;='组合输入'!$L7,"AA",IF(AD389&lt;='组合输入'!$M7,"A",IF(AD389&lt;='组合输入'!$N7,"BBB",IF(AD389&lt;='组合输入'!$O7,"BB",IF(AD389&lt;='组合输入'!$P7,"B",IF(AD389&lt;='组合输入'!$Q7,"CCC","D")))))))</f>
        <v/>
      </c>
      <c r="AF389" s="12">
        <f>IF(AE389="","",INDEX('状态价值'!$D7:$K7,MATCH(AE389,'状态价值'!$D$1:$K$1,0)))</f>
        <v/>
      </c>
      <c r="AG389" s="15">
        <f>NORM.S.INV(RAND())</f>
        <v/>
      </c>
      <c r="AH389" s="15">
        <f>IF('组合输入'!$C8="","",'组合输入'!$H8*$B389+SQRT(1-'组合输入'!$H8^2)*AG389)</f>
        <v/>
      </c>
      <c r="AI389" s="7">
        <f>IF(AH389="","",NORM.S.DIST(AH389,TRUE))</f>
        <v/>
      </c>
      <c r="AJ389" s="13">
        <f>IF(AI389="","",IF(AI389&lt;='组合输入'!$K8,"AAA",IF(AI389&lt;='组合输入'!$L8,"AA",IF(AI389&lt;='组合输入'!$M8,"A",IF(AI389&lt;='组合输入'!$N8,"BBB",IF(AI389&lt;='组合输入'!$O8,"BB",IF(AI389&lt;='组合输入'!$P8,"B",IF(AI389&lt;='组合输入'!$Q8,"CCC","D")))))))</f>
        <v/>
      </c>
      <c r="AK389" s="12">
        <f>IF(AJ389="","",INDEX('状态价值'!$D8:$K8,MATCH(AJ389,'状态价值'!$D$1:$K$1,0)))</f>
        <v/>
      </c>
      <c r="AL389" s="15">
        <f>NORM.S.INV(RAND())</f>
        <v/>
      </c>
      <c r="AM389" s="15">
        <f>IF('组合输入'!$C9="","",'组合输入'!$H9*$B389+SQRT(1-'组合输入'!$H9^2)*AL389)</f>
        <v/>
      </c>
      <c r="AN389" s="7">
        <f>IF(AM389="","",NORM.S.DIST(AM389,TRUE))</f>
        <v/>
      </c>
      <c r="AO389" s="13">
        <f>IF(AN389="","",IF(AN389&lt;='组合输入'!$K9,"AAA",IF(AN389&lt;='组合输入'!$L9,"AA",IF(AN389&lt;='组合输入'!$M9,"A",IF(AN389&lt;='组合输入'!$N9,"BBB",IF(AN389&lt;='组合输入'!$O9,"BB",IF(AN389&lt;='组合输入'!$P9,"B",IF(AN389&lt;='组合输入'!$Q9,"CCC","D")))))))</f>
        <v/>
      </c>
      <c r="AP389" s="12">
        <f>IF(AO389="","",INDEX('状态价值'!$D9:$K9,MATCH(AO389,'状态价值'!$D$1:$K$1,0)))</f>
        <v/>
      </c>
      <c r="AQ389" s="15">
        <f>NORM.S.INV(RAND())</f>
        <v/>
      </c>
      <c r="AR389" s="15">
        <f>IF('组合输入'!$C10="","",'组合输入'!$H10*$B389+SQRT(1-'组合输入'!$H10^2)*AQ389)</f>
        <v/>
      </c>
      <c r="AS389" s="7">
        <f>IF(AR389="","",NORM.S.DIST(AR389,TRUE))</f>
        <v/>
      </c>
      <c r="AT389" s="13">
        <f>IF(AS389="","",IF(AS389&lt;='组合输入'!$K10,"AAA",IF(AS389&lt;='组合输入'!$L10,"AA",IF(AS389&lt;='组合输入'!$M10,"A",IF(AS389&lt;='组合输入'!$N10,"BBB",IF(AS389&lt;='组合输入'!$O10,"BB",IF(AS389&lt;='组合输入'!$P10,"B",IF(AS389&lt;='组合输入'!$Q10,"CCC","D")))))))</f>
        <v/>
      </c>
      <c r="AU389" s="12">
        <f>IF(AT389="","",INDEX('状态价值'!$D10:$K10,MATCH(AT389,'状态价值'!$D$1:$K$1,0)))</f>
        <v/>
      </c>
      <c r="AV389" s="15">
        <f>NORM.S.INV(RAND())</f>
        <v/>
      </c>
      <c r="AW389" s="15">
        <f>IF('组合输入'!$C11="","",'组合输入'!$H11*$B389+SQRT(1-'组合输入'!$H11^2)*AV389)</f>
        <v/>
      </c>
      <c r="AX389" s="7">
        <f>IF(AW389="","",NORM.S.DIST(AW389,TRUE))</f>
        <v/>
      </c>
      <c r="AY389" s="13">
        <f>IF(AX389="","",IF(AX389&lt;='组合输入'!$K11,"AAA",IF(AX389&lt;='组合输入'!$L11,"AA",IF(AX389&lt;='组合输入'!$M11,"A",IF(AX389&lt;='组合输入'!$N11,"BBB",IF(AX389&lt;='组合输入'!$O11,"BB",IF(AX389&lt;='组合输入'!$P11,"B",IF(AX389&lt;='组合输入'!$Q11,"CCC","D")))))))</f>
        <v/>
      </c>
      <c r="AZ389" s="12">
        <f>IF(AY389="","",INDEX('状态价值'!$D11:$K11,MATCH(AY389,'状态价值'!$D$1:$K$1,0)))</f>
        <v/>
      </c>
      <c r="BA389" s="12">
        <f>G389+L389+Q389+V389+AA389+AF389+AK389+AP389+AU389+AZ389</f>
        <v/>
      </c>
      <c r="BB389" s="12">
        <f>SUM('组合输入'!$J$2:$J$11)-BA389</f>
        <v/>
      </c>
    </row>
    <row r="390">
      <c r="A390" s="11" t="n">
        <v>389</v>
      </c>
      <c r="B390" s="14">
        <f>NORM.S.INV(RAND())</f>
        <v/>
      </c>
      <c r="C390" s="14">
        <f>NORM.S.INV(RAND())</f>
        <v/>
      </c>
      <c r="D390" s="15">
        <f>IF('组合输入'!$C2="","",'组合输入'!$H2*$B390+SQRT(1-'组合输入'!$H2^2)*C390)</f>
        <v/>
      </c>
      <c r="E390" s="7">
        <f>IF(D390="","",NORM.S.DIST(D390,TRUE))</f>
        <v/>
      </c>
      <c r="F390" s="13">
        <f>IF(E390="","",IF(E390&lt;='组合输入'!$K2,"AAA",IF(E390&lt;='组合输入'!$L2,"AA",IF(E390&lt;='组合输入'!$M2,"A",IF(E390&lt;='组合输入'!$N2,"BBB",IF(E390&lt;='组合输入'!$O2,"BB",IF(E390&lt;='组合输入'!$P2,"B",IF(E390&lt;='组合输入'!$Q2,"CCC","D")))))))</f>
        <v/>
      </c>
      <c r="G390" s="12">
        <f>IF(F390="","",INDEX('状态价值'!$D2:$K2,MATCH(F390,'状态价值'!$D$1:$K$1,0)))</f>
        <v/>
      </c>
      <c r="H390" s="15">
        <f>NORM.S.INV(RAND())</f>
        <v/>
      </c>
      <c r="I390" s="15">
        <f>IF('组合输入'!$C3="","",'组合输入'!$H3*$B390+SQRT(1-'组合输入'!$H3^2)*H390)</f>
        <v/>
      </c>
      <c r="J390" s="7">
        <f>IF(I390="","",NORM.S.DIST(I390,TRUE))</f>
        <v/>
      </c>
      <c r="K390" s="13">
        <f>IF(J390="","",IF(J390&lt;='组合输入'!$K3,"AAA",IF(J390&lt;='组合输入'!$L3,"AA",IF(J390&lt;='组合输入'!$M3,"A",IF(J390&lt;='组合输入'!$N3,"BBB",IF(J390&lt;='组合输入'!$O3,"BB",IF(J390&lt;='组合输入'!$P3,"B",IF(J390&lt;='组合输入'!$Q3,"CCC","D")))))))</f>
        <v/>
      </c>
      <c r="L390" s="12">
        <f>IF(K390="","",INDEX('状态价值'!$D3:$K3,MATCH(K390,'状态价值'!$D$1:$K$1,0)))</f>
        <v/>
      </c>
      <c r="M390" s="15">
        <f>NORM.S.INV(RAND())</f>
        <v/>
      </c>
      <c r="N390" s="15">
        <f>IF('组合输入'!$C4="","",'组合输入'!$H4*$B390+SQRT(1-'组合输入'!$H4^2)*M390)</f>
        <v/>
      </c>
      <c r="O390" s="7">
        <f>IF(N390="","",NORM.S.DIST(N390,TRUE))</f>
        <v/>
      </c>
      <c r="P390" s="13">
        <f>IF(O390="","",IF(O390&lt;='组合输入'!$K4,"AAA",IF(O390&lt;='组合输入'!$L4,"AA",IF(O390&lt;='组合输入'!$M4,"A",IF(O390&lt;='组合输入'!$N4,"BBB",IF(O390&lt;='组合输入'!$O4,"BB",IF(O390&lt;='组合输入'!$P4,"B",IF(O390&lt;='组合输入'!$Q4,"CCC","D")))))))</f>
        <v/>
      </c>
      <c r="Q390" s="12">
        <f>IF(P390="","",INDEX('状态价值'!$D4:$K4,MATCH(P390,'状态价值'!$D$1:$K$1,0)))</f>
        <v/>
      </c>
      <c r="R390" s="15">
        <f>NORM.S.INV(RAND())</f>
        <v/>
      </c>
      <c r="S390" s="15">
        <f>IF('组合输入'!$C5="","",'组合输入'!$H5*$B390+SQRT(1-'组合输入'!$H5^2)*R390)</f>
        <v/>
      </c>
      <c r="T390" s="7">
        <f>IF(S390="","",NORM.S.DIST(S390,TRUE))</f>
        <v/>
      </c>
      <c r="U390" s="13">
        <f>IF(T390="","",IF(T390&lt;='组合输入'!$K5,"AAA",IF(T390&lt;='组合输入'!$L5,"AA",IF(T390&lt;='组合输入'!$M5,"A",IF(T390&lt;='组合输入'!$N5,"BBB",IF(T390&lt;='组合输入'!$O5,"BB",IF(T390&lt;='组合输入'!$P5,"B",IF(T390&lt;='组合输入'!$Q5,"CCC","D")))))))</f>
        <v/>
      </c>
      <c r="V390" s="12">
        <f>IF(U390="","",INDEX('状态价值'!$D5:$K5,MATCH(U390,'状态价值'!$D$1:$K$1,0)))</f>
        <v/>
      </c>
      <c r="W390" s="15">
        <f>NORM.S.INV(RAND())</f>
        <v/>
      </c>
      <c r="X390" s="15">
        <f>IF('组合输入'!$C6="","",'组合输入'!$H6*$B390+SQRT(1-'组合输入'!$H6^2)*W390)</f>
        <v/>
      </c>
      <c r="Y390" s="7">
        <f>IF(X390="","",NORM.S.DIST(X390,TRUE))</f>
        <v/>
      </c>
      <c r="Z390" s="13">
        <f>IF(Y390="","",IF(Y390&lt;='组合输入'!$K6,"AAA",IF(Y390&lt;='组合输入'!$L6,"AA",IF(Y390&lt;='组合输入'!$M6,"A",IF(Y390&lt;='组合输入'!$N6,"BBB",IF(Y390&lt;='组合输入'!$O6,"BB",IF(Y390&lt;='组合输入'!$P6,"B",IF(Y390&lt;='组合输入'!$Q6,"CCC","D")))))))</f>
        <v/>
      </c>
      <c r="AA390" s="12">
        <f>IF(Z390="","",INDEX('状态价值'!$D6:$K6,MATCH(Z390,'状态价值'!$D$1:$K$1,0)))</f>
        <v/>
      </c>
      <c r="AB390" s="15">
        <f>NORM.S.INV(RAND())</f>
        <v/>
      </c>
      <c r="AC390" s="15">
        <f>IF('组合输入'!$C7="","",'组合输入'!$H7*$B390+SQRT(1-'组合输入'!$H7^2)*AB390)</f>
        <v/>
      </c>
      <c r="AD390" s="7">
        <f>IF(AC390="","",NORM.S.DIST(AC390,TRUE))</f>
        <v/>
      </c>
      <c r="AE390" s="13">
        <f>IF(AD390="","",IF(AD390&lt;='组合输入'!$K7,"AAA",IF(AD390&lt;='组合输入'!$L7,"AA",IF(AD390&lt;='组合输入'!$M7,"A",IF(AD390&lt;='组合输入'!$N7,"BBB",IF(AD390&lt;='组合输入'!$O7,"BB",IF(AD390&lt;='组合输入'!$P7,"B",IF(AD390&lt;='组合输入'!$Q7,"CCC","D")))))))</f>
        <v/>
      </c>
      <c r="AF390" s="12">
        <f>IF(AE390="","",INDEX('状态价值'!$D7:$K7,MATCH(AE390,'状态价值'!$D$1:$K$1,0)))</f>
        <v/>
      </c>
      <c r="AG390" s="15">
        <f>NORM.S.INV(RAND())</f>
        <v/>
      </c>
      <c r="AH390" s="15">
        <f>IF('组合输入'!$C8="","",'组合输入'!$H8*$B390+SQRT(1-'组合输入'!$H8^2)*AG390)</f>
        <v/>
      </c>
      <c r="AI390" s="7">
        <f>IF(AH390="","",NORM.S.DIST(AH390,TRUE))</f>
        <v/>
      </c>
      <c r="AJ390" s="13">
        <f>IF(AI390="","",IF(AI390&lt;='组合输入'!$K8,"AAA",IF(AI390&lt;='组合输入'!$L8,"AA",IF(AI390&lt;='组合输入'!$M8,"A",IF(AI390&lt;='组合输入'!$N8,"BBB",IF(AI390&lt;='组合输入'!$O8,"BB",IF(AI390&lt;='组合输入'!$P8,"B",IF(AI390&lt;='组合输入'!$Q8,"CCC","D")))))))</f>
        <v/>
      </c>
      <c r="AK390" s="12">
        <f>IF(AJ390="","",INDEX('状态价值'!$D8:$K8,MATCH(AJ390,'状态价值'!$D$1:$K$1,0)))</f>
        <v/>
      </c>
      <c r="AL390" s="15">
        <f>NORM.S.INV(RAND())</f>
        <v/>
      </c>
      <c r="AM390" s="15">
        <f>IF('组合输入'!$C9="","",'组合输入'!$H9*$B390+SQRT(1-'组合输入'!$H9^2)*AL390)</f>
        <v/>
      </c>
      <c r="AN390" s="7">
        <f>IF(AM390="","",NORM.S.DIST(AM390,TRUE))</f>
        <v/>
      </c>
      <c r="AO390" s="13">
        <f>IF(AN390="","",IF(AN390&lt;='组合输入'!$K9,"AAA",IF(AN390&lt;='组合输入'!$L9,"AA",IF(AN390&lt;='组合输入'!$M9,"A",IF(AN390&lt;='组合输入'!$N9,"BBB",IF(AN390&lt;='组合输入'!$O9,"BB",IF(AN390&lt;='组合输入'!$P9,"B",IF(AN390&lt;='组合输入'!$Q9,"CCC","D")))))))</f>
        <v/>
      </c>
      <c r="AP390" s="12">
        <f>IF(AO390="","",INDEX('状态价值'!$D9:$K9,MATCH(AO390,'状态价值'!$D$1:$K$1,0)))</f>
        <v/>
      </c>
      <c r="AQ390" s="15">
        <f>NORM.S.INV(RAND())</f>
        <v/>
      </c>
      <c r="AR390" s="15">
        <f>IF('组合输入'!$C10="","",'组合输入'!$H10*$B390+SQRT(1-'组合输入'!$H10^2)*AQ390)</f>
        <v/>
      </c>
      <c r="AS390" s="7">
        <f>IF(AR390="","",NORM.S.DIST(AR390,TRUE))</f>
        <v/>
      </c>
      <c r="AT390" s="13">
        <f>IF(AS390="","",IF(AS390&lt;='组合输入'!$K10,"AAA",IF(AS390&lt;='组合输入'!$L10,"AA",IF(AS390&lt;='组合输入'!$M10,"A",IF(AS390&lt;='组合输入'!$N10,"BBB",IF(AS390&lt;='组合输入'!$O10,"BB",IF(AS390&lt;='组合输入'!$P10,"B",IF(AS390&lt;='组合输入'!$Q10,"CCC","D")))))))</f>
        <v/>
      </c>
      <c r="AU390" s="12">
        <f>IF(AT390="","",INDEX('状态价值'!$D10:$K10,MATCH(AT390,'状态价值'!$D$1:$K$1,0)))</f>
        <v/>
      </c>
      <c r="AV390" s="15">
        <f>NORM.S.INV(RAND())</f>
        <v/>
      </c>
      <c r="AW390" s="15">
        <f>IF('组合输入'!$C11="","",'组合输入'!$H11*$B390+SQRT(1-'组合输入'!$H11^2)*AV390)</f>
        <v/>
      </c>
      <c r="AX390" s="7">
        <f>IF(AW390="","",NORM.S.DIST(AW390,TRUE))</f>
        <v/>
      </c>
      <c r="AY390" s="13">
        <f>IF(AX390="","",IF(AX390&lt;='组合输入'!$K11,"AAA",IF(AX390&lt;='组合输入'!$L11,"AA",IF(AX390&lt;='组合输入'!$M11,"A",IF(AX390&lt;='组合输入'!$N11,"BBB",IF(AX390&lt;='组合输入'!$O11,"BB",IF(AX390&lt;='组合输入'!$P11,"B",IF(AX390&lt;='组合输入'!$Q11,"CCC","D")))))))</f>
        <v/>
      </c>
      <c r="AZ390" s="12">
        <f>IF(AY390="","",INDEX('状态价值'!$D11:$K11,MATCH(AY390,'状态价值'!$D$1:$K$1,0)))</f>
        <v/>
      </c>
      <c r="BA390" s="12">
        <f>G390+L390+Q390+V390+AA390+AF390+AK390+AP390+AU390+AZ390</f>
        <v/>
      </c>
      <c r="BB390" s="12">
        <f>SUM('组合输入'!$J$2:$J$11)-BA390</f>
        <v/>
      </c>
    </row>
    <row r="391">
      <c r="A391" s="11" t="n">
        <v>390</v>
      </c>
      <c r="B391" s="14">
        <f>NORM.S.INV(RAND())</f>
        <v/>
      </c>
      <c r="C391" s="14">
        <f>NORM.S.INV(RAND())</f>
        <v/>
      </c>
      <c r="D391" s="15">
        <f>IF('组合输入'!$C2="","",'组合输入'!$H2*$B391+SQRT(1-'组合输入'!$H2^2)*C391)</f>
        <v/>
      </c>
      <c r="E391" s="7">
        <f>IF(D391="","",NORM.S.DIST(D391,TRUE))</f>
        <v/>
      </c>
      <c r="F391" s="13">
        <f>IF(E391="","",IF(E391&lt;='组合输入'!$K2,"AAA",IF(E391&lt;='组合输入'!$L2,"AA",IF(E391&lt;='组合输入'!$M2,"A",IF(E391&lt;='组合输入'!$N2,"BBB",IF(E391&lt;='组合输入'!$O2,"BB",IF(E391&lt;='组合输入'!$P2,"B",IF(E391&lt;='组合输入'!$Q2,"CCC","D")))))))</f>
        <v/>
      </c>
      <c r="G391" s="12">
        <f>IF(F391="","",INDEX('状态价值'!$D2:$K2,MATCH(F391,'状态价值'!$D$1:$K$1,0)))</f>
        <v/>
      </c>
      <c r="H391" s="15">
        <f>NORM.S.INV(RAND())</f>
        <v/>
      </c>
      <c r="I391" s="15">
        <f>IF('组合输入'!$C3="","",'组合输入'!$H3*$B391+SQRT(1-'组合输入'!$H3^2)*H391)</f>
        <v/>
      </c>
      <c r="J391" s="7">
        <f>IF(I391="","",NORM.S.DIST(I391,TRUE))</f>
        <v/>
      </c>
      <c r="K391" s="13">
        <f>IF(J391="","",IF(J391&lt;='组合输入'!$K3,"AAA",IF(J391&lt;='组合输入'!$L3,"AA",IF(J391&lt;='组合输入'!$M3,"A",IF(J391&lt;='组合输入'!$N3,"BBB",IF(J391&lt;='组合输入'!$O3,"BB",IF(J391&lt;='组合输入'!$P3,"B",IF(J391&lt;='组合输入'!$Q3,"CCC","D")))))))</f>
        <v/>
      </c>
      <c r="L391" s="12">
        <f>IF(K391="","",INDEX('状态价值'!$D3:$K3,MATCH(K391,'状态价值'!$D$1:$K$1,0)))</f>
        <v/>
      </c>
      <c r="M391" s="15">
        <f>NORM.S.INV(RAND())</f>
        <v/>
      </c>
      <c r="N391" s="15">
        <f>IF('组合输入'!$C4="","",'组合输入'!$H4*$B391+SQRT(1-'组合输入'!$H4^2)*M391)</f>
        <v/>
      </c>
      <c r="O391" s="7">
        <f>IF(N391="","",NORM.S.DIST(N391,TRUE))</f>
        <v/>
      </c>
      <c r="P391" s="13">
        <f>IF(O391="","",IF(O391&lt;='组合输入'!$K4,"AAA",IF(O391&lt;='组合输入'!$L4,"AA",IF(O391&lt;='组合输入'!$M4,"A",IF(O391&lt;='组合输入'!$N4,"BBB",IF(O391&lt;='组合输入'!$O4,"BB",IF(O391&lt;='组合输入'!$P4,"B",IF(O391&lt;='组合输入'!$Q4,"CCC","D")))))))</f>
        <v/>
      </c>
      <c r="Q391" s="12">
        <f>IF(P391="","",INDEX('状态价值'!$D4:$K4,MATCH(P391,'状态价值'!$D$1:$K$1,0)))</f>
        <v/>
      </c>
      <c r="R391" s="15">
        <f>NORM.S.INV(RAND())</f>
        <v/>
      </c>
      <c r="S391" s="15">
        <f>IF('组合输入'!$C5="","",'组合输入'!$H5*$B391+SQRT(1-'组合输入'!$H5^2)*R391)</f>
        <v/>
      </c>
      <c r="T391" s="7">
        <f>IF(S391="","",NORM.S.DIST(S391,TRUE))</f>
        <v/>
      </c>
      <c r="U391" s="13">
        <f>IF(T391="","",IF(T391&lt;='组合输入'!$K5,"AAA",IF(T391&lt;='组合输入'!$L5,"AA",IF(T391&lt;='组合输入'!$M5,"A",IF(T391&lt;='组合输入'!$N5,"BBB",IF(T391&lt;='组合输入'!$O5,"BB",IF(T391&lt;='组合输入'!$P5,"B",IF(T391&lt;='组合输入'!$Q5,"CCC","D")))))))</f>
        <v/>
      </c>
      <c r="V391" s="12">
        <f>IF(U391="","",INDEX('状态价值'!$D5:$K5,MATCH(U391,'状态价值'!$D$1:$K$1,0)))</f>
        <v/>
      </c>
      <c r="W391" s="15">
        <f>NORM.S.INV(RAND())</f>
        <v/>
      </c>
      <c r="X391" s="15">
        <f>IF('组合输入'!$C6="","",'组合输入'!$H6*$B391+SQRT(1-'组合输入'!$H6^2)*W391)</f>
        <v/>
      </c>
      <c r="Y391" s="7">
        <f>IF(X391="","",NORM.S.DIST(X391,TRUE))</f>
        <v/>
      </c>
      <c r="Z391" s="13">
        <f>IF(Y391="","",IF(Y391&lt;='组合输入'!$K6,"AAA",IF(Y391&lt;='组合输入'!$L6,"AA",IF(Y391&lt;='组合输入'!$M6,"A",IF(Y391&lt;='组合输入'!$N6,"BBB",IF(Y391&lt;='组合输入'!$O6,"BB",IF(Y391&lt;='组合输入'!$P6,"B",IF(Y391&lt;='组合输入'!$Q6,"CCC","D")))))))</f>
        <v/>
      </c>
      <c r="AA391" s="12">
        <f>IF(Z391="","",INDEX('状态价值'!$D6:$K6,MATCH(Z391,'状态价值'!$D$1:$K$1,0)))</f>
        <v/>
      </c>
      <c r="AB391" s="15">
        <f>NORM.S.INV(RAND())</f>
        <v/>
      </c>
      <c r="AC391" s="15">
        <f>IF('组合输入'!$C7="","",'组合输入'!$H7*$B391+SQRT(1-'组合输入'!$H7^2)*AB391)</f>
        <v/>
      </c>
      <c r="AD391" s="7">
        <f>IF(AC391="","",NORM.S.DIST(AC391,TRUE))</f>
        <v/>
      </c>
      <c r="AE391" s="13">
        <f>IF(AD391="","",IF(AD391&lt;='组合输入'!$K7,"AAA",IF(AD391&lt;='组合输入'!$L7,"AA",IF(AD391&lt;='组合输入'!$M7,"A",IF(AD391&lt;='组合输入'!$N7,"BBB",IF(AD391&lt;='组合输入'!$O7,"BB",IF(AD391&lt;='组合输入'!$P7,"B",IF(AD391&lt;='组合输入'!$Q7,"CCC","D")))))))</f>
        <v/>
      </c>
      <c r="AF391" s="12">
        <f>IF(AE391="","",INDEX('状态价值'!$D7:$K7,MATCH(AE391,'状态价值'!$D$1:$K$1,0)))</f>
        <v/>
      </c>
      <c r="AG391" s="15">
        <f>NORM.S.INV(RAND())</f>
        <v/>
      </c>
      <c r="AH391" s="15">
        <f>IF('组合输入'!$C8="","",'组合输入'!$H8*$B391+SQRT(1-'组合输入'!$H8^2)*AG391)</f>
        <v/>
      </c>
      <c r="AI391" s="7">
        <f>IF(AH391="","",NORM.S.DIST(AH391,TRUE))</f>
        <v/>
      </c>
      <c r="AJ391" s="13">
        <f>IF(AI391="","",IF(AI391&lt;='组合输入'!$K8,"AAA",IF(AI391&lt;='组合输入'!$L8,"AA",IF(AI391&lt;='组合输入'!$M8,"A",IF(AI391&lt;='组合输入'!$N8,"BBB",IF(AI391&lt;='组合输入'!$O8,"BB",IF(AI391&lt;='组合输入'!$P8,"B",IF(AI391&lt;='组合输入'!$Q8,"CCC","D")))))))</f>
        <v/>
      </c>
      <c r="AK391" s="12">
        <f>IF(AJ391="","",INDEX('状态价值'!$D8:$K8,MATCH(AJ391,'状态价值'!$D$1:$K$1,0)))</f>
        <v/>
      </c>
      <c r="AL391" s="15">
        <f>NORM.S.INV(RAND())</f>
        <v/>
      </c>
      <c r="AM391" s="15">
        <f>IF('组合输入'!$C9="","",'组合输入'!$H9*$B391+SQRT(1-'组合输入'!$H9^2)*AL391)</f>
        <v/>
      </c>
      <c r="AN391" s="7">
        <f>IF(AM391="","",NORM.S.DIST(AM391,TRUE))</f>
        <v/>
      </c>
      <c r="AO391" s="13">
        <f>IF(AN391="","",IF(AN391&lt;='组合输入'!$K9,"AAA",IF(AN391&lt;='组合输入'!$L9,"AA",IF(AN391&lt;='组合输入'!$M9,"A",IF(AN391&lt;='组合输入'!$N9,"BBB",IF(AN391&lt;='组合输入'!$O9,"BB",IF(AN391&lt;='组合输入'!$P9,"B",IF(AN391&lt;='组合输入'!$Q9,"CCC","D")))))))</f>
        <v/>
      </c>
      <c r="AP391" s="12">
        <f>IF(AO391="","",INDEX('状态价值'!$D9:$K9,MATCH(AO391,'状态价值'!$D$1:$K$1,0)))</f>
        <v/>
      </c>
      <c r="AQ391" s="15">
        <f>NORM.S.INV(RAND())</f>
        <v/>
      </c>
      <c r="AR391" s="15">
        <f>IF('组合输入'!$C10="","",'组合输入'!$H10*$B391+SQRT(1-'组合输入'!$H10^2)*AQ391)</f>
        <v/>
      </c>
      <c r="AS391" s="7">
        <f>IF(AR391="","",NORM.S.DIST(AR391,TRUE))</f>
        <v/>
      </c>
      <c r="AT391" s="13">
        <f>IF(AS391="","",IF(AS391&lt;='组合输入'!$K10,"AAA",IF(AS391&lt;='组合输入'!$L10,"AA",IF(AS391&lt;='组合输入'!$M10,"A",IF(AS391&lt;='组合输入'!$N10,"BBB",IF(AS391&lt;='组合输入'!$O10,"BB",IF(AS391&lt;='组合输入'!$P10,"B",IF(AS391&lt;='组合输入'!$Q10,"CCC","D")))))))</f>
        <v/>
      </c>
      <c r="AU391" s="12">
        <f>IF(AT391="","",INDEX('状态价值'!$D10:$K10,MATCH(AT391,'状态价值'!$D$1:$K$1,0)))</f>
        <v/>
      </c>
      <c r="AV391" s="15">
        <f>NORM.S.INV(RAND())</f>
        <v/>
      </c>
      <c r="AW391" s="15">
        <f>IF('组合输入'!$C11="","",'组合输入'!$H11*$B391+SQRT(1-'组合输入'!$H11^2)*AV391)</f>
        <v/>
      </c>
      <c r="AX391" s="7">
        <f>IF(AW391="","",NORM.S.DIST(AW391,TRUE))</f>
        <v/>
      </c>
      <c r="AY391" s="13">
        <f>IF(AX391="","",IF(AX391&lt;='组合输入'!$K11,"AAA",IF(AX391&lt;='组合输入'!$L11,"AA",IF(AX391&lt;='组合输入'!$M11,"A",IF(AX391&lt;='组合输入'!$N11,"BBB",IF(AX391&lt;='组合输入'!$O11,"BB",IF(AX391&lt;='组合输入'!$P11,"B",IF(AX391&lt;='组合输入'!$Q11,"CCC","D")))))))</f>
        <v/>
      </c>
      <c r="AZ391" s="12">
        <f>IF(AY391="","",INDEX('状态价值'!$D11:$K11,MATCH(AY391,'状态价值'!$D$1:$K$1,0)))</f>
        <v/>
      </c>
      <c r="BA391" s="12">
        <f>G391+L391+Q391+V391+AA391+AF391+AK391+AP391+AU391+AZ391</f>
        <v/>
      </c>
      <c r="BB391" s="12">
        <f>SUM('组合输入'!$J$2:$J$11)-BA391</f>
        <v/>
      </c>
    </row>
    <row r="392">
      <c r="A392" s="11" t="n">
        <v>391</v>
      </c>
      <c r="B392" s="14">
        <f>NORM.S.INV(RAND())</f>
        <v/>
      </c>
      <c r="C392" s="14">
        <f>NORM.S.INV(RAND())</f>
        <v/>
      </c>
      <c r="D392" s="15">
        <f>IF('组合输入'!$C2="","",'组合输入'!$H2*$B392+SQRT(1-'组合输入'!$H2^2)*C392)</f>
        <v/>
      </c>
      <c r="E392" s="7">
        <f>IF(D392="","",NORM.S.DIST(D392,TRUE))</f>
        <v/>
      </c>
      <c r="F392" s="13">
        <f>IF(E392="","",IF(E392&lt;='组合输入'!$K2,"AAA",IF(E392&lt;='组合输入'!$L2,"AA",IF(E392&lt;='组合输入'!$M2,"A",IF(E392&lt;='组合输入'!$N2,"BBB",IF(E392&lt;='组合输入'!$O2,"BB",IF(E392&lt;='组合输入'!$P2,"B",IF(E392&lt;='组合输入'!$Q2,"CCC","D")))))))</f>
        <v/>
      </c>
      <c r="G392" s="12">
        <f>IF(F392="","",INDEX('状态价值'!$D2:$K2,MATCH(F392,'状态价值'!$D$1:$K$1,0)))</f>
        <v/>
      </c>
      <c r="H392" s="15">
        <f>NORM.S.INV(RAND())</f>
        <v/>
      </c>
      <c r="I392" s="15">
        <f>IF('组合输入'!$C3="","",'组合输入'!$H3*$B392+SQRT(1-'组合输入'!$H3^2)*H392)</f>
        <v/>
      </c>
      <c r="J392" s="7">
        <f>IF(I392="","",NORM.S.DIST(I392,TRUE))</f>
        <v/>
      </c>
      <c r="K392" s="13">
        <f>IF(J392="","",IF(J392&lt;='组合输入'!$K3,"AAA",IF(J392&lt;='组合输入'!$L3,"AA",IF(J392&lt;='组合输入'!$M3,"A",IF(J392&lt;='组合输入'!$N3,"BBB",IF(J392&lt;='组合输入'!$O3,"BB",IF(J392&lt;='组合输入'!$P3,"B",IF(J392&lt;='组合输入'!$Q3,"CCC","D")))))))</f>
        <v/>
      </c>
      <c r="L392" s="12">
        <f>IF(K392="","",INDEX('状态价值'!$D3:$K3,MATCH(K392,'状态价值'!$D$1:$K$1,0)))</f>
        <v/>
      </c>
      <c r="M392" s="15">
        <f>NORM.S.INV(RAND())</f>
        <v/>
      </c>
      <c r="N392" s="15">
        <f>IF('组合输入'!$C4="","",'组合输入'!$H4*$B392+SQRT(1-'组合输入'!$H4^2)*M392)</f>
        <v/>
      </c>
      <c r="O392" s="7">
        <f>IF(N392="","",NORM.S.DIST(N392,TRUE))</f>
        <v/>
      </c>
      <c r="P392" s="13">
        <f>IF(O392="","",IF(O392&lt;='组合输入'!$K4,"AAA",IF(O392&lt;='组合输入'!$L4,"AA",IF(O392&lt;='组合输入'!$M4,"A",IF(O392&lt;='组合输入'!$N4,"BBB",IF(O392&lt;='组合输入'!$O4,"BB",IF(O392&lt;='组合输入'!$P4,"B",IF(O392&lt;='组合输入'!$Q4,"CCC","D")))))))</f>
        <v/>
      </c>
      <c r="Q392" s="12">
        <f>IF(P392="","",INDEX('状态价值'!$D4:$K4,MATCH(P392,'状态价值'!$D$1:$K$1,0)))</f>
        <v/>
      </c>
      <c r="R392" s="15">
        <f>NORM.S.INV(RAND())</f>
        <v/>
      </c>
      <c r="S392" s="15">
        <f>IF('组合输入'!$C5="","",'组合输入'!$H5*$B392+SQRT(1-'组合输入'!$H5^2)*R392)</f>
        <v/>
      </c>
      <c r="T392" s="7">
        <f>IF(S392="","",NORM.S.DIST(S392,TRUE))</f>
        <v/>
      </c>
      <c r="U392" s="13">
        <f>IF(T392="","",IF(T392&lt;='组合输入'!$K5,"AAA",IF(T392&lt;='组合输入'!$L5,"AA",IF(T392&lt;='组合输入'!$M5,"A",IF(T392&lt;='组合输入'!$N5,"BBB",IF(T392&lt;='组合输入'!$O5,"BB",IF(T392&lt;='组合输入'!$P5,"B",IF(T392&lt;='组合输入'!$Q5,"CCC","D")))))))</f>
        <v/>
      </c>
      <c r="V392" s="12">
        <f>IF(U392="","",INDEX('状态价值'!$D5:$K5,MATCH(U392,'状态价值'!$D$1:$K$1,0)))</f>
        <v/>
      </c>
      <c r="W392" s="15">
        <f>NORM.S.INV(RAND())</f>
        <v/>
      </c>
      <c r="X392" s="15">
        <f>IF('组合输入'!$C6="","",'组合输入'!$H6*$B392+SQRT(1-'组合输入'!$H6^2)*W392)</f>
        <v/>
      </c>
      <c r="Y392" s="7">
        <f>IF(X392="","",NORM.S.DIST(X392,TRUE))</f>
        <v/>
      </c>
      <c r="Z392" s="13">
        <f>IF(Y392="","",IF(Y392&lt;='组合输入'!$K6,"AAA",IF(Y392&lt;='组合输入'!$L6,"AA",IF(Y392&lt;='组合输入'!$M6,"A",IF(Y392&lt;='组合输入'!$N6,"BBB",IF(Y392&lt;='组合输入'!$O6,"BB",IF(Y392&lt;='组合输入'!$P6,"B",IF(Y392&lt;='组合输入'!$Q6,"CCC","D")))))))</f>
        <v/>
      </c>
      <c r="AA392" s="12">
        <f>IF(Z392="","",INDEX('状态价值'!$D6:$K6,MATCH(Z392,'状态价值'!$D$1:$K$1,0)))</f>
        <v/>
      </c>
      <c r="AB392" s="15">
        <f>NORM.S.INV(RAND())</f>
        <v/>
      </c>
      <c r="AC392" s="15">
        <f>IF('组合输入'!$C7="","",'组合输入'!$H7*$B392+SQRT(1-'组合输入'!$H7^2)*AB392)</f>
        <v/>
      </c>
      <c r="AD392" s="7">
        <f>IF(AC392="","",NORM.S.DIST(AC392,TRUE))</f>
        <v/>
      </c>
      <c r="AE392" s="13">
        <f>IF(AD392="","",IF(AD392&lt;='组合输入'!$K7,"AAA",IF(AD392&lt;='组合输入'!$L7,"AA",IF(AD392&lt;='组合输入'!$M7,"A",IF(AD392&lt;='组合输入'!$N7,"BBB",IF(AD392&lt;='组合输入'!$O7,"BB",IF(AD392&lt;='组合输入'!$P7,"B",IF(AD392&lt;='组合输入'!$Q7,"CCC","D")))))))</f>
        <v/>
      </c>
      <c r="AF392" s="12">
        <f>IF(AE392="","",INDEX('状态价值'!$D7:$K7,MATCH(AE392,'状态价值'!$D$1:$K$1,0)))</f>
        <v/>
      </c>
      <c r="AG392" s="15">
        <f>NORM.S.INV(RAND())</f>
        <v/>
      </c>
      <c r="AH392" s="15">
        <f>IF('组合输入'!$C8="","",'组合输入'!$H8*$B392+SQRT(1-'组合输入'!$H8^2)*AG392)</f>
        <v/>
      </c>
      <c r="AI392" s="7">
        <f>IF(AH392="","",NORM.S.DIST(AH392,TRUE))</f>
        <v/>
      </c>
      <c r="AJ392" s="13">
        <f>IF(AI392="","",IF(AI392&lt;='组合输入'!$K8,"AAA",IF(AI392&lt;='组合输入'!$L8,"AA",IF(AI392&lt;='组合输入'!$M8,"A",IF(AI392&lt;='组合输入'!$N8,"BBB",IF(AI392&lt;='组合输入'!$O8,"BB",IF(AI392&lt;='组合输入'!$P8,"B",IF(AI392&lt;='组合输入'!$Q8,"CCC","D")))))))</f>
        <v/>
      </c>
      <c r="AK392" s="12">
        <f>IF(AJ392="","",INDEX('状态价值'!$D8:$K8,MATCH(AJ392,'状态价值'!$D$1:$K$1,0)))</f>
        <v/>
      </c>
      <c r="AL392" s="15">
        <f>NORM.S.INV(RAND())</f>
        <v/>
      </c>
      <c r="AM392" s="15">
        <f>IF('组合输入'!$C9="","",'组合输入'!$H9*$B392+SQRT(1-'组合输入'!$H9^2)*AL392)</f>
        <v/>
      </c>
      <c r="AN392" s="7">
        <f>IF(AM392="","",NORM.S.DIST(AM392,TRUE))</f>
        <v/>
      </c>
      <c r="AO392" s="13">
        <f>IF(AN392="","",IF(AN392&lt;='组合输入'!$K9,"AAA",IF(AN392&lt;='组合输入'!$L9,"AA",IF(AN392&lt;='组合输入'!$M9,"A",IF(AN392&lt;='组合输入'!$N9,"BBB",IF(AN392&lt;='组合输入'!$O9,"BB",IF(AN392&lt;='组合输入'!$P9,"B",IF(AN392&lt;='组合输入'!$Q9,"CCC","D")))))))</f>
        <v/>
      </c>
      <c r="AP392" s="12">
        <f>IF(AO392="","",INDEX('状态价值'!$D9:$K9,MATCH(AO392,'状态价值'!$D$1:$K$1,0)))</f>
        <v/>
      </c>
      <c r="AQ392" s="15">
        <f>NORM.S.INV(RAND())</f>
        <v/>
      </c>
      <c r="AR392" s="15">
        <f>IF('组合输入'!$C10="","",'组合输入'!$H10*$B392+SQRT(1-'组合输入'!$H10^2)*AQ392)</f>
        <v/>
      </c>
      <c r="AS392" s="7">
        <f>IF(AR392="","",NORM.S.DIST(AR392,TRUE))</f>
        <v/>
      </c>
      <c r="AT392" s="13">
        <f>IF(AS392="","",IF(AS392&lt;='组合输入'!$K10,"AAA",IF(AS392&lt;='组合输入'!$L10,"AA",IF(AS392&lt;='组合输入'!$M10,"A",IF(AS392&lt;='组合输入'!$N10,"BBB",IF(AS392&lt;='组合输入'!$O10,"BB",IF(AS392&lt;='组合输入'!$P10,"B",IF(AS392&lt;='组合输入'!$Q10,"CCC","D")))))))</f>
        <v/>
      </c>
      <c r="AU392" s="12">
        <f>IF(AT392="","",INDEX('状态价值'!$D10:$K10,MATCH(AT392,'状态价值'!$D$1:$K$1,0)))</f>
        <v/>
      </c>
      <c r="AV392" s="15">
        <f>NORM.S.INV(RAND())</f>
        <v/>
      </c>
      <c r="AW392" s="15">
        <f>IF('组合输入'!$C11="","",'组合输入'!$H11*$B392+SQRT(1-'组合输入'!$H11^2)*AV392)</f>
        <v/>
      </c>
      <c r="AX392" s="7">
        <f>IF(AW392="","",NORM.S.DIST(AW392,TRUE))</f>
        <v/>
      </c>
      <c r="AY392" s="13">
        <f>IF(AX392="","",IF(AX392&lt;='组合输入'!$K11,"AAA",IF(AX392&lt;='组合输入'!$L11,"AA",IF(AX392&lt;='组合输入'!$M11,"A",IF(AX392&lt;='组合输入'!$N11,"BBB",IF(AX392&lt;='组合输入'!$O11,"BB",IF(AX392&lt;='组合输入'!$P11,"B",IF(AX392&lt;='组合输入'!$Q11,"CCC","D")))))))</f>
        <v/>
      </c>
      <c r="AZ392" s="12">
        <f>IF(AY392="","",INDEX('状态价值'!$D11:$K11,MATCH(AY392,'状态价值'!$D$1:$K$1,0)))</f>
        <v/>
      </c>
      <c r="BA392" s="12">
        <f>G392+L392+Q392+V392+AA392+AF392+AK392+AP392+AU392+AZ392</f>
        <v/>
      </c>
      <c r="BB392" s="12">
        <f>SUM('组合输入'!$J$2:$J$11)-BA392</f>
        <v/>
      </c>
    </row>
    <row r="393">
      <c r="A393" s="11" t="n">
        <v>392</v>
      </c>
      <c r="B393" s="14">
        <f>NORM.S.INV(RAND())</f>
        <v/>
      </c>
      <c r="C393" s="14">
        <f>NORM.S.INV(RAND())</f>
        <v/>
      </c>
      <c r="D393" s="15">
        <f>IF('组合输入'!$C2="","",'组合输入'!$H2*$B393+SQRT(1-'组合输入'!$H2^2)*C393)</f>
        <v/>
      </c>
      <c r="E393" s="7">
        <f>IF(D393="","",NORM.S.DIST(D393,TRUE))</f>
        <v/>
      </c>
      <c r="F393" s="13">
        <f>IF(E393="","",IF(E393&lt;='组合输入'!$K2,"AAA",IF(E393&lt;='组合输入'!$L2,"AA",IF(E393&lt;='组合输入'!$M2,"A",IF(E393&lt;='组合输入'!$N2,"BBB",IF(E393&lt;='组合输入'!$O2,"BB",IF(E393&lt;='组合输入'!$P2,"B",IF(E393&lt;='组合输入'!$Q2,"CCC","D")))))))</f>
        <v/>
      </c>
      <c r="G393" s="12">
        <f>IF(F393="","",INDEX('状态价值'!$D2:$K2,MATCH(F393,'状态价值'!$D$1:$K$1,0)))</f>
        <v/>
      </c>
      <c r="H393" s="15">
        <f>NORM.S.INV(RAND())</f>
        <v/>
      </c>
      <c r="I393" s="15">
        <f>IF('组合输入'!$C3="","",'组合输入'!$H3*$B393+SQRT(1-'组合输入'!$H3^2)*H393)</f>
        <v/>
      </c>
      <c r="J393" s="7">
        <f>IF(I393="","",NORM.S.DIST(I393,TRUE))</f>
        <v/>
      </c>
      <c r="K393" s="13">
        <f>IF(J393="","",IF(J393&lt;='组合输入'!$K3,"AAA",IF(J393&lt;='组合输入'!$L3,"AA",IF(J393&lt;='组合输入'!$M3,"A",IF(J393&lt;='组合输入'!$N3,"BBB",IF(J393&lt;='组合输入'!$O3,"BB",IF(J393&lt;='组合输入'!$P3,"B",IF(J393&lt;='组合输入'!$Q3,"CCC","D")))))))</f>
        <v/>
      </c>
      <c r="L393" s="12">
        <f>IF(K393="","",INDEX('状态价值'!$D3:$K3,MATCH(K393,'状态价值'!$D$1:$K$1,0)))</f>
        <v/>
      </c>
      <c r="M393" s="15">
        <f>NORM.S.INV(RAND())</f>
        <v/>
      </c>
      <c r="N393" s="15">
        <f>IF('组合输入'!$C4="","",'组合输入'!$H4*$B393+SQRT(1-'组合输入'!$H4^2)*M393)</f>
        <v/>
      </c>
      <c r="O393" s="7">
        <f>IF(N393="","",NORM.S.DIST(N393,TRUE))</f>
        <v/>
      </c>
      <c r="P393" s="13">
        <f>IF(O393="","",IF(O393&lt;='组合输入'!$K4,"AAA",IF(O393&lt;='组合输入'!$L4,"AA",IF(O393&lt;='组合输入'!$M4,"A",IF(O393&lt;='组合输入'!$N4,"BBB",IF(O393&lt;='组合输入'!$O4,"BB",IF(O393&lt;='组合输入'!$P4,"B",IF(O393&lt;='组合输入'!$Q4,"CCC","D")))))))</f>
        <v/>
      </c>
      <c r="Q393" s="12">
        <f>IF(P393="","",INDEX('状态价值'!$D4:$K4,MATCH(P393,'状态价值'!$D$1:$K$1,0)))</f>
        <v/>
      </c>
      <c r="R393" s="15">
        <f>NORM.S.INV(RAND())</f>
        <v/>
      </c>
      <c r="S393" s="15">
        <f>IF('组合输入'!$C5="","",'组合输入'!$H5*$B393+SQRT(1-'组合输入'!$H5^2)*R393)</f>
        <v/>
      </c>
      <c r="T393" s="7">
        <f>IF(S393="","",NORM.S.DIST(S393,TRUE))</f>
        <v/>
      </c>
      <c r="U393" s="13">
        <f>IF(T393="","",IF(T393&lt;='组合输入'!$K5,"AAA",IF(T393&lt;='组合输入'!$L5,"AA",IF(T393&lt;='组合输入'!$M5,"A",IF(T393&lt;='组合输入'!$N5,"BBB",IF(T393&lt;='组合输入'!$O5,"BB",IF(T393&lt;='组合输入'!$P5,"B",IF(T393&lt;='组合输入'!$Q5,"CCC","D")))))))</f>
        <v/>
      </c>
      <c r="V393" s="12">
        <f>IF(U393="","",INDEX('状态价值'!$D5:$K5,MATCH(U393,'状态价值'!$D$1:$K$1,0)))</f>
        <v/>
      </c>
      <c r="W393" s="15">
        <f>NORM.S.INV(RAND())</f>
        <v/>
      </c>
      <c r="X393" s="15">
        <f>IF('组合输入'!$C6="","",'组合输入'!$H6*$B393+SQRT(1-'组合输入'!$H6^2)*W393)</f>
        <v/>
      </c>
      <c r="Y393" s="7">
        <f>IF(X393="","",NORM.S.DIST(X393,TRUE))</f>
        <v/>
      </c>
      <c r="Z393" s="13">
        <f>IF(Y393="","",IF(Y393&lt;='组合输入'!$K6,"AAA",IF(Y393&lt;='组合输入'!$L6,"AA",IF(Y393&lt;='组合输入'!$M6,"A",IF(Y393&lt;='组合输入'!$N6,"BBB",IF(Y393&lt;='组合输入'!$O6,"BB",IF(Y393&lt;='组合输入'!$P6,"B",IF(Y393&lt;='组合输入'!$Q6,"CCC","D")))))))</f>
        <v/>
      </c>
      <c r="AA393" s="12">
        <f>IF(Z393="","",INDEX('状态价值'!$D6:$K6,MATCH(Z393,'状态价值'!$D$1:$K$1,0)))</f>
        <v/>
      </c>
      <c r="AB393" s="15">
        <f>NORM.S.INV(RAND())</f>
        <v/>
      </c>
      <c r="AC393" s="15">
        <f>IF('组合输入'!$C7="","",'组合输入'!$H7*$B393+SQRT(1-'组合输入'!$H7^2)*AB393)</f>
        <v/>
      </c>
      <c r="AD393" s="7">
        <f>IF(AC393="","",NORM.S.DIST(AC393,TRUE))</f>
        <v/>
      </c>
      <c r="AE393" s="13">
        <f>IF(AD393="","",IF(AD393&lt;='组合输入'!$K7,"AAA",IF(AD393&lt;='组合输入'!$L7,"AA",IF(AD393&lt;='组合输入'!$M7,"A",IF(AD393&lt;='组合输入'!$N7,"BBB",IF(AD393&lt;='组合输入'!$O7,"BB",IF(AD393&lt;='组合输入'!$P7,"B",IF(AD393&lt;='组合输入'!$Q7,"CCC","D")))))))</f>
        <v/>
      </c>
      <c r="AF393" s="12">
        <f>IF(AE393="","",INDEX('状态价值'!$D7:$K7,MATCH(AE393,'状态价值'!$D$1:$K$1,0)))</f>
        <v/>
      </c>
      <c r="AG393" s="15">
        <f>NORM.S.INV(RAND())</f>
        <v/>
      </c>
      <c r="AH393" s="15">
        <f>IF('组合输入'!$C8="","",'组合输入'!$H8*$B393+SQRT(1-'组合输入'!$H8^2)*AG393)</f>
        <v/>
      </c>
      <c r="AI393" s="7">
        <f>IF(AH393="","",NORM.S.DIST(AH393,TRUE))</f>
        <v/>
      </c>
      <c r="AJ393" s="13">
        <f>IF(AI393="","",IF(AI393&lt;='组合输入'!$K8,"AAA",IF(AI393&lt;='组合输入'!$L8,"AA",IF(AI393&lt;='组合输入'!$M8,"A",IF(AI393&lt;='组合输入'!$N8,"BBB",IF(AI393&lt;='组合输入'!$O8,"BB",IF(AI393&lt;='组合输入'!$P8,"B",IF(AI393&lt;='组合输入'!$Q8,"CCC","D")))))))</f>
        <v/>
      </c>
      <c r="AK393" s="12">
        <f>IF(AJ393="","",INDEX('状态价值'!$D8:$K8,MATCH(AJ393,'状态价值'!$D$1:$K$1,0)))</f>
        <v/>
      </c>
      <c r="AL393" s="15">
        <f>NORM.S.INV(RAND())</f>
        <v/>
      </c>
      <c r="AM393" s="15">
        <f>IF('组合输入'!$C9="","",'组合输入'!$H9*$B393+SQRT(1-'组合输入'!$H9^2)*AL393)</f>
        <v/>
      </c>
      <c r="AN393" s="7">
        <f>IF(AM393="","",NORM.S.DIST(AM393,TRUE))</f>
        <v/>
      </c>
      <c r="AO393" s="13">
        <f>IF(AN393="","",IF(AN393&lt;='组合输入'!$K9,"AAA",IF(AN393&lt;='组合输入'!$L9,"AA",IF(AN393&lt;='组合输入'!$M9,"A",IF(AN393&lt;='组合输入'!$N9,"BBB",IF(AN393&lt;='组合输入'!$O9,"BB",IF(AN393&lt;='组合输入'!$P9,"B",IF(AN393&lt;='组合输入'!$Q9,"CCC","D")))))))</f>
        <v/>
      </c>
      <c r="AP393" s="12">
        <f>IF(AO393="","",INDEX('状态价值'!$D9:$K9,MATCH(AO393,'状态价值'!$D$1:$K$1,0)))</f>
        <v/>
      </c>
      <c r="AQ393" s="15">
        <f>NORM.S.INV(RAND())</f>
        <v/>
      </c>
      <c r="AR393" s="15">
        <f>IF('组合输入'!$C10="","",'组合输入'!$H10*$B393+SQRT(1-'组合输入'!$H10^2)*AQ393)</f>
        <v/>
      </c>
      <c r="AS393" s="7">
        <f>IF(AR393="","",NORM.S.DIST(AR393,TRUE))</f>
        <v/>
      </c>
      <c r="AT393" s="13">
        <f>IF(AS393="","",IF(AS393&lt;='组合输入'!$K10,"AAA",IF(AS393&lt;='组合输入'!$L10,"AA",IF(AS393&lt;='组合输入'!$M10,"A",IF(AS393&lt;='组合输入'!$N10,"BBB",IF(AS393&lt;='组合输入'!$O10,"BB",IF(AS393&lt;='组合输入'!$P10,"B",IF(AS393&lt;='组合输入'!$Q10,"CCC","D")))))))</f>
        <v/>
      </c>
      <c r="AU393" s="12">
        <f>IF(AT393="","",INDEX('状态价值'!$D10:$K10,MATCH(AT393,'状态价值'!$D$1:$K$1,0)))</f>
        <v/>
      </c>
      <c r="AV393" s="15">
        <f>NORM.S.INV(RAND())</f>
        <v/>
      </c>
      <c r="AW393" s="15">
        <f>IF('组合输入'!$C11="","",'组合输入'!$H11*$B393+SQRT(1-'组合输入'!$H11^2)*AV393)</f>
        <v/>
      </c>
      <c r="AX393" s="7">
        <f>IF(AW393="","",NORM.S.DIST(AW393,TRUE))</f>
        <v/>
      </c>
      <c r="AY393" s="13">
        <f>IF(AX393="","",IF(AX393&lt;='组合输入'!$K11,"AAA",IF(AX393&lt;='组合输入'!$L11,"AA",IF(AX393&lt;='组合输入'!$M11,"A",IF(AX393&lt;='组合输入'!$N11,"BBB",IF(AX393&lt;='组合输入'!$O11,"BB",IF(AX393&lt;='组合输入'!$P11,"B",IF(AX393&lt;='组合输入'!$Q11,"CCC","D")))))))</f>
        <v/>
      </c>
      <c r="AZ393" s="12">
        <f>IF(AY393="","",INDEX('状态价值'!$D11:$K11,MATCH(AY393,'状态价值'!$D$1:$K$1,0)))</f>
        <v/>
      </c>
      <c r="BA393" s="12">
        <f>G393+L393+Q393+V393+AA393+AF393+AK393+AP393+AU393+AZ393</f>
        <v/>
      </c>
      <c r="BB393" s="12">
        <f>SUM('组合输入'!$J$2:$J$11)-BA393</f>
        <v/>
      </c>
    </row>
    <row r="394">
      <c r="A394" s="11" t="n">
        <v>393</v>
      </c>
      <c r="B394" s="14">
        <f>NORM.S.INV(RAND())</f>
        <v/>
      </c>
      <c r="C394" s="14">
        <f>NORM.S.INV(RAND())</f>
        <v/>
      </c>
      <c r="D394" s="15">
        <f>IF('组合输入'!$C2="","",'组合输入'!$H2*$B394+SQRT(1-'组合输入'!$H2^2)*C394)</f>
        <v/>
      </c>
      <c r="E394" s="7">
        <f>IF(D394="","",NORM.S.DIST(D394,TRUE))</f>
        <v/>
      </c>
      <c r="F394" s="13">
        <f>IF(E394="","",IF(E394&lt;='组合输入'!$K2,"AAA",IF(E394&lt;='组合输入'!$L2,"AA",IF(E394&lt;='组合输入'!$M2,"A",IF(E394&lt;='组合输入'!$N2,"BBB",IF(E394&lt;='组合输入'!$O2,"BB",IF(E394&lt;='组合输入'!$P2,"B",IF(E394&lt;='组合输入'!$Q2,"CCC","D")))))))</f>
        <v/>
      </c>
      <c r="G394" s="12">
        <f>IF(F394="","",INDEX('状态价值'!$D2:$K2,MATCH(F394,'状态价值'!$D$1:$K$1,0)))</f>
        <v/>
      </c>
      <c r="H394" s="15">
        <f>NORM.S.INV(RAND())</f>
        <v/>
      </c>
      <c r="I394" s="15">
        <f>IF('组合输入'!$C3="","",'组合输入'!$H3*$B394+SQRT(1-'组合输入'!$H3^2)*H394)</f>
        <v/>
      </c>
      <c r="J394" s="7">
        <f>IF(I394="","",NORM.S.DIST(I394,TRUE))</f>
        <v/>
      </c>
      <c r="K394" s="13">
        <f>IF(J394="","",IF(J394&lt;='组合输入'!$K3,"AAA",IF(J394&lt;='组合输入'!$L3,"AA",IF(J394&lt;='组合输入'!$M3,"A",IF(J394&lt;='组合输入'!$N3,"BBB",IF(J394&lt;='组合输入'!$O3,"BB",IF(J394&lt;='组合输入'!$P3,"B",IF(J394&lt;='组合输入'!$Q3,"CCC","D")))))))</f>
        <v/>
      </c>
      <c r="L394" s="12">
        <f>IF(K394="","",INDEX('状态价值'!$D3:$K3,MATCH(K394,'状态价值'!$D$1:$K$1,0)))</f>
        <v/>
      </c>
      <c r="M394" s="15">
        <f>NORM.S.INV(RAND())</f>
        <v/>
      </c>
      <c r="N394" s="15">
        <f>IF('组合输入'!$C4="","",'组合输入'!$H4*$B394+SQRT(1-'组合输入'!$H4^2)*M394)</f>
        <v/>
      </c>
      <c r="O394" s="7">
        <f>IF(N394="","",NORM.S.DIST(N394,TRUE))</f>
        <v/>
      </c>
      <c r="P394" s="13">
        <f>IF(O394="","",IF(O394&lt;='组合输入'!$K4,"AAA",IF(O394&lt;='组合输入'!$L4,"AA",IF(O394&lt;='组合输入'!$M4,"A",IF(O394&lt;='组合输入'!$N4,"BBB",IF(O394&lt;='组合输入'!$O4,"BB",IF(O394&lt;='组合输入'!$P4,"B",IF(O394&lt;='组合输入'!$Q4,"CCC","D")))))))</f>
        <v/>
      </c>
      <c r="Q394" s="12">
        <f>IF(P394="","",INDEX('状态价值'!$D4:$K4,MATCH(P394,'状态价值'!$D$1:$K$1,0)))</f>
        <v/>
      </c>
      <c r="R394" s="15">
        <f>NORM.S.INV(RAND())</f>
        <v/>
      </c>
      <c r="S394" s="15">
        <f>IF('组合输入'!$C5="","",'组合输入'!$H5*$B394+SQRT(1-'组合输入'!$H5^2)*R394)</f>
        <v/>
      </c>
      <c r="T394" s="7">
        <f>IF(S394="","",NORM.S.DIST(S394,TRUE))</f>
        <v/>
      </c>
      <c r="U394" s="13">
        <f>IF(T394="","",IF(T394&lt;='组合输入'!$K5,"AAA",IF(T394&lt;='组合输入'!$L5,"AA",IF(T394&lt;='组合输入'!$M5,"A",IF(T394&lt;='组合输入'!$N5,"BBB",IF(T394&lt;='组合输入'!$O5,"BB",IF(T394&lt;='组合输入'!$P5,"B",IF(T394&lt;='组合输入'!$Q5,"CCC","D")))))))</f>
        <v/>
      </c>
      <c r="V394" s="12">
        <f>IF(U394="","",INDEX('状态价值'!$D5:$K5,MATCH(U394,'状态价值'!$D$1:$K$1,0)))</f>
        <v/>
      </c>
      <c r="W394" s="15">
        <f>NORM.S.INV(RAND())</f>
        <v/>
      </c>
      <c r="X394" s="15">
        <f>IF('组合输入'!$C6="","",'组合输入'!$H6*$B394+SQRT(1-'组合输入'!$H6^2)*W394)</f>
        <v/>
      </c>
      <c r="Y394" s="7">
        <f>IF(X394="","",NORM.S.DIST(X394,TRUE))</f>
        <v/>
      </c>
      <c r="Z394" s="13">
        <f>IF(Y394="","",IF(Y394&lt;='组合输入'!$K6,"AAA",IF(Y394&lt;='组合输入'!$L6,"AA",IF(Y394&lt;='组合输入'!$M6,"A",IF(Y394&lt;='组合输入'!$N6,"BBB",IF(Y394&lt;='组合输入'!$O6,"BB",IF(Y394&lt;='组合输入'!$P6,"B",IF(Y394&lt;='组合输入'!$Q6,"CCC","D")))))))</f>
        <v/>
      </c>
      <c r="AA394" s="12">
        <f>IF(Z394="","",INDEX('状态价值'!$D6:$K6,MATCH(Z394,'状态价值'!$D$1:$K$1,0)))</f>
        <v/>
      </c>
      <c r="AB394" s="15">
        <f>NORM.S.INV(RAND())</f>
        <v/>
      </c>
      <c r="AC394" s="15">
        <f>IF('组合输入'!$C7="","",'组合输入'!$H7*$B394+SQRT(1-'组合输入'!$H7^2)*AB394)</f>
        <v/>
      </c>
      <c r="AD394" s="7">
        <f>IF(AC394="","",NORM.S.DIST(AC394,TRUE))</f>
        <v/>
      </c>
      <c r="AE394" s="13">
        <f>IF(AD394="","",IF(AD394&lt;='组合输入'!$K7,"AAA",IF(AD394&lt;='组合输入'!$L7,"AA",IF(AD394&lt;='组合输入'!$M7,"A",IF(AD394&lt;='组合输入'!$N7,"BBB",IF(AD394&lt;='组合输入'!$O7,"BB",IF(AD394&lt;='组合输入'!$P7,"B",IF(AD394&lt;='组合输入'!$Q7,"CCC","D")))))))</f>
        <v/>
      </c>
      <c r="AF394" s="12">
        <f>IF(AE394="","",INDEX('状态价值'!$D7:$K7,MATCH(AE394,'状态价值'!$D$1:$K$1,0)))</f>
        <v/>
      </c>
      <c r="AG394" s="15">
        <f>NORM.S.INV(RAND())</f>
        <v/>
      </c>
      <c r="AH394" s="15">
        <f>IF('组合输入'!$C8="","",'组合输入'!$H8*$B394+SQRT(1-'组合输入'!$H8^2)*AG394)</f>
        <v/>
      </c>
      <c r="AI394" s="7">
        <f>IF(AH394="","",NORM.S.DIST(AH394,TRUE))</f>
        <v/>
      </c>
      <c r="AJ394" s="13">
        <f>IF(AI394="","",IF(AI394&lt;='组合输入'!$K8,"AAA",IF(AI394&lt;='组合输入'!$L8,"AA",IF(AI394&lt;='组合输入'!$M8,"A",IF(AI394&lt;='组合输入'!$N8,"BBB",IF(AI394&lt;='组合输入'!$O8,"BB",IF(AI394&lt;='组合输入'!$P8,"B",IF(AI394&lt;='组合输入'!$Q8,"CCC","D")))))))</f>
        <v/>
      </c>
      <c r="AK394" s="12">
        <f>IF(AJ394="","",INDEX('状态价值'!$D8:$K8,MATCH(AJ394,'状态价值'!$D$1:$K$1,0)))</f>
        <v/>
      </c>
      <c r="AL394" s="15">
        <f>NORM.S.INV(RAND())</f>
        <v/>
      </c>
      <c r="AM394" s="15">
        <f>IF('组合输入'!$C9="","",'组合输入'!$H9*$B394+SQRT(1-'组合输入'!$H9^2)*AL394)</f>
        <v/>
      </c>
      <c r="AN394" s="7">
        <f>IF(AM394="","",NORM.S.DIST(AM394,TRUE))</f>
        <v/>
      </c>
      <c r="AO394" s="13">
        <f>IF(AN394="","",IF(AN394&lt;='组合输入'!$K9,"AAA",IF(AN394&lt;='组合输入'!$L9,"AA",IF(AN394&lt;='组合输入'!$M9,"A",IF(AN394&lt;='组合输入'!$N9,"BBB",IF(AN394&lt;='组合输入'!$O9,"BB",IF(AN394&lt;='组合输入'!$P9,"B",IF(AN394&lt;='组合输入'!$Q9,"CCC","D")))))))</f>
        <v/>
      </c>
      <c r="AP394" s="12">
        <f>IF(AO394="","",INDEX('状态价值'!$D9:$K9,MATCH(AO394,'状态价值'!$D$1:$K$1,0)))</f>
        <v/>
      </c>
      <c r="AQ394" s="15">
        <f>NORM.S.INV(RAND())</f>
        <v/>
      </c>
      <c r="AR394" s="15">
        <f>IF('组合输入'!$C10="","",'组合输入'!$H10*$B394+SQRT(1-'组合输入'!$H10^2)*AQ394)</f>
        <v/>
      </c>
      <c r="AS394" s="7">
        <f>IF(AR394="","",NORM.S.DIST(AR394,TRUE))</f>
        <v/>
      </c>
      <c r="AT394" s="13">
        <f>IF(AS394="","",IF(AS394&lt;='组合输入'!$K10,"AAA",IF(AS394&lt;='组合输入'!$L10,"AA",IF(AS394&lt;='组合输入'!$M10,"A",IF(AS394&lt;='组合输入'!$N10,"BBB",IF(AS394&lt;='组合输入'!$O10,"BB",IF(AS394&lt;='组合输入'!$P10,"B",IF(AS394&lt;='组合输入'!$Q10,"CCC","D")))))))</f>
        <v/>
      </c>
      <c r="AU394" s="12">
        <f>IF(AT394="","",INDEX('状态价值'!$D10:$K10,MATCH(AT394,'状态价值'!$D$1:$K$1,0)))</f>
        <v/>
      </c>
      <c r="AV394" s="15">
        <f>NORM.S.INV(RAND())</f>
        <v/>
      </c>
      <c r="AW394" s="15">
        <f>IF('组合输入'!$C11="","",'组合输入'!$H11*$B394+SQRT(1-'组合输入'!$H11^2)*AV394)</f>
        <v/>
      </c>
      <c r="AX394" s="7">
        <f>IF(AW394="","",NORM.S.DIST(AW394,TRUE))</f>
        <v/>
      </c>
      <c r="AY394" s="13">
        <f>IF(AX394="","",IF(AX394&lt;='组合输入'!$K11,"AAA",IF(AX394&lt;='组合输入'!$L11,"AA",IF(AX394&lt;='组合输入'!$M11,"A",IF(AX394&lt;='组合输入'!$N11,"BBB",IF(AX394&lt;='组合输入'!$O11,"BB",IF(AX394&lt;='组合输入'!$P11,"B",IF(AX394&lt;='组合输入'!$Q11,"CCC","D")))))))</f>
        <v/>
      </c>
      <c r="AZ394" s="12">
        <f>IF(AY394="","",INDEX('状态价值'!$D11:$K11,MATCH(AY394,'状态价值'!$D$1:$K$1,0)))</f>
        <v/>
      </c>
      <c r="BA394" s="12">
        <f>G394+L394+Q394+V394+AA394+AF394+AK394+AP394+AU394+AZ394</f>
        <v/>
      </c>
      <c r="BB394" s="12">
        <f>SUM('组合输入'!$J$2:$J$11)-BA394</f>
        <v/>
      </c>
    </row>
    <row r="395">
      <c r="A395" s="11" t="n">
        <v>394</v>
      </c>
      <c r="B395" s="14">
        <f>NORM.S.INV(RAND())</f>
        <v/>
      </c>
      <c r="C395" s="14">
        <f>NORM.S.INV(RAND())</f>
        <v/>
      </c>
      <c r="D395" s="15">
        <f>IF('组合输入'!$C2="","",'组合输入'!$H2*$B395+SQRT(1-'组合输入'!$H2^2)*C395)</f>
        <v/>
      </c>
      <c r="E395" s="7">
        <f>IF(D395="","",NORM.S.DIST(D395,TRUE))</f>
        <v/>
      </c>
      <c r="F395" s="13">
        <f>IF(E395="","",IF(E395&lt;='组合输入'!$K2,"AAA",IF(E395&lt;='组合输入'!$L2,"AA",IF(E395&lt;='组合输入'!$M2,"A",IF(E395&lt;='组合输入'!$N2,"BBB",IF(E395&lt;='组合输入'!$O2,"BB",IF(E395&lt;='组合输入'!$P2,"B",IF(E395&lt;='组合输入'!$Q2,"CCC","D")))))))</f>
        <v/>
      </c>
      <c r="G395" s="12">
        <f>IF(F395="","",INDEX('状态价值'!$D2:$K2,MATCH(F395,'状态价值'!$D$1:$K$1,0)))</f>
        <v/>
      </c>
      <c r="H395" s="15">
        <f>NORM.S.INV(RAND())</f>
        <v/>
      </c>
      <c r="I395" s="15">
        <f>IF('组合输入'!$C3="","",'组合输入'!$H3*$B395+SQRT(1-'组合输入'!$H3^2)*H395)</f>
        <v/>
      </c>
      <c r="J395" s="7">
        <f>IF(I395="","",NORM.S.DIST(I395,TRUE))</f>
        <v/>
      </c>
      <c r="K395" s="13">
        <f>IF(J395="","",IF(J395&lt;='组合输入'!$K3,"AAA",IF(J395&lt;='组合输入'!$L3,"AA",IF(J395&lt;='组合输入'!$M3,"A",IF(J395&lt;='组合输入'!$N3,"BBB",IF(J395&lt;='组合输入'!$O3,"BB",IF(J395&lt;='组合输入'!$P3,"B",IF(J395&lt;='组合输入'!$Q3,"CCC","D")))))))</f>
        <v/>
      </c>
      <c r="L395" s="12">
        <f>IF(K395="","",INDEX('状态价值'!$D3:$K3,MATCH(K395,'状态价值'!$D$1:$K$1,0)))</f>
        <v/>
      </c>
      <c r="M395" s="15">
        <f>NORM.S.INV(RAND())</f>
        <v/>
      </c>
      <c r="N395" s="15">
        <f>IF('组合输入'!$C4="","",'组合输入'!$H4*$B395+SQRT(1-'组合输入'!$H4^2)*M395)</f>
        <v/>
      </c>
      <c r="O395" s="7">
        <f>IF(N395="","",NORM.S.DIST(N395,TRUE))</f>
        <v/>
      </c>
      <c r="P395" s="13">
        <f>IF(O395="","",IF(O395&lt;='组合输入'!$K4,"AAA",IF(O395&lt;='组合输入'!$L4,"AA",IF(O395&lt;='组合输入'!$M4,"A",IF(O395&lt;='组合输入'!$N4,"BBB",IF(O395&lt;='组合输入'!$O4,"BB",IF(O395&lt;='组合输入'!$P4,"B",IF(O395&lt;='组合输入'!$Q4,"CCC","D")))))))</f>
        <v/>
      </c>
      <c r="Q395" s="12">
        <f>IF(P395="","",INDEX('状态价值'!$D4:$K4,MATCH(P395,'状态价值'!$D$1:$K$1,0)))</f>
        <v/>
      </c>
      <c r="R395" s="15">
        <f>NORM.S.INV(RAND())</f>
        <v/>
      </c>
      <c r="S395" s="15">
        <f>IF('组合输入'!$C5="","",'组合输入'!$H5*$B395+SQRT(1-'组合输入'!$H5^2)*R395)</f>
        <v/>
      </c>
      <c r="T395" s="7">
        <f>IF(S395="","",NORM.S.DIST(S395,TRUE))</f>
        <v/>
      </c>
      <c r="U395" s="13">
        <f>IF(T395="","",IF(T395&lt;='组合输入'!$K5,"AAA",IF(T395&lt;='组合输入'!$L5,"AA",IF(T395&lt;='组合输入'!$M5,"A",IF(T395&lt;='组合输入'!$N5,"BBB",IF(T395&lt;='组合输入'!$O5,"BB",IF(T395&lt;='组合输入'!$P5,"B",IF(T395&lt;='组合输入'!$Q5,"CCC","D")))))))</f>
        <v/>
      </c>
      <c r="V395" s="12">
        <f>IF(U395="","",INDEX('状态价值'!$D5:$K5,MATCH(U395,'状态价值'!$D$1:$K$1,0)))</f>
        <v/>
      </c>
      <c r="W395" s="15">
        <f>NORM.S.INV(RAND())</f>
        <v/>
      </c>
      <c r="X395" s="15">
        <f>IF('组合输入'!$C6="","",'组合输入'!$H6*$B395+SQRT(1-'组合输入'!$H6^2)*W395)</f>
        <v/>
      </c>
      <c r="Y395" s="7">
        <f>IF(X395="","",NORM.S.DIST(X395,TRUE))</f>
        <v/>
      </c>
      <c r="Z395" s="13">
        <f>IF(Y395="","",IF(Y395&lt;='组合输入'!$K6,"AAA",IF(Y395&lt;='组合输入'!$L6,"AA",IF(Y395&lt;='组合输入'!$M6,"A",IF(Y395&lt;='组合输入'!$N6,"BBB",IF(Y395&lt;='组合输入'!$O6,"BB",IF(Y395&lt;='组合输入'!$P6,"B",IF(Y395&lt;='组合输入'!$Q6,"CCC","D")))))))</f>
        <v/>
      </c>
      <c r="AA395" s="12">
        <f>IF(Z395="","",INDEX('状态价值'!$D6:$K6,MATCH(Z395,'状态价值'!$D$1:$K$1,0)))</f>
        <v/>
      </c>
      <c r="AB395" s="15">
        <f>NORM.S.INV(RAND())</f>
        <v/>
      </c>
      <c r="AC395" s="15">
        <f>IF('组合输入'!$C7="","",'组合输入'!$H7*$B395+SQRT(1-'组合输入'!$H7^2)*AB395)</f>
        <v/>
      </c>
      <c r="AD395" s="7">
        <f>IF(AC395="","",NORM.S.DIST(AC395,TRUE))</f>
        <v/>
      </c>
      <c r="AE395" s="13">
        <f>IF(AD395="","",IF(AD395&lt;='组合输入'!$K7,"AAA",IF(AD395&lt;='组合输入'!$L7,"AA",IF(AD395&lt;='组合输入'!$M7,"A",IF(AD395&lt;='组合输入'!$N7,"BBB",IF(AD395&lt;='组合输入'!$O7,"BB",IF(AD395&lt;='组合输入'!$P7,"B",IF(AD395&lt;='组合输入'!$Q7,"CCC","D")))))))</f>
        <v/>
      </c>
      <c r="AF395" s="12">
        <f>IF(AE395="","",INDEX('状态价值'!$D7:$K7,MATCH(AE395,'状态价值'!$D$1:$K$1,0)))</f>
        <v/>
      </c>
      <c r="AG395" s="15">
        <f>NORM.S.INV(RAND())</f>
        <v/>
      </c>
      <c r="AH395" s="15">
        <f>IF('组合输入'!$C8="","",'组合输入'!$H8*$B395+SQRT(1-'组合输入'!$H8^2)*AG395)</f>
        <v/>
      </c>
      <c r="AI395" s="7">
        <f>IF(AH395="","",NORM.S.DIST(AH395,TRUE))</f>
        <v/>
      </c>
      <c r="AJ395" s="13">
        <f>IF(AI395="","",IF(AI395&lt;='组合输入'!$K8,"AAA",IF(AI395&lt;='组合输入'!$L8,"AA",IF(AI395&lt;='组合输入'!$M8,"A",IF(AI395&lt;='组合输入'!$N8,"BBB",IF(AI395&lt;='组合输入'!$O8,"BB",IF(AI395&lt;='组合输入'!$P8,"B",IF(AI395&lt;='组合输入'!$Q8,"CCC","D")))))))</f>
        <v/>
      </c>
      <c r="AK395" s="12">
        <f>IF(AJ395="","",INDEX('状态价值'!$D8:$K8,MATCH(AJ395,'状态价值'!$D$1:$K$1,0)))</f>
        <v/>
      </c>
      <c r="AL395" s="15">
        <f>NORM.S.INV(RAND())</f>
        <v/>
      </c>
      <c r="AM395" s="15">
        <f>IF('组合输入'!$C9="","",'组合输入'!$H9*$B395+SQRT(1-'组合输入'!$H9^2)*AL395)</f>
        <v/>
      </c>
      <c r="AN395" s="7">
        <f>IF(AM395="","",NORM.S.DIST(AM395,TRUE))</f>
        <v/>
      </c>
      <c r="AO395" s="13">
        <f>IF(AN395="","",IF(AN395&lt;='组合输入'!$K9,"AAA",IF(AN395&lt;='组合输入'!$L9,"AA",IF(AN395&lt;='组合输入'!$M9,"A",IF(AN395&lt;='组合输入'!$N9,"BBB",IF(AN395&lt;='组合输入'!$O9,"BB",IF(AN395&lt;='组合输入'!$P9,"B",IF(AN395&lt;='组合输入'!$Q9,"CCC","D")))))))</f>
        <v/>
      </c>
      <c r="AP395" s="12">
        <f>IF(AO395="","",INDEX('状态价值'!$D9:$K9,MATCH(AO395,'状态价值'!$D$1:$K$1,0)))</f>
        <v/>
      </c>
      <c r="AQ395" s="15">
        <f>NORM.S.INV(RAND())</f>
        <v/>
      </c>
      <c r="AR395" s="15">
        <f>IF('组合输入'!$C10="","",'组合输入'!$H10*$B395+SQRT(1-'组合输入'!$H10^2)*AQ395)</f>
        <v/>
      </c>
      <c r="AS395" s="7">
        <f>IF(AR395="","",NORM.S.DIST(AR395,TRUE))</f>
        <v/>
      </c>
      <c r="AT395" s="13">
        <f>IF(AS395="","",IF(AS395&lt;='组合输入'!$K10,"AAA",IF(AS395&lt;='组合输入'!$L10,"AA",IF(AS395&lt;='组合输入'!$M10,"A",IF(AS395&lt;='组合输入'!$N10,"BBB",IF(AS395&lt;='组合输入'!$O10,"BB",IF(AS395&lt;='组合输入'!$P10,"B",IF(AS395&lt;='组合输入'!$Q10,"CCC","D")))))))</f>
        <v/>
      </c>
      <c r="AU395" s="12">
        <f>IF(AT395="","",INDEX('状态价值'!$D10:$K10,MATCH(AT395,'状态价值'!$D$1:$K$1,0)))</f>
        <v/>
      </c>
      <c r="AV395" s="15">
        <f>NORM.S.INV(RAND())</f>
        <v/>
      </c>
      <c r="AW395" s="15">
        <f>IF('组合输入'!$C11="","",'组合输入'!$H11*$B395+SQRT(1-'组合输入'!$H11^2)*AV395)</f>
        <v/>
      </c>
      <c r="AX395" s="7">
        <f>IF(AW395="","",NORM.S.DIST(AW395,TRUE))</f>
        <v/>
      </c>
      <c r="AY395" s="13">
        <f>IF(AX395="","",IF(AX395&lt;='组合输入'!$K11,"AAA",IF(AX395&lt;='组合输入'!$L11,"AA",IF(AX395&lt;='组合输入'!$M11,"A",IF(AX395&lt;='组合输入'!$N11,"BBB",IF(AX395&lt;='组合输入'!$O11,"BB",IF(AX395&lt;='组合输入'!$P11,"B",IF(AX395&lt;='组合输入'!$Q11,"CCC","D")))))))</f>
        <v/>
      </c>
      <c r="AZ395" s="12">
        <f>IF(AY395="","",INDEX('状态价值'!$D11:$K11,MATCH(AY395,'状态价值'!$D$1:$K$1,0)))</f>
        <v/>
      </c>
      <c r="BA395" s="12">
        <f>G395+L395+Q395+V395+AA395+AF395+AK395+AP395+AU395+AZ395</f>
        <v/>
      </c>
      <c r="BB395" s="12">
        <f>SUM('组合输入'!$J$2:$J$11)-BA395</f>
        <v/>
      </c>
    </row>
    <row r="396">
      <c r="A396" s="11" t="n">
        <v>395</v>
      </c>
      <c r="B396" s="14">
        <f>NORM.S.INV(RAND())</f>
        <v/>
      </c>
      <c r="C396" s="14">
        <f>NORM.S.INV(RAND())</f>
        <v/>
      </c>
      <c r="D396" s="15">
        <f>IF('组合输入'!$C2="","",'组合输入'!$H2*$B396+SQRT(1-'组合输入'!$H2^2)*C396)</f>
        <v/>
      </c>
      <c r="E396" s="7">
        <f>IF(D396="","",NORM.S.DIST(D396,TRUE))</f>
        <v/>
      </c>
      <c r="F396" s="13">
        <f>IF(E396="","",IF(E396&lt;='组合输入'!$K2,"AAA",IF(E396&lt;='组合输入'!$L2,"AA",IF(E396&lt;='组合输入'!$M2,"A",IF(E396&lt;='组合输入'!$N2,"BBB",IF(E396&lt;='组合输入'!$O2,"BB",IF(E396&lt;='组合输入'!$P2,"B",IF(E396&lt;='组合输入'!$Q2,"CCC","D")))))))</f>
        <v/>
      </c>
      <c r="G396" s="12">
        <f>IF(F396="","",INDEX('状态价值'!$D2:$K2,MATCH(F396,'状态价值'!$D$1:$K$1,0)))</f>
        <v/>
      </c>
      <c r="H396" s="15">
        <f>NORM.S.INV(RAND())</f>
        <v/>
      </c>
      <c r="I396" s="15">
        <f>IF('组合输入'!$C3="","",'组合输入'!$H3*$B396+SQRT(1-'组合输入'!$H3^2)*H396)</f>
        <v/>
      </c>
      <c r="J396" s="7">
        <f>IF(I396="","",NORM.S.DIST(I396,TRUE))</f>
        <v/>
      </c>
      <c r="K396" s="13">
        <f>IF(J396="","",IF(J396&lt;='组合输入'!$K3,"AAA",IF(J396&lt;='组合输入'!$L3,"AA",IF(J396&lt;='组合输入'!$M3,"A",IF(J396&lt;='组合输入'!$N3,"BBB",IF(J396&lt;='组合输入'!$O3,"BB",IF(J396&lt;='组合输入'!$P3,"B",IF(J396&lt;='组合输入'!$Q3,"CCC","D")))))))</f>
        <v/>
      </c>
      <c r="L396" s="12">
        <f>IF(K396="","",INDEX('状态价值'!$D3:$K3,MATCH(K396,'状态价值'!$D$1:$K$1,0)))</f>
        <v/>
      </c>
      <c r="M396" s="15">
        <f>NORM.S.INV(RAND())</f>
        <v/>
      </c>
      <c r="N396" s="15">
        <f>IF('组合输入'!$C4="","",'组合输入'!$H4*$B396+SQRT(1-'组合输入'!$H4^2)*M396)</f>
        <v/>
      </c>
      <c r="O396" s="7">
        <f>IF(N396="","",NORM.S.DIST(N396,TRUE))</f>
        <v/>
      </c>
      <c r="P396" s="13">
        <f>IF(O396="","",IF(O396&lt;='组合输入'!$K4,"AAA",IF(O396&lt;='组合输入'!$L4,"AA",IF(O396&lt;='组合输入'!$M4,"A",IF(O396&lt;='组合输入'!$N4,"BBB",IF(O396&lt;='组合输入'!$O4,"BB",IF(O396&lt;='组合输入'!$P4,"B",IF(O396&lt;='组合输入'!$Q4,"CCC","D")))))))</f>
        <v/>
      </c>
      <c r="Q396" s="12">
        <f>IF(P396="","",INDEX('状态价值'!$D4:$K4,MATCH(P396,'状态价值'!$D$1:$K$1,0)))</f>
        <v/>
      </c>
      <c r="R396" s="15">
        <f>NORM.S.INV(RAND())</f>
        <v/>
      </c>
      <c r="S396" s="15">
        <f>IF('组合输入'!$C5="","",'组合输入'!$H5*$B396+SQRT(1-'组合输入'!$H5^2)*R396)</f>
        <v/>
      </c>
      <c r="T396" s="7">
        <f>IF(S396="","",NORM.S.DIST(S396,TRUE))</f>
        <v/>
      </c>
      <c r="U396" s="13">
        <f>IF(T396="","",IF(T396&lt;='组合输入'!$K5,"AAA",IF(T396&lt;='组合输入'!$L5,"AA",IF(T396&lt;='组合输入'!$M5,"A",IF(T396&lt;='组合输入'!$N5,"BBB",IF(T396&lt;='组合输入'!$O5,"BB",IF(T396&lt;='组合输入'!$P5,"B",IF(T396&lt;='组合输入'!$Q5,"CCC","D")))))))</f>
        <v/>
      </c>
      <c r="V396" s="12">
        <f>IF(U396="","",INDEX('状态价值'!$D5:$K5,MATCH(U396,'状态价值'!$D$1:$K$1,0)))</f>
        <v/>
      </c>
      <c r="W396" s="15">
        <f>NORM.S.INV(RAND())</f>
        <v/>
      </c>
      <c r="X396" s="15">
        <f>IF('组合输入'!$C6="","",'组合输入'!$H6*$B396+SQRT(1-'组合输入'!$H6^2)*W396)</f>
        <v/>
      </c>
      <c r="Y396" s="7">
        <f>IF(X396="","",NORM.S.DIST(X396,TRUE))</f>
        <v/>
      </c>
      <c r="Z396" s="13">
        <f>IF(Y396="","",IF(Y396&lt;='组合输入'!$K6,"AAA",IF(Y396&lt;='组合输入'!$L6,"AA",IF(Y396&lt;='组合输入'!$M6,"A",IF(Y396&lt;='组合输入'!$N6,"BBB",IF(Y396&lt;='组合输入'!$O6,"BB",IF(Y396&lt;='组合输入'!$P6,"B",IF(Y396&lt;='组合输入'!$Q6,"CCC","D")))))))</f>
        <v/>
      </c>
      <c r="AA396" s="12">
        <f>IF(Z396="","",INDEX('状态价值'!$D6:$K6,MATCH(Z396,'状态价值'!$D$1:$K$1,0)))</f>
        <v/>
      </c>
      <c r="AB396" s="15">
        <f>NORM.S.INV(RAND())</f>
        <v/>
      </c>
      <c r="AC396" s="15">
        <f>IF('组合输入'!$C7="","",'组合输入'!$H7*$B396+SQRT(1-'组合输入'!$H7^2)*AB396)</f>
        <v/>
      </c>
      <c r="AD396" s="7">
        <f>IF(AC396="","",NORM.S.DIST(AC396,TRUE))</f>
        <v/>
      </c>
      <c r="AE396" s="13">
        <f>IF(AD396="","",IF(AD396&lt;='组合输入'!$K7,"AAA",IF(AD396&lt;='组合输入'!$L7,"AA",IF(AD396&lt;='组合输入'!$M7,"A",IF(AD396&lt;='组合输入'!$N7,"BBB",IF(AD396&lt;='组合输入'!$O7,"BB",IF(AD396&lt;='组合输入'!$P7,"B",IF(AD396&lt;='组合输入'!$Q7,"CCC","D")))))))</f>
        <v/>
      </c>
      <c r="AF396" s="12">
        <f>IF(AE396="","",INDEX('状态价值'!$D7:$K7,MATCH(AE396,'状态价值'!$D$1:$K$1,0)))</f>
        <v/>
      </c>
      <c r="AG396" s="15">
        <f>NORM.S.INV(RAND())</f>
        <v/>
      </c>
      <c r="AH396" s="15">
        <f>IF('组合输入'!$C8="","",'组合输入'!$H8*$B396+SQRT(1-'组合输入'!$H8^2)*AG396)</f>
        <v/>
      </c>
      <c r="AI396" s="7">
        <f>IF(AH396="","",NORM.S.DIST(AH396,TRUE))</f>
        <v/>
      </c>
      <c r="AJ396" s="13">
        <f>IF(AI396="","",IF(AI396&lt;='组合输入'!$K8,"AAA",IF(AI396&lt;='组合输入'!$L8,"AA",IF(AI396&lt;='组合输入'!$M8,"A",IF(AI396&lt;='组合输入'!$N8,"BBB",IF(AI396&lt;='组合输入'!$O8,"BB",IF(AI396&lt;='组合输入'!$P8,"B",IF(AI396&lt;='组合输入'!$Q8,"CCC","D")))))))</f>
        <v/>
      </c>
      <c r="AK396" s="12">
        <f>IF(AJ396="","",INDEX('状态价值'!$D8:$K8,MATCH(AJ396,'状态价值'!$D$1:$K$1,0)))</f>
        <v/>
      </c>
      <c r="AL396" s="15">
        <f>NORM.S.INV(RAND())</f>
        <v/>
      </c>
      <c r="AM396" s="15">
        <f>IF('组合输入'!$C9="","",'组合输入'!$H9*$B396+SQRT(1-'组合输入'!$H9^2)*AL396)</f>
        <v/>
      </c>
      <c r="AN396" s="7">
        <f>IF(AM396="","",NORM.S.DIST(AM396,TRUE))</f>
        <v/>
      </c>
      <c r="AO396" s="13">
        <f>IF(AN396="","",IF(AN396&lt;='组合输入'!$K9,"AAA",IF(AN396&lt;='组合输入'!$L9,"AA",IF(AN396&lt;='组合输入'!$M9,"A",IF(AN396&lt;='组合输入'!$N9,"BBB",IF(AN396&lt;='组合输入'!$O9,"BB",IF(AN396&lt;='组合输入'!$P9,"B",IF(AN396&lt;='组合输入'!$Q9,"CCC","D")))))))</f>
        <v/>
      </c>
      <c r="AP396" s="12">
        <f>IF(AO396="","",INDEX('状态价值'!$D9:$K9,MATCH(AO396,'状态价值'!$D$1:$K$1,0)))</f>
        <v/>
      </c>
      <c r="AQ396" s="15">
        <f>NORM.S.INV(RAND())</f>
        <v/>
      </c>
      <c r="AR396" s="15">
        <f>IF('组合输入'!$C10="","",'组合输入'!$H10*$B396+SQRT(1-'组合输入'!$H10^2)*AQ396)</f>
        <v/>
      </c>
      <c r="AS396" s="7">
        <f>IF(AR396="","",NORM.S.DIST(AR396,TRUE))</f>
        <v/>
      </c>
      <c r="AT396" s="13">
        <f>IF(AS396="","",IF(AS396&lt;='组合输入'!$K10,"AAA",IF(AS396&lt;='组合输入'!$L10,"AA",IF(AS396&lt;='组合输入'!$M10,"A",IF(AS396&lt;='组合输入'!$N10,"BBB",IF(AS396&lt;='组合输入'!$O10,"BB",IF(AS396&lt;='组合输入'!$P10,"B",IF(AS396&lt;='组合输入'!$Q10,"CCC","D")))))))</f>
        <v/>
      </c>
      <c r="AU396" s="12">
        <f>IF(AT396="","",INDEX('状态价值'!$D10:$K10,MATCH(AT396,'状态价值'!$D$1:$K$1,0)))</f>
        <v/>
      </c>
      <c r="AV396" s="15">
        <f>NORM.S.INV(RAND())</f>
        <v/>
      </c>
      <c r="AW396" s="15">
        <f>IF('组合输入'!$C11="","",'组合输入'!$H11*$B396+SQRT(1-'组合输入'!$H11^2)*AV396)</f>
        <v/>
      </c>
      <c r="AX396" s="7">
        <f>IF(AW396="","",NORM.S.DIST(AW396,TRUE))</f>
        <v/>
      </c>
      <c r="AY396" s="13">
        <f>IF(AX396="","",IF(AX396&lt;='组合输入'!$K11,"AAA",IF(AX396&lt;='组合输入'!$L11,"AA",IF(AX396&lt;='组合输入'!$M11,"A",IF(AX396&lt;='组合输入'!$N11,"BBB",IF(AX396&lt;='组合输入'!$O11,"BB",IF(AX396&lt;='组合输入'!$P11,"B",IF(AX396&lt;='组合输入'!$Q11,"CCC","D")))))))</f>
        <v/>
      </c>
      <c r="AZ396" s="12">
        <f>IF(AY396="","",INDEX('状态价值'!$D11:$K11,MATCH(AY396,'状态价值'!$D$1:$K$1,0)))</f>
        <v/>
      </c>
      <c r="BA396" s="12">
        <f>G396+L396+Q396+V396+AA396+AF396+AK396+AP396+AU396+AZ396</f>
        <v/>
      </c>
      <c r="BB396" s="12">
        <f>SUM('组合输入'!$J$2:$J$11)-BA396</f>
        <v/>
      </c>
    </row>
    <row r="397">
      <c r="A397" s="11" t="n">
        <v>396</v>
      </c>
      <c r="B397" s="14">
        <f>NORM.S.INV(RAND())</f>
        <v/>
      </c>
      <c r="C397" s="14">
        <f>NORM.S.INV(RAND())</f>
        <v/>
      </c>
      <c r="D397" s="15">
        <f>IF('组合输入'!$C2="","",'组合输入'!$H2*$B397+SQRT(1-'组合输入'!$H2^2)*C397)</f>
        <v/>
      </c>
      <c r="E397" s="7">
        <f>IF(D397="","",NORM.S.DIST(D397,TRUE))</f>
        <v/>
      </c>
      <c r="F397" s="13">
        <f>IF(E397="","",IF(E397&lt;='组合输入'!$K2,"AAA",IF(E397&lt;='组合输入'!$L2,"AA",IF(E397&lt;='组合输入'!$M2,"A",IF(E397&lt;='组合输入'!$N2,"BBB",IF(E397&lt;='组合输入'!$O2,"BB",IF(E397&lt;='组合输入'!$P2,"B",IF(E397&lt;='组合输入'!$Q2,"CCC","D")))))))</f>
        <v/>
      </c>
      <c r="G397" s="12">
        <f>IF(F397="","",INDEX('状态价值'!$D2:$K2,MATCH(F397,'状态价值'!$D$1:$K$1,0)))</f>
        <v/>
      </c>
      <c r="H397" s="15">
        <f>NORM.S.INV(RAND())</f>
        <v/>
      </c>
      <c r="I397" s="15">
        <f>IF('组合输入'!$C3="","",'组合输入'!$H3*$B397+SQRT(1-'组合输入'!$H3^2)*H397)</f>
        <v/>
      </c>
      <c r="J397" s="7">
        <f>IF(I397="","",NORM.S.DIST(I397,TRUE))</f>
        <v/>
      </c>
      <c r="K397" s="13">
        <f>IF(J397="","",IF(J397&lt;='组合输入'!$K3,"AAA",IF(J397&lt;='组合输入'!$L3,"AA",IF(J397&lt;='组合输入'!$M3,"A",IF(J397&lt;='组合输入'!$N3,"BBB",IF(J397&lt;='组合输入'!$O3,"BB",IF(J397&lt;='组合输入'!$P3,"B",IF(J397&lt;='组合输入'!$Q3,"CCC","D")))))))</f>
        <v/>
      </c>
      <c r="L397" s="12">
        <f>IF(K397="","",INDEX('状态价值'!$D3:$K3,MATCH(K397,'状态价值'!$D$1:$K$1,0)))</f>
        <v/>
      </c>
      <c r="M397" s="15">
        <f>NORM.S.INV(RAND())</f>
        <v/>
      </c>
      <c r="N397" s="15">
        <f>IF('组合输入'!$C4="","",'组合输入'!$H4*$B397+SQRT(1-'组合输入'!$H4^2)*M397)</f>
        <v/>
      </c>
      <c r="O397" s="7">
        <f>IF(N397="","",NORM.S.DIST(N397,TRUE))</f>
        <v/>
      </c>
      <c r="P397" s="13">
        <f>IF(O397="","",IF(O397&lt;='组合输入'!$K4,"AAA",IF(O397&lt;='组合输入'!$L4,"AA",IF(O397&lt;='组合输入'!$M4,"A",IF(O397&lt;='组合输入'!$N4,"BBB",IF(O397&lt;='组合输入'!$O4,"BB",IF(O397&lt;='组合输入'!$P4,"B",IF(O397&lt;='组合输入'!$Q4,"CCC","D")))))))</f>
        <v/>
      </c>
      <c r="Q397" s="12">
        <f>IF(P397="","",INDEX('状态价值'!$D4:$K4,MATCH(P397,'状态价值'!$D$1:$K$1,0)))</f>
        <v/>
      </c>
      <c r="R397" s="15">
        <f>NORM.S.INV(RAND())</f>
        <v/>
      </c>
      <c r="S397" s="15">
        <f>IF('组合输入'!$C5="","",'组合输入'!$H5*$B397+SQRT(1-'组合输入'!$H5^2)*R397)</f>
        <v/>
      </c>
      <c r="T397" s="7">
        <f>IF(S397="","",NORM.S.DIST(S397,TRUE))</f>
        <v/>
      </c>
      <c r="U397" s="13">
        <f>IF(T397="","",IF(T397&lt;='组合输入'!$K5,"AAA",IF(T397&lt;='组合输入'!$L5,"AA",IF(T397&lt;='组合输入'!$M5,"A",IF(T397&lt;='组合输入'!$N5,"BBB",IF(T397&lt;='组合输入'!$O5,"BB",IF(T397&lt;='组合输入'!$P5,"B",IF(T397&lt;='组合输入'!$Q5,"CCC","D")))))))</f>
        <v/>
      </c>
      <c r="V397" s="12">
        <f>IF(U397="","",INDEX('状态价值'!$D5:$K5,MATCH(U397,'状态价值'!$D$1:$K$1,0)))</f>
        <v/>
      </c>
      <c r="W397" s="15">
        <f>NORM.S.INV(RAND())</f>
        <v/>
      </c>
      <c r="X397" s="15">
        <f>IF('组合输入'!$C6="","",'组合输入'!$H6*$B397+SQRT(1-'组合输入'!$H6^2)*W397)</f>
        <v/>
      </c>
      <c r="Y397" s="7">
        <f>IF(X397="","",NORM.S.DIST(X397,TRUE))</f>
        <v/>
      </c>
      <c r="Z397" s="13">
        <f>IF(Y397="","",IF(Y397&lt;='组合输入'!$K6,"AAA",IF(Y397&lt;='组合输入'!$L6,"AA",IF(Y397&lt;='组合输入'!$M6,"A",IF(Y397&lt;='组合输入'!$N6,"BBB",IF(Y397&lt;='组合输入'!$O6,"BB",IF(Y397&lt;='组合输入'!$P6,"B",IF(Y397&lt;='组合输入'!$Q6,"CCC","D")))))))</f>
        <v/>
      </c>
      <c r="AA397" s="12">
        <f>IF(Z397="","",INDEX('状态价值'!$D6:$K6,MATCH(Z397,'状态价值'!$D$1:$K$1,0)))</f>
        <v/>
      </c>
      <c r="AB397" s="15">
        <f>NORM.S.INV(RAND())</f>
        <v/>
      </c>
      <c r="AC397" s="15">
        <f>IF('组合输入'!$C7="","",'组合输入'!$H7*$B397+SQRT(1-'组合输入'!$H7^2)*AB397)</f>
        <v/>
      </c>
      <c r="AD397" s="7">
        <f>IF(AC397="","",NORM.S.DIST(AC397,TRUE))</f>
        <v/>
      </c>
      <c r="AE397" s="13">
        <f>IF(AD397="","",IF(AD397&lt;='组合输入'!$K7,"AAA",IF(AD397&lt;='组合输入'!$L7,"AA",IF(AD397&lt;='组合输入'!$M7,"A",IF(AD397&lt;='组合输入'!$N7,"BBB",IF(AD397&lt;='组合输入'!$O7,"BB",IF(AD397&lt;='组合输入'!$P7,"B",IF(AD397&lt;='组合输入'!$Q7,"CCC","D")))))))</f>
        <v/>
      </c>
      <c r="AF397" s="12">
        <f>IF(AE397="","",INDEX('状态价值'!$D7:$K7,MATCH(AE397,'状态价值'!$D$1:$K$1,0)))</f>
        <v/>
      </c>
      <c r="AG397" s="15">
        <f>NORM.S.INV(RAND())</f>
        <v/>
      </c>
      <c r="AH397" s="15">
        <f>IF('组合输入'!$C8="","",'组合输入'!$H8*$B397+SQRT(1-'组合输入'!$H8^2)*AG397)</f>
        <v/>
      </c>
      <c r="AI397" s="7">
        <f>IF(AH397="","",NORM.S.DIST(AH397,TRUE))</f>
        <v/>
      </c>
      <c r="AJ397" s="13">
        <f>IF(AI397="","",IF(AI397&lt;='组合输入'!$K8,"AAA",IF(AI397&lt;='组合输入'!$L8,"AA",IF(AI397&lt;='组合输入'!$M8,"A",IF(AI397&lt;='组合输入'!$N8,"BBB",IF(AI397&lt;='组合输入'!$O8,"BB",IF(AI397&lt;='组合输入'!$P8,"B",IF(AI397&lt;='组合输入'!$Q8,"CCC","D")))))))</f>
        <v/>
      </c>
      <c r="AK397" s="12">
        <f>IF(AJ397="","",INDEX('状态价值'!$D8:$K8,MATCH(AJ397,'状态价值'!$D$1:$K$1,0)))</f>
        <v/>
      </c>
      <c r="AL397" s="15">
        <f>NORM.S.INV(RAND())</f>
        <v/>
      </c>
      <c r="AM397" s="15">
        <f>IF('组合输入'!$C9="","",'组合输入'!$H9*$B397+SQRT(1-'组合输入'!$H9^2)*AL397)</f>
        <v/>
      </c>
      <c r="AN397" s="7">
        <f>IF(AM397="","",NORM.S.DIST(AM397,TRUE))</f>
        <v/>
      </c>
      <c r="AO397" s="13">
        <f>IF(AN397="","",IF(AN397&lt;='组合输入'!$K9,"AAA",IF(AN397&lt;='组合输入'!$L9,"AA",IF(AN397&lt;='组合输入'!$M9,"A",IF(AN397&lt;='组合输入'!$N9,"BBB",IF(AN397&lt;='组合输入'!$O9,"BB",IF(AN397&lt;='组合输入'!$P9,"B",IF(AN397&lt;='组合输入'!$Q9,"CCC","D")))))))</f>
        <v/>
      </c>
      <c r="AP397" s="12">
        <f>IF(AO397="","",INDEX('状态价值'!$D9:$K9,MATCH(AO397,'状态价值'!$D$1:$K$1,0)))</f>
        <v/>
      </c>
      <c r="AQ397" s="15">
        <f>NORM.S.INV(RAND())</f>
        <v/>
      </c>
      <c r="AR397" s="15">
        <f>IF('组合输入'!$C10="","",'组合输入'!$H10*$B397+SQRT(1-'组合输入'!$H10^2)*AQ397)</f>
        <v/>
      </c>
      <c r="AS397" s="7">
        <f>IF(AR397="","",NORM.S.DIST(AR397,TRUE))</f>
        <v/>
      </c>
      <c r="AT397" s="13">
        <f>IF(AS397="","",IF(AS397&lt;='组合输入'!$K10,"AAA",IF(AS397&lt;='组合输入'!$L10,"AA",IF(AS397&lt;='组合输入'!$M10,"A",IF(AS397&lt;='组合输入'!$N10,"BBB",IF(AS397&lt;='组合输入'!$O10,"BB",IF(AS397&lt;='组合输入'!$P10,"B",IF(AS397&lt;='组合输入'!$Q10,"CCC","D")))))))</f>
        <v/>
      </c>
      <c r="AU397" s="12">
        <f>IF(AT397="","",INDEX('状态价值'!$D10:$K10,MATCH(AT397,'状态价值'!$D$1:$K$1,0)))</f>
        <v/>
      </c>
      <c r="AV397" s="15">
        <f>NORM.S.INV(RAND())</f>
        <v/>
      </c>
      <c r="AW397" s="15">
        <f>IF('组合输入'!$C11="","",'组合输入'!$H11*$B397+SQRT(1-'组合输入'!$H11^2)*AV397)</f>
        <v/>
      </c>
      <c r="AX397" s="7">
        <f>IF(AW397="","",NORM.S.DIST(AW397,TRUE))</f>
        <v/>
      </c>
      <c r="AY397" s="13">
        <f>IF(AX397="","",IF(AX397&lt;='组合输入'!$K11,"AAA",IF(AX397&lt;='组合输入'!$L11,"AA",IF(AX397&lt;='组合输入'!$M11,"A",IF(AX397&lt;='组合输入'!$N11,"BBB",IF(AX397&lt;='组合输入'!$O11,"BB",IF(AX397&lt;='组合输入'!$P11,"B",IF(AX397&lt;='组合输入'!$Q11,"CCC","D")))))))</f>
        <v/>
      </c>
      <c r="AZ397" s="12">
        <f>IF(AY397="","",INDEX('状态价值'!$D11:$K11,MATCH(AY397,'状态价值'!$D$1:$K$1,0)))</f>
        <v/>
      </c>
      <c r="BA397" s="12">
        <f>G397+L397+Q397+V397+AA397+AF397+AK397+AP397+AU397+AZ397</f>
        <v/>
      </c>
      <c r="BB397" s="12">
        <f>SUM('组合输入'!$J$2:$J$11)-BA397</f>
        <v/>
      </c>
    </row>
    <row r="398">
      <c r="A398" s="11" t="n">
        <v>397</v>
      </c>
      <c r="B398" s="14">
        <f>NORM.S.INV(RAND())</f>
        <v/>
      </c>
      <c r="C398" s="14">
        <f>NORM.S.INV(RAND())</f>
        <v/>
      </c>
      <c r="D398" s="15">
        <f>IF('组合输入'!$C2="","",'组合输入'!$H2*$B398+SQRT(1-'组合输入'!$H2^2)*C398)</f>
        <v/>
      </c>
      <c r="E398" s="7">
        <f>IF(D398="","",NORM.S.DIST(D398,TRUE))</f>
        <v/>
      </c>
      <c r="F398" s="13">
        <f>IF(E398="","",IF(E398&lt;='组合输入'!$K2,"AAA",IF(E398&lt;='组合输入'!$L2,"AA",IF(E398&lt;='组合输入'!$M2,"A",IF(E398&lt;='组合输入'!$N2,"BBB",IF(E398&lt;='组合输入'!$O2,"BB",IF(E398&lt;='组合输入'!$P2,"B",IF(E398&lt;='组合输入'!$Q2,"CCC","D")))))))</f>
        <v/>
      </c>
      <c r="G398" s="12">
        <f>IF(F398="","",INDEX('状态价值'!$D2:$K2,MATCH(F398,'状态价值'!$D$1:$K$1,0)))</f>
        <v/>
      </c>
      <c r="H398" s="15">
        <f>NORM.S.INV(RAND())</f>
        <v/>
      </c>
      <c r="I398" s="15">
        <f>IF('组合输入'!$C3="","",'组合输入'!$H3*$B398+SQRT(1-'组合输入'!$H3^2)*H398)</f>
        <v/>
      </c>
      <c r="J398" s="7">
        <f>IF(I398="","",NORM.S.DIST(I398,TRUE))</f>
        <v/>
      </c>
      <c r="K398" s="13">
        <f>IF(J398="","",IF(J398&lt;='组合输入'!$K3,"AAA",IF(J398&lt;='组合输入'!$L3,"AA",IF(J398&lt;='组合输入'!$M3,"A",IF(J398&lt;='组合输入'!$N3,"BBB",IF(J398&lt;='组合输入'!$O3,"BB",IF(J398&lt;='组合输入'!$P3,"B",IF(J398&lt;='组合输入'!$Q3,"CCC","D")))))))</f>
        <v/>
      </c>
      <c r="L398" s="12">
        <f>IF(K398="","",INDEX('状态价值'!$D3:$K3,MATCH(K398,'状态价值'!$D$1:$K$1,0)))</f>
        <v/>
      </c>
      <c r="M398" s="15">
        <f>NORM.S.INV(RAND())</f>
        <v/>
      </c>
      <c r="N398" s="15">
        <f>IF('组合输入'!$C4="","",'组合输入'!$H4*$B398+SQRT(1-'组合输入'!$H4^2)*M398)</f>
        <v/>
      </c>
      <c r="O398" s="7">
        <f>IF(N398="","",NORM.S.DIST(N398,TRUE))</f>
        <v/>
      </c>
      <c r="P398" s="13">
        <f>IF(O398="","",IF(O398&lt;='组合输入'!$K4,"AAA",IF(O398&lt;='组合输入'!$L4,"AA",IF(O398&lt;='组合输入'!$M4,"A",IF(O398&lt;='组合输入'!$N4,"BBB",IF(O398&lt;='组合输入'!$O4,"BB",IF(O398&lt;='组合输入'!$P4,"B",IF(O398&lt;='组合输入'!$Q4,"CCC","D")))))))</f>
        <v/>
      </c>
      <c r="Q398" s="12">
        <f>IF(P398="","",INDEX('状态价值'!$D4:$K4,MATCH(P398,'状态价值'!$D$1:$K$1,0)))</f>
        <v/>
      </c>
      <c r="R398" s="15">
        <f>NORM.S.INV(RAND())</f>
        <v/>
      </c>
      <c r="S398" s="15">
        <f>IF('组合输入'!$C5="","",'组合输入'!$H5*$B398+SQRT(1-'组合输入'!$H5^2)*R398)</f>
        <v/>
      </c>
      <c r="T398" s="7">
        <f>IF(S398="","",NORM.S.DIST(S398,TRUE))</f>
        <v/>
      </c>
      <c r="U398" s="13">
        <f>IF(T398="","",IF(T398&lt;='组合输入'!$K5,"AAA",IF(T398&lt;='组合输入'!$L5,"AA",IF(T398&lt;='组合输入'!$M5,"A",IF(T398&lt;='组合输入'!$N5,"BBB",IF(T398&lt;='组合输入'!$O5,"BB",IF(T398&lt;='组合输入'!$P5,"B",IF(T398&lt;='组合输入'!$Q5,"CCC","D")))))))</f>
        <v/>
      </c>
      <c r="V398" s="12">
        <f>IF(U398="","",INDEX('状态价值'!$D5:$K5,MATCH(U398,'状态价值'!$D$1:$K$1,0)))</f>
        <v/>
      </c>
      <c r="W398" s="15">
        <f>NORM.S.INV(RAND())</f>
        <v/>
      </c>
      <c r="X398" s="15">
        <f>IF('组合输入'!$C6="","",'组合输入'!$H6*$B398+SQRT(1-'组合输入'!$H6^2)*W398)</f>
        <v/>
      </c>
      <c r="Y398" s="7">
        <f>IF(X398="","",NORM.S.DIST(X398,TRUE))</f>
        <v/>
      </c>
      <c r="Z398" s="13">
        <f>IF(Y398="","",IF(Y398&lt;='组合输入'!$K6,"AAA",IF(Y398&lt;='组合输入'!$L6,"AA",IF(Y398&lt;='组合输入'!$M6,"A",IF(Y398&lt;='组合输入'!$N6,"BBB",IF(Y398&lt;='组合输入'!$O6,"BB",IF(Y398&lt;='组合输入'!$P6,"B",IF(Y398&lt;='组合输入'!$Q6,"CCC","D")))))))</f>
        <v/>
      </c>
      <c r="AA398" s="12">
        <f>IF(Z398="","",INDEX('状态价值'!$D6:$K6,MATCH(Z398,'状态价值'!$D$1:$K$1,0)))</f>
        <v/>
      </c>
      <c r="AB398" s="15">
        <f>NORM.S.INV(RAND())</f>
        <v/>
      </c>
      <c r="AC398" s="15">
        <f>IF('组合输入'!$C7="","",'组合输入'!$H7*$B398+SQRT(1-'组合输入'!$H7^2)*AB398)</f>
        <v/>
      </c>
      <c r="AD398" s="7">
        <f>IF(AC398="","",NORM.S.DIST(AC398,TRUE))</f>
        <v/>
      </c>
      <c r="AE398" s="13">
        <f>IF(AD398="","",IF(AD398&lt;='组合输入'!$K7,"AAA",IF(AD398&lt;='组合输入'!$L7,"AA",IF(AD398&lt;='组合输入'!$M7,"A",IF(AD398&lt;='组合输入'!$N7,"BBB",IF(AD398&lt;='组合输入'!$O7,"BB",IF(AD398&lt;='组合输入'!$P7,"B",IF(AD398&lt;='组合输入'!$Q7,"CCC","D")))))))</f>
        <v/>
      </c>
      <c r="AF398" s="12">
        <f>IF(AE398="","",INDEX('状态价值'!$D7:$K7,MATCH(AE398,'状态价值'!$D$1:$K$1,0)))</f>
        <v/>
      </c>
      <c r="AG398" s="15">
        <f>NORM.S.INV(RAND())</f>
        <v/>
      </c>
      <c r="AH398" s="15">
        <f>IF('组合输入'!$C8="","",'组合输入'!$H8*$B398+SQRT(1-'组合输入'!$H8^2)*AG398)</f>
        <v/>
      </c>
      <c r="AI398" s="7">
        <f>IF(AH398="","",NORM.S.DIST(AH398,TRUE))</f>
        <v/>
      </c>
      <c r="AJ398" s="13">
        <f>IF(AI398="","",IF(AI398&lt;='组合输入'!$K8,"AAA",IF(AI398&lt;='组合输入'!$L8,"AA",IF(AI398&lt;='组合输入'!$M8,"A",IF(AI398&lt;='组合输入'!$N8,"BBB",IF(AI398&lt;='组合输入'!$O8,"BB",IF(AI398&lt;='组合输入'!$P8,"B",IF(AI398&lt;='组合输入'!$Q8,"CCC","D")))))))</f>
        <v/>
      </c>
      <c r="AK398" s="12">
        <f>IF(AJ398="","",INDEX('状态价值'!$D8:$K8,MATCH(AJ398,'状态价值'!$D$1:$K$1,0)))</f>
        <v/>
      </c>
      <c r="AL398" s="15">
        <f>NORM.S.INV(RAND())</f>
        <v/>
      </c>
      <c r="AM398" s="15">
        <f>IF('组合输入'!$C9="","",'组合输入'!$H9*$B398+SQRT(1-'组合输入'!$H9^2)*AL398)</f>
        <v/>
      </c>
      <c r="AN398" s="7">
        <f>IF(AM398="","",NORM.S.DIST(AM398,TRUE))</f>
        <v/>
      </c>
      <c r="AO398" s="13">
        <f>IF(AN398="","",IF(AN398&lt;='组合输入'!$K9,"AAA",IF(AN398&lt;='组合输入'!$L9,"AA",IF(AN398&lt;='组合输入'!$M9,"A",IF(AN398&lt;='组合输入'!$N9,"BBB",IF(AN398&lt;='组合输入'!$O9,"BB",IF(AN398&lt;='组合输入'!$P9,"B",IF(AN398&lt;='组合输入'!$Q9,"CCC","D")))))))</f>
        <v/>
      </c>
      <c r="AP398" s="12">
        <f>IF(AO398="","",INDEX('状态价值'!$D9:$K9,MATCH(AO398,'状态价值'!$D$1:$K$1,0)))</f>
        <v/>
      </c>
      <c r="AQ398" s="15">
        <f>NORM.S.INV(RAND())</f>
        <v/>
      </c>
      <c r="AR398" s="15">
        <f>IF('组合输入'!$C10="","",'组合输入'!$H10*$B398+SQRT(1-'组合输入'!$H10^2)*AQ398)</f>
        <v/>
      </c>
      <c r="AS398" s="7">
        <f>IF(AR398="","",NORM.S.DIST(AR398,TRUE))</f>
        <v/>
      </c>
      <c r="AT398" s="13">
        <f>IF(AS398="","",IF(AS398&lt;='组合输入'!$K10,"AAA",IF(AS398&lt;='组合输入'!$L10,"AA",IF(AS398&lt;='组合输入'!$M10,"A",IF(AS398&lt;='组合输入'!$N10,"BBB",IF(AS398&lt;='组合输入'!$O10,"BB",IF(AS398&lt;='组合输入'!$P10,"B",IF(AS398&lt;='组合输入'!$Q10,"CCC","D")))))))</f>
        <v/>
      </c>
      <c r="AU398" s="12">
        <f>IF(AT398="","",INDEX('状态价值'!$D10:$K10,MATCH(AT398,'状态价值'!$D$1:$K$1,0)))</f>
        <v/>
      </c>
      <c r="AV398" s="15">
        <f>NORM.S.INV(RAND())</f>
        <v/>
      </c>
      <c r="AW398" s="15">
        <f>IF('组合输入'!$C11="","",'组合输入'!$H11*$B398+SQRT(1-'组合输入'!$H11^2)*AV398)</f>
        <v/>
      </c>
      <c r="AX398" s="7">
        <f>IF(AW398="","",NORM.S.DIST(AW398,TRUE))</f>
        <v/>
      </c>
      <c r="AY398" s="13">
        <f>IF(AX398="","",IF(AX398&lt;='组合输入'!$K11,"AAA",IF(AX398&lt;='组合输入'!$L11,"AA",IF(AX398&lt;='组合输入'!$M11,"A",IF(AX398&lt;='组合输入'!$N11,"BBB",IF(AX398&lt;='组合输入'!$O11,"BB",IF(AX398&lt;='组合输入'!$P11,"B",IF(AX398&lt;='组合输入'!$Q11,"CCC","D")))))))</f>
        <v/>
      </c>
      <c r="AZ398" s="12">
        <f>IF(AY398="","",INDEX('状态价值'!$D11:$K11,MATCH(AY398,'状态价值'!$D$1:$K$1,0)))</f>
        <v/>
      </c>
      <c r="BA398" s="12">
        <f>G398+L398+Q398+V398+AA398+AF398+AK398+AP398+AU398+AZ398</f>
        <v/>
      </c>
      <c r="BB398" s="12">
        <f>SUM('组合输入'!$J$2:$J$11)-BA398</f>
        <v/>
      </c>
    </row>
    <row r="399">
      <c r="A399" s="11" t="n">
        <v>398</v>
      </c>
      <c r="B399" s="14">
        <f>NORM.S.INV(RAND())</f>
        <v/>
      </c>
      <c r="C399" s="14">
        <f>NORM.S.INV(RAND())</f>
        <v/>
      </c>
      <c r="D399" s="15">
        <f>IF('组合输入'!$C2="","",'组合输入'!$H2*$B399+SQRT(1-'组合输入'!$H2^2)*C399)</f>
        <v/>
      </c>
      <c r="E399" s="7">
        <f>IF(D399="","",NORM.S.DIST(D399,TRUE))</f>
        <v/>
      </c>
      <c r="F399" s="13">
        <f>IF(E399="","",IF(E399&lt;='组合输入'!$K2,"AAA",IF(E399&lt;='组合输入'!$L2,"AA",IF(E399&lt;='组合输入'!$M2,"A",IF(E399&lt;='组合输入'!$N2,"BBB",IF(E399&lt;='组合输入'!$O2,"BB",IF(E399&lt;='组合输入'!$P2,"B",IF(E399&lt;='组合输入'!$Q2,"CCC","D")))))))</f>
        <v/>
      </c>
      <c r="G399" s="12">
        <f>IF(F399="","",INDEX('状态价值'!$D2:$K2,MATCH(F399,'状态价值'!$D$1:$K$1,0)))</f>
        <v/>
      </c>
      <c r="H399" s="15">
        <f>NORM.S.INV(RAND())</f>
        <v/>
      </c>
      <c r="I399" s="15">
        <f>IF('组合输入'!$C3="","",'组合输入'!$H3*$B399+SQRT(1-'组合输入'!$H3^2)*H399)</f>
        <v/>
      </c>
      <c r="J399" s="7">
        <f>IF(I399="","",NORM.S.DIST(I399,TRUE))</f>
        <v/>
      </c>
      <c r="K399" s="13">
        <f>IF(J399="","",IF(J399&lt;='组合输入'!$K3,"AAA",IF(J399&lt;='组合输入'!$L3,"AA",IF(J399&lt;='组合输入'!$M3,"A",IF(J399&lt;='组合输入'!$N3,"BBB",IF(J399&lt;='组合输入'!$O3,"BB",IF(J399&lt;='组合输入'!$P3,"B",IF(J399&lt;='组合输入'!$Q3,"CCC","D")))))))</f>
        <v/>
      </c>
      <c r="L399" s="12">
        <f>IF(K399="","",INDEX('状态价值'!$D3:$K3,MATCH(K399,'状态价值'!$D$1:$K$1,0)))</f>
        <v/>
      </c>
      <c r="M399" s="15">
        <f>NORM.S.INV(RAND())</f>
        <v/>
      </c>
      <c r="N399" s="15">
        <f>IF('组合输入'!$C4="","",'组合输入'!$H4*$B399+SQRT(1-'组合输入'!$H4^2)*M399)</f>
        <v/>
      </c>
      <c r="O399" s="7">
        <f>IF(N399="","",NORM.S.DIST(N399,TRUE))</f>
        <v/>
      </c>
      <c r="P399" s="13">
        <f>IF(O399="","",IF(O399&lt;='组合输入'!$K4,"AAA",IF(O399&lt;='组合输入'!$L4,"AA",IF(O399&lt;='组合输入'!$M4,"A",IF(O399&lt;='组合输入'!$N4,"BBB",IF(O399&lt;='组合输入'!$O4,"BB",IF(O399&lt;='组合输入'!$P4,"B",IF(O399&lt;='组合输入'!$Q4,"CCC","D")))))))</f>
        <v/>
      </c>
      <c r="Q399" s="12">
        <f>IF(P399="","",INDEX('状态价值'!$D4:$K4,MATCH(P399,'状态价值'!$D$1:$K$1,0)))</f>
        <v/>
      </c>
      <c r="R399" s="15">
        <f>NORM.S.INV(RAND())</f>
        <v/>
      </c>
      <c r="S399" s="15">
        <f>IF('组合输入'!$C5="","",'组合输入'!$H5*$B399+SQRT(1-'组合输入'!$H5^2)*R399)</f>
        <v/>
      </c>
      <c r="T399" s="7">
        <f>IF(S399="","",NORM.S.DIST(S399,TRUE))</f>
        <v/>
      </c>
      <c r="U399" s="13">
        <f>IF(T399="","",IF(T399&lt;='组合输入'!$K5,"AAA",IF(T399&lt;='组合输入'!$L5,"AA",IF(T399&lt;='组合输入'!$M5,"A",IF(T399&lt;='组合输入'!$N5,"BBB",IF(T399&lt;='组合输入'!$O5,"BB",IF(T399&lt;='组合输入'!$P5,"B",IF(T399&lt;='组合输入'!$Q5,"CCC","D")))))))</f>
        <v/>
      </c>
      <c r="V399" s="12">
        <f>IF(U399="","",INDEX('状态价值'!$D5:$K5,MATCH(U399,'状态价值'!$D$1:$K$1,0)))</f>
        <v/>
      </c>
      <c r="W399" s="15">
        <f>NORM.S.INV(RAND())</f>
        <v/>
      </c>
      <c r="X399" s="15">
        <f>IF('组合输入'!$C6="","",'组合输入'!$H6*$B399+SQRT(1-'组合输入'!$H6^2)*W399)</f>
        <v/>
      </c>
      <c r="Y399" s="7">
        <f>IF(X399="","",NORM.S.DIST(X399,TRUE))</f>
        <v/>
      </c>
      <c r="Z399" s="13">
        <f>IF(Y399="","",IF(Y399&lt;='组合输入'!$K6,"AAA",IF(Y399&lt;='组合输入'!$L6,"AA",IF(Y399&lt;='组合输入'!$M6,"A",IF(Y399&lt;='组合输入'!$N6,"BBB",IF(Y399&lt;='组合输入'!$O6,"BB",IF(Y399&lt;='组合输入'!$P6,"B",IF(Y399&lt;='组合输入'!$Q6,"CCC","D")))))))</f>
        <v/>
      </c>
      <c r="AA399" s="12">
        <f>IF(Z399="","",INDEX('状态价值'!$D6:$K6,MATCH(Z399,'状态价值'!$D$1:$K$1,0)))</f>
        <v/>
      </c>
      <c r="AB399" s="15">
        <f>NORM.S.INV(RAND())</f>
        <v/>
      </c>
      <c r="AC399" s="15">
        <f>IF('组合输入'!$C7="","",'组合输入'!$H7*$B399+SQRT(1-'组合输入'!$H7^2)*AB399)</f>
        <v/>
      </c>
      <c r="AD399" s="7">
        <f>IF(AC399="","",NORM.S.DIST(AC399,TRUE))</f>
        <v/>
      </c>
      <c r="AE399" s="13">
        <f>IF(AD399="","",IF(AD399&lt;='组合输入'!$K7,"AAA",IF(AD399&lt;='组合输入'!$L7,"AA",IF(AD399&lt;='组合输入'!$M7,"A",IF(AD399&lt;='组合输入'!$N7,"BBB",IF(AD399&lt;='组合输入'!$O7,"BB",IF(AD399&lt;='组合输入'!$P7,"B",IF(AD399&lt;='组合输入'!$Q7,"CCC","D")))))))</f>
        <v/>
      </c>
      <c r="AF399" s="12">
        <f>IF(AE399="","",INDEX('状态价值'!$D7:$K7,MATCH(AE399,'状态价值'!$D$1:$K$1,0)))</f>
        <v/>
      </c>
      <c r="AG399" s="15">
        <f>NORM.S.INV(RAND())</f>
        <v/>
      </c>
      <c r="AH399" s="15">
        <f>IF('组合输入'!$C8="","",'组合输入'!$H8*$B399+SQRT(1-'组合输入'!$H8^2)*AG399)</f>
        <v/>
      </c>
      <c r="AI399" s="7">
        <f>IF(AH399="","",NORM.S.DIST(AH399,TRUE))</f>
        <v/>
      </c>
      <c r="AJ399" s="13">
        <f>IF(AI399="","",IF(AI399&lt;='组合输入'!$K8,"AAA",IF(AI399&lt;='组合输入'!$L8,"AA",IF(AI399&lt;='组合输入'!$M8,"A",IF(AI399&lt;='组合输入'!$N8,"BBB",IF(AI399&lt;='组合输入'!$O8,"BB",IF(AI399&lt;='组合输入'!$P8,"B",IF(AI399&lt;='组合输入'!$Q8,"CCC","D")))))))</f>
        <v/>
      </c>
      <c r="AK399" s="12">
        <f>IF(AJ399="","",INDEX('状态价值'!$D8:$K8,MATCH(AJ399,'状态价值'!$D$1:$K$1,0)))</f>
        <v/>
      </c>
      <c r="AL399" s="15">
        <f>NORM.S.INV(RAND())</f>
        <v/>
      </c>
      <c r="AM399" s="15">
        <f>IF('组合输入'!$C9="","",'组合输入'!$H9*$B399+SQRT(1-'组合输入'!$H9^2)*AL399)</f>
        <v/>
      </c>
      <c r="AN399" s="7">
        <f>IF(AM399="","",NORM.S.DIST(AM399,TRUE))</f>
        <v/>
      </c>
      <c r="AO399" s="13">
        <f>IF(AN399="","",IF(AN399&lt;='组合输入'!$K9,"AAA",IF(AN399&lt;='组合输入'!$L9,"AA",IF(AN399&lt;='组合输入'!$M9,"A",IF(AN399&lt;='组合输入'!$N9,"BBB",IF(AN399&lt;='组合输入'!$O9,"BB",IF(AN399&lt;='组合输入'!$P9,"B",IF(AN399&lt;='组合输入'!$Q9,"CCC","D")))))))</f>
        <v/>
      </c>
      <c r="AP399" s="12">
        <f>IF(AO399="","",INDEX('状态价值'!$D9:$K9,MATCH(AO399,'状态价值'!$D$1:$K$1,0)))</f>
        <v/>
      </c>
      <c r="AQ399" s="15">
        <f>NORM.S.INV(RAND())</f>
        <v/>
      </c>
      <c r="AR399" s="15">
        <f>IF('组合输入'!$C10="","",'组合输入'!$H10*$B399+SQRT(1-'组合输入'!$H10^2)*AQ399)</f>
        <v/>
      </c>
      <c r="AS399" s="7">
        <f>IF(AR399="","",NORM.S.DIST(AR399,TRUE))</f>
        <v/>
      </c>
      <c r="AT399" s="13">
        <f>IF(AS399="","",IF(AS399&lt;='组合输入'!$K10,"AAA",IF(AS399&lt;='组合输入'!$L10,"AA",IF(AS399&lt;='组合输入'!$M10,"A",IF(AS399&lt;='组合输入'!$N10,"BBB",IF(AS399&lt;='组合输入'!$O10,"BB",IF(AS399&lt;='组合输入'!$P10,"B",IF(AS399&lt;='组合输入'!$Q10,"CCC","D")))))))</f>
        <v/>
      </c>
      <c r="AU399" s="12">
        <f>IF(AT399="","",INDEX('状态价值'!$D10:$K10,MATCH(AT399,'状态价值'!$D$1:$K$1,0)))</f>
        <v/>
      </c>
      <c r="AV399" s="15">
        <f>NORM.S.INV(RAND())</f>
        <v/>
      </c>
      <c r="AW399" s="15">
        <f>IF('组合输入'!$C11="","",'组合输入'!$H11*$B399+SQRT(1-'组合输入'!$H11^2)*AV399)</f>
        <v/>
      </c>
      <c r="AX399" s="7">
        <f>IF(AW399="","",NORM.S.DIST(AW399,TRUE))</f>
        <v/>
      </c>
      <c r="AY399" s="13">
        <f>IF(AX399="","",IF(AX399&lt;='组合输入'!$K11,"AAA",IF(AX399&lt;='组合输入'!$L11,"AA",IF(AX399&lt;='组合输入'!$M11,"A",IF(AX399&lt;='组合输入'!$N11,"BBB",IF(AX399&lt;='组合输入'!$O11,"BB",IF(AX399&lt;='组合输入'!$P11,"B",IF(AX399&lt;='组合输入'!$Q11,"CCC","D")))))))</f>
        <v/>
      </c>
      <c r="AZ399" s="12">
        <f>IF(AY399="","",INDEX('状态价值'!$D11:$K11,MATCH(AY399,'状态价值'!$D$1:$K$1,0)))</f>
        <v/>
      </c>
      <c r="BA399" s="12">
        <f>G399+L399+Q399+V399+AA399+AF399+AK399+AP399+AU399+AZ399</f>
        <v/>
      </c>
      <c r="BB399" s="12">
        <f>SUM('组合输入'!$J$2:$J$11)-BA399</f>
        <v/>
      </c>
    </row>
    <row r="400">
      <c r="A400" s="11" t="n">
        <v>399</v>
      </c>
      <c r="B400" s="14">
        <f>NORM.S.INV(RAND())</f>
        <v/>
      </c>
      <c r="C400" s="14">
        <f>NORM.S.INV(RAND())</f>
        <v/>
      </c>
      <c r="D400" s="15">
        <f>IF('组合输入'!$C2="","",'组合输入'!$H2*$B400+SQRT(1-'组合输入'!$H2^2)*C400)</f>
        <v/>
      </c>
      <c r="E400" s="7">
        <f>IF(D400="","",NORM.S.DIST(D400,TRUE))</f>
        <v/>
      </c>
      <c r="F400" s="13">
        <f>IF(E400="","",IF(E400&lt;='组合输入'!$K2,"AAA",IF(E400&lt;='组合输入'!$L2,"AA",IF(E400&lt;='组合输入'!$M2,"A",IF(E400&lt;='组合输入'!$N2,"BBB",IF(E400&lt;='组合输入'!$O2,"BB",IF(E400&lt;='组合输入'!$P2,"B",IF(E400&lt;='组合输入'!$Q2,"CCC","D")))))))</f>
        <v/>
      </c>
      <c r="G400" s="12">
        <f>IF(F400="","",INDEX('状态价值'!$D2:$K2,MATCH(F400,'状态价值'!$D$1:$K$1,0)))</f>
        <v/>
      </c>
      <c r="H400" s="15">
        <f>NORM.S.INV(RAND())</f>
        <v/>
      </c>
      <c r="I400" s="15">
        <f>IF('组合输入'!$C3="","",'组合输入'!$H3*$B400+SQRT(1-'组合输入'!$H3^2)*H400)</f>
        <v/>
      </c>
      <c r="J400" s="7">
        <f>IF(I400="","",NORM.S.DIST(I400,TRUE))</f>
        <v/>
      </c>
      <c r="K400" s="13">
        <f>IF(J400="","",IF(J400&lt;='组合输入'!$K3,"AAA",IF(J400&lt;='组合输入'!$L3,"AA",IF(J400&lt;='组合输入'!$M3,"A",IF(J400&lt;='组合输入'!$N3,"BBB",IF(J400&lt;='组合输入'!$O3,"BB",IF(J400&lt;='组合输入'!$P3,"B",IF(J400&lt;='组合输入'!$Q3,"CCC","D")))))))</f>
        <v/>
      </c>
      <c r="L400" s="12">
        <f>IF(K400="","",INDEX('状态价值'!$D3:$K3,MATCH(K400,'状态价值'!$D$1:$K$1,0)))</f>
        <v/>
      </c>
      <c r="M400" s="15">
        <f>NORM.S.INV(RAND())</f>
        <v/>
      </c>
      <c r="N400" s="15">
        <f>IF('组合输入'!$C4="","",'组合输入'!$H4*$B400+SQRT(1-'组合输入'!$H4^2)*M400)</f>
        <v/>
      </c>
      <c r="O400" s="7">
        <f>IF(N400="","",NORM.S.DIST(N400,TRUE))</f>
        <v/>
      </c>
      <c r="P400" s="13">
        <f>IF(O400="","",IF(O400&lt;='组合输入'!$K4,"AAA",IF(O400&lt;='组合输入'!$L4,"AA",IF(O400&lt;='组合输入'!$M4,"A",IF(O400&lt;='组合输入'!$N4,"BBB",IF(O400&lt;='组合输入'!$O4,"BB",IF(O400&lt;='组合输入'!$P4,"B",IF(O400&lt;='组合输入'!$Q4,"CCC","D")))))))</f>
        <v/>
      </c>
      <c r="Q400" s="12">
        <f>IF(P400="","",INDEX('状态价值'!$D4:$K4,MATCH(P400,'状态价值'!$D$1:$K$1,0)))</f>
        <v/>
      </c>
      <c r="R400" s="15">
        <f>NORM.S.INV(RAND())</f>
        <v/>
      </c>
      <c r="S400" s="15">
        <f>IF('组合输入'!$C5="","",'组合输入'!$H5*$B400+SQRT(1-'组合输入'!$H5^2)*R400)</f>
        <v/>
      </c>
      <c r="T400" s="7">
        <f>IF(S400="","",NORM.S.DIST(S400,TRUE))</f>
        <v/>
      </c>
      <c r="U400" s="13">
        <f>IF(T400="","",IF(T400&lt;='组合输入'!$K5,"AAA",IF(T400&lt;='组合输入'!$L5,"AA",IF(T400&lt;='组合输入'!$M5,"A",IF(T400&lt;='组合输入'!$N5,"BBB",IF(T400&lt;='组合输入'!$O5,"BB",IF(T400&lt;='组合输入'!$P5,"B",IF(T400&lt;='组合输入'!$Q5,"CCC","D")))))))</f>
        <v/>
      </c>
      <c r="V400" s="12">
        <f>IF(U400="","",INDEX('状态价值'!$D5:$K5,MATCH(U400,'状态价值'!$D$1:$K$1,0)))</f>
        <v/>
      </c>
      <c r="W400" s="15">
        <f>NORM.S.INV(RAND())</f>
        <v/>
      </c>
      <c r="X400" s="15">
        <f>IF('组合输入'!$C6="","",'组合输入'!$H6*$B400+SQRT(1-'组合输入'!$H6^2)*W400)</f>
        <v/>
      </c>
      <c r="Y400" s="7">
        <f>IF(X400="","",NORM.S.DIST(X400,TRUE))</f>
        <v/>
      </c>
      <c r="Z400" s="13">
        <f>IF(Y400="","",IF(Y400&lt;='组合输入'!$K6,"AAA",IF(Y400&lt;='组合输入'!$L6,"AA",IF(Y400&lt;='组合输入'!$M6,"A",IF(Y400&lt;='组合输入'!$N6,"BBB",IF(Y400&lt;='组合输入'!$O6,"BB",IF(Y400&lt;='组合输入'!$P6,"B",IF(Y400&lt;='组合输入'!$Q6,"CCC","D")))))))</f>
        <v/>
      </c>
      <c r="AA400" s="12">
        <f>IF(Z400="","",INDEX('状态价值'!$D6:$K6,MATCH(Z400,'状态价值'!$D$1:$K$1,0)))</f>
        <v/>
      </c>
      <c r="AB400" s="15">
        <f>NORM.S.INV(RAND())</f>
        <v/>
      </c>
      <c r="AC400" s="15">
        <f>IF('组合输入'!$C7="","",'组合输入'!$H7*$B400+SQRT(1-'组合输入'!$H7^2)*AB400)</f>
        <v/>
      </c>
      <c r="AD400" s="7">
        <f>IF(AC400="","",NORM.S.DIST(AC400,TRUE))</f>
        <v/>
      </c>
      <c r="AE400" s="13">
        <f>IF(AD400="","",IF(AD400&lt;='组合输入'!$K7,"AAA",IF(AD400&lt;='组合输入'!$L7,"AA",IF(AD400&lt;='组合输入'!$M7,"A",IF(AD400&lt;='组合输入'!$N7,"BBB",IF(AD400&lt;='组合输入'!$O7,"BB",IF(AD400&lt;='组合输入'!$P7,"B",IF(AD400&lt;='组合输入'!$Q7,"CCC","D")))))))</f>
        <v/>
      </c>
      <c r="AF400" s="12">
        <f>IF(AE400="","",INDEX('状态价值'!$D7:$K7,MATCH(AE400,'状态价值'!$D$1:$K$1,0)))</f>
        <v/>
      </c>
      <c r="AG400" s="15">
        <f>NORM.S.INV(RAND())</f>
        <v/>
      </c>
      <c r="AH400" s="15">
        <f>IF('组合输入'!$C8="","",'组合输入'!$H8*$B400+SQRT(1-'组合输入'!$H8^2)*AG400)</f>
        <v/>
      </c>
      <c r="AI400" s="7">
        <f>IF(AH400="","",NORM.S.DIST(AH400,TRUE))</f>
        <v/>
      </c>
      <c r="AJ400" s="13">
        <f>IF(AI400="","",IF(AI400&lt;='组合输入'!$K8,"AAA",IF(AI400&lt;='组合输入'!$L8,"AA",IF(AI400&lt;='组合输入'!$M8,"A",IF(AI400&lt;='组合输入'!$N8,"BBB",IF(AI400&lt;='组合输入'!$O8,"BB",IF(AI400&lt;='组合输入'!$P8,"B",IF(AI400&lt;='组合输入'!$Q8,"CCC","D")))))))</f>
        <v/>
      </c>
      <c r="AK400" s="12">
        <f>IF(AJ400="","",INDEX('状态价值'!$D8:$K8,MATCH(AJ400,'状态价值'!$D$1:$K$1,0)))</f>
        <v/>
      </c>
      <c r="AL400" s="15">
        <f>NORM.S.INV(RAND())</f>
        <v/>
      </c>
      <c r="AM400" s="15">
        <f>IF('组合输入'!$C9="","",'组合输入'!$H9*$B400+SQRT(1-'组合输入'!$H9^2)*AL400)</f>
        <v/>
      </c>
      <c r="AN400" s="7">
        <f>IF(AM400="","",NORM.S.DIST(AM400,TRUE))</f>
        <v/>
      </c>
      <c r="AO400" s="13">
        <f>IF(AN400="","",IF(AN400&lt;='组合输入'!$K9,"AAA",IF(AN400&lt;='组合输入'!$L9,"AA",IF(AN400&lt;='组合输入'!$M9,"A",IF(AN400&lt;='组合输入'!$N9,"BBB",IF(AN400&lt;='组合输入'!$O9,"BB",IF(AN400&lt;='组合输入'!$P9,"B",IF(AN400&lt;='组合输入'!$Q9,"CCC","D")))))))</f>
        <v/>
      </c>
      <c r="AP400" s="12">
        <f>IF(AO400="","",INDEX('状态价值'!$D9:$K9,MATCH(AO400,'状态价值'!$D$1:$K$1,0)))</f>
        <v/>
      </c>
      <c r="AQ400" s="15">
        <f>NORM.S.INV(RAND())</f>
        <v/>
      </c>
      <c r="AR400" s="15">
        <f>IF('组合输入'!$C10="","",'组合输入'!$H10*$B400+SQRT(1-'组合输入'!$H10^2)*AQ400)</f>
        <v/>
      </c>
      <c r="AS400" s="7">
        <f>IF(AR400="","",NORM.S.DIST(AR400,TRUE))</f>
        <v/>
      </c>
      <c r="AT400" s="13">
        <f>IF(AS400="","",IF(AS400&lt;='组合输入'!$K10,"AAA",IF(AS400&lt;='组合输入'!$L10,"AA",IF(AS400&lt;='组合输入'!$M10,"A",IF(AS400&lt;='组合输入'!$N10,"BBB",IF(AS400&lt;='组合输入'!$O10,"BB",IF(AS400&lt;='组合输入'!$P10,"B",IF(AS400&lt;='组合输入'!$Q10,"CCC","D")))))))</f>
        <v/>
      </c>
      <c r="AU400" s="12">
        <f>IF(AT400="","",INDEX('状态价值'!$D10:$K10,MATCH(AT400,'状态价值'!$D$1:$K$1,0)))</f>
        <v/>
      </c>
      <c r="AV400" s="15">
        <f>NORM.S.INV(RAND())</f>
        <v/>
      </c>
      <c r="AW400" s="15">
        <f>IF('组合输入'!$C11="","",'组合输入'!$H11*$B400+SQRT(1-'组合输入'!$H11^2)*AV400)</f>
        <v/>
      </c>
      <c r="AX400" s="7">
        <f>IF(AW400="","",NORM.S.DIST(AW400,TRUE))</f>
        <v/>
      </c>
      <c r="AY400" s="13">
        <f>IF(AX400="","",IF(AX400&lt;='组合输入'!$K11,"AAA",IF(AX400&lt;='组合输入'!$L11,"AA",IF(AX400&lt;='组合输入'!$M11,"A",IF(AX400&lt;='组合输入'!$N11,"BBB",IF(AX400&lt;='组合输入'!$O11,"BB",IF(AX400&lt;='组合输入'!$P11,"B",IF(AX400&lt;='组合输入'!$Q11,"CCC","D")))))))</f>
        <v/>
      </c>
      <c r="AZ400" s="12">
        <f>IF(AY400="","",INDEX('状态价值'!$D11:$K11,MATCH(AY400,'状态价值'!$D$1:$K$1,0)))</f>
        <v/>
      </c>
      <c r="BA400" s="12">
        <f>G400+L400+Q400+V400+AA400+AF400+AK400+AP400+AU400+AZ400</f>
        <v/>
      </c>
      <c r="BB400" s="12">
        <f>SUM('组合输入'!$J$2:$J$11)-BA400</f>
        <v/>
      </c>
    </row>
    <row r="401">
      <c r="A401" s="11" t="n">
        <v>400</v>
      </c>
      <c r="B401" s="14">
        <f>NORM.S.INV(RAND())</f>
        <v/>
      </c>
      <c r="C401" s="14">
        <f>NORM.S.INV(RAND())</f>
        <v/>
      </c>
      <c r="D401" s="15">
        <f>IF('组合输入'!$C2="","",'组合输入'!$H2*$B401+SQRT(1-'组合输入'!$H2^2)*C401)</f>
        <v/>
      </c>
      <c r="E401" s="7">
        <f>IF(D401="","",NORM.S.DIST(D401,TRUE))</f>
        <v/>
      </c>
      <c r="F401" s="13">
        <f>IF(E401="","",IF(E401&lt;='组合输入'!$K2,"AAA",IF(E401&lt;='组合输入'!$L2,"AA",IF(E401&lt;='组合输入'!$M2,"A",IF(E401&lt;='组合输入'!$N2,"BBB",IF(E401&lt;='组合输入'!$O2,"BB",IF(E401&lt;='组合输入'!$P2,"B",IF(E401&lt;='组合输入'!$Q2,"CCC","D")))))))</f>
        <v/>
      </c>
      <c r="G401" s="12">
        <f>IF(F401="","",INDEX('状态价值'!$D2:$K2,MATCH(F401,'状态价值'!$D$1:$K$1,0)))</f>
        <v/>
      </c>
      <c r="H401" s="15">
        <f>NORM.S.INV(RAND())</f>
        <v/>
      </c>
      <c r="I401" s="15">
        <f>IF('组合输入'!$C3="","",'组合输入'!$H3*$B401+SQRT(1-'组合输入'!$H3^2)*H401)</f>
        <v/>
      </c>
      <c r="J401" s="7">
        <f>IF(I401="","",NORM.S.DIST(I401,TRUE))</f>
        <v/>
      </c>
      <c r="K401" s="13">
        <f>IF(J401="","",IF(J401&lt;='组合输入'!$K3,"AAA",IF(J401&lt;='组合输入'!$L3,"AA",IF(J401&lt;='组合输入'!$M3,"A",IF(J401&lt;='组合输入'!$N3,"BBB",IF(J401&lt;='组合输入'!$O3,"BB",IF(J401&lt;='组合输入'!$P3,"B",IF(J401&lt;='组合输入'!$Q3,"CCC","D")))))))</f>
        <v/>
      </c>
      <c r="L401" s="12">
        <f>IF(K401="","",INDEX('状态价值'!$D3:$K3,MATCH(K401,'状态价值'!$D$1:$K$1,0)))</f>
        <v/>
      </c>
      <c r="M401" s="15">
        <f>NORM.S.INV(RAND())</f>
        <v/>
      </c>
      <c r="N401" s="15">
        <f>IF('组合输入'!$C4="","",'组合输入'!$H4*$B401+SQRT(1-'组合输入'!$H4^2)*M401)</f>
        <v/>
      </c>
      <c r="O401" s="7">
        <f>IF(N401="","",NORM.S.DIST(N401,TRUE))</f>
        <v/>
      </c>
      <c r="P401" s="13">
        <f>IF(O401="","",IF(O401&lt;='组合输入'!$K4,"AAA",IF(O401&lt;='组合输入'!$L4,"AA",IF(O401&lt;='组合输入'!$M4,"A",IF(O401&lt;='组合输入'!$N4,"BBB",IF(O401&lt;='组合输入'!$O4,"BB",IF(O401&lt;='组合输入'!$P4,"B",IF(O401&lt;='组合输入'!$Q4,"CCC","D")))))))</f>
        <v/>
      </c>
      <c r="Q401" s="12">
        <f>IF(P401="","",INDEX('状态价值'!$D4:$K4,MATCH(P401,'状态价值'!$D$1:$K$1,0)))</f>
        <v/>
      </c>
      <c r="R401" s="15">
        <f>NORM.S.INV(RAND())</f>
        <v/>
      </c>
      <c r="S401" s="15">
        <f>IF('组合输入'!$C5="","",'组合输入'!$H5*$B401+SQRT(1-'组合输入'!$H5^2)*R401)</f>
        <v/>
      </c>
      <c r="T401" s="7">
        <f>IF(S401="","",NORM.S.DIST(S401,TRUE))</f>
        <v/>
      </c>
      <c r="U401" s="13">
        <f>IF(T401="","",IF(T401&lt;='组合输入'!$K5,"AAA",IF(T401&lt;='组合输入'!$L5,"AA",IF(T401&lt;='组合输入'!$M5,"A",IF(T401&lt;='组合输入'!$N5,"BBB",IF(T401&lt;='组合输入'!$O5,"BB",IF(T401&lt;='组合输入'!$P5,"B",IF(T401&lt;='组合输入'!$Q5,"CCC","D")))))))</f>
        <v/>
      </c>
      <c r="V401" s="12">
        <f>IF(U401="","",INDEX('状态价值'!$D5:$K5,MATCH(U401,'状态价值'!$D$1:$K$1,0)))</f>
        <v/>
      </c>
      <c r="W401" s="15">
        <f>NORM.S.INV(RAND())</f>
        <v/>
      </c>
      <c r="X401" s="15">
        <f>IF('组合输入'!$C6="","",'组合输入'!$H6*$B401+SQRT(1-'组合输入'!$H6^2)*W401)</f>
        <v/>
      </c>
      <c r="Y401" s="7">
        <f>IF(X401="","",NORM.S.DIST(X401,TRUE))</f>
        <v/>
      </c>
      <c r="Z401" s="13">
        <f>IF(Y401="","",IF(Y401&lt;='组合输入'!$K6,"AAA",IF(Y401&lt;='组合输入'!$L6,"AA",IF(Y401&lt;='组合输入'!$M6,"A",IF(Y401&lt;='组合输入'!$N6,"BBB",IF(Y401&lt;='组合输入'!$O6,"BB",IF(Y401&lt;='组合输入'!$P6,"B",IF(Y401&lt;='组合输入'!$Q6,"CCC","D")))))))</f>
        <v/>
      </c>
      <c r="AA401" s="12">
        <f>IF(Z401="","",INDEX('状态价值'!$D6:$K6,MATCH(Z401,'状态价值'!$D$1:$K$1,0)))</f>
        <v/>
      </c>
      <c r="AB401" s="15">
        <f>NORM.S.INV(RAND())</f>
        <v/>
      </c>
      <c r="AC401" s="15">
        <f>IF('组合输入'!$C7="","",'组合输入'!$H7*$B401+SQRT(1-'组合输入'!$H7^2)*AB401)</f>
        <v/>
      </c>
      <c r="AD401" s="7">
        <f>IF(AC401="","",NORM.S.DIST(AC401,TRUE))</f>
        <v/>
      </c>
      <c r="AE401" s="13">
        <f>IF(AD401="","",IF(AD401&lt;='组合输入'!$K7,"AAA",IF(AD401&lt;='组合输入'!$L7,"AA",IF(AD401&lt;='组合输入'!$M7,"A",IF(AD401&lt;='组合输入'!$N7,"BBB",IF(AD401&lt;='组合输入'!$O7,"BB",IF(AD401&lt;='组合输入'!$P7,"B",IF(AD401&lt;='组合输入'!$Q7,"CCC","D")))))))</f>
        <v/>
      </c>
      <c r="AF401" s="12">
        <f>IF(AE401="","",INDEX('状态价值'!$D7:$K7,MATCH(AE401,'状态价值'!$D$1:$K$1,0)))</f>
        <v/>
      </c>
      <c r="AG401" s="15">
        <f>NORM.S.INV(RAND())</f>
        <v/>
      </c>
      <c r="AH401" s="15">
        <f>IF('组合输入'!$C8="","",'组合输入'!$H8*$B401+SQRT(1-'组合输入'!$H8^2)*AG401)</f>
        <v/>
      </c>
      <c r="AI401" s="7">
        <f>IF(AH401="","",NORM.S.DIST(AH401,TRUE))</f>
        <v/>
      </c>
      <c r="AJ401" s="13">
        <f>IF(AI401="","",IF(AI401&lt;='组合输入'!$K8,"AAA",IF(AI401&lt;='组合输入'!$L8,"AA",IF(AI401&lt;='组合输入'!$M8,"A",IF(AI401&lt;='组合输入'!$N8,"BBB",IF(AI401&lt;='组合输入'!$O8,"BB",IF(AI401&lt;='组合输入'!$P8,"B",IF(AI401&lt;='组合输入'!$Q8,"CCC","D")))))))</f>
        <v/>
      </c>
      <c r="AK401" s="12">
        <f>IF(AJ401="","",INDEX('状态价值'!$D8:$K8,MATCH(AJ401,'状态价值'!$D$1:$K$1,0)))</f>
        <v/>
      </c>
      <c r="AL401" s="15">
        <f>NORM.S.INV(RAND())</f>
        <v/>
      </c>
      <c r="AM401" s="15">
        <f>IF('组合输入'!$C9="","",'组合输入'!$H9*$B401+SQRT(1-'组合输入'!$H9^2)*AL401)</f>
        <v/>
      </c>
      <c r="AN401" s="7">
        <f>IF(AM401="","",NORM.S.DIST(AM401,TRUE))</f>
        <v/>
      </c>
      <c r="AO401" s="13">
        <f>IF(AN401="","",IF(AN401&lt;='组合输入'!$K9,"AAA",IF(AN401&lt;='组合输入'!$L9,"AA",IF(AN401&lt;='组合输入'!$M9,"A",IF(AN401&lt;='组合输入'!$N9,"BBB",IF(AN401&lt;='组合输入'!$O9,"BB",IF(AN401&lt;='组合输入'!$P9,"B",IF(AN401&lt;='组合输入'!$Q9,"CCC","D")))))))</f>
        <v/>
      </c>
      <c r="AP401" s="12">
        <f>IF(AO401="","",INDEX('状态价值'!$D9:$K9,MATCH(AO401,'状态价值'!$D$1:$K$1,0)))</f>
        <v/>
      </c>
      <c r="AQ401" s="15">
        <f>NORM.S.INV(RAND())</f>
        <v/>
      </c>
      <c r="AR401" s="15">
        <f>IF('组合输入'!$C10="","",'组合输入'!$H10*$B401+SQRT(1-'组合输入'!$H10^2)*AQ401)</f>
        <v/>
      </c>
      <c r="AS401" s="7">
        <f>IF(AR401="","",NORM.S.DIST(AR401,TRUE))</f>
        <v/>
      </c>
      <c r="AT401" s="13">
        <f>IF(AS401="","",IF(AS401&lt;='组合输入'!$K10,"AAA",IF(AS401&lt;='组合输入'!$L10,"AA",IF(AS401&lt;='组合输入'!$M10,"A",IF(AS401&lt;='组合输入'!$N10,"BBB",IF(AS401&lt;='组合输入'!$O10,"BB",IF(AS401&lt;='组合输入'!$P10,"B",IF(AS401&lt;='组合输入'!$Q10,"CCC","D")))))))</f>
        <v/>
      </c>
      <c r="AU401" s="12">
        <f>IF(AT401="","",INDEX('状态价值'!$D10:$K10,MATCH(AT401,'状态价值'!$D$1:$K$1,0)))</f>
        <v/>
      </c>
      <c r="AV401" s="15">
        <f>NORM.S.INV(RAND())</f>
        <v/>
      </c>
      <c r="AW401" s="15">
        <f>IF('组合输入'!$C11="","",'组合输入'!$H11*$B401+SQRT(1-'组合输入'!$H11^2)*AV401)</f>
        <v/>
      </c>
      <c r="AX401" s="7">
        <f>IF(AW401="","",NORM.S.DIST(AW401,TRUE))</f>
        <v/>
      </c>
      <c r="AY401" s="13">
        <f>IF(AX401="","",IF(AX401&lt;='组合输入'!$K11,"AAA",IF(AX401&lt;='组合输入'!$L11,"AA",IF(AX401&lt;='组合输入'!$M11,"A",IF(AX401&lt;='组合输入'!$N11,"BBB",IF(AX401&lt;='组合输入'!$O11,"BB",IF(AX401&lt;='组合输入'!$P11,"B",IF(AX401&lt;='组合输入'!$Q11,"CCC","D")))))))</f>
        <v/>
      </c>
      <c r="AZ401" s="12">
        <f>IF(AY401="","",INDEX('状态价值'!$D11:$K11,MATCH(AY401,'状态价值'!$D$1:$K$1,0)))</f>
        <v/>
      </c>
      <c r="BA401" s="12">
        <f>G401+L401+Q401+V401+AA401+AF401+AK401+AP401+AU401+AZ401</f>
        <v/>
      </c>
      <c r="BB401" s="12">
        <f>SUM('组合输入'!$J$2:$J$11)-BA401</f>
        <v/>
      </c>
    </row>
    <row r="402">
      <c r="A402" s="11" t="n">
        <v>401</v>
      </c>
      <c r="B402" s="14">
        <f>NORM.S.INV(RAND())</f>
        <v/>
      </c>
      <c r="C402" s="14">
        <f>NORM.S.INV(RAND())</f>
        <v/>
      </c>
      <c r="D402" s="15">
        <f>IF('组合输入'!$C2="","",'组合输入'!$H2*$B402+SQRT(1-'组合输入'!$H2^2)*C402)</f>
        <v/>
      </c>
      <c r="E402" s="7">
        <f>IF(D402="","",NORM.S.DIST(D402,TRUE))</f>
        <v/>
      </c>
      <c r="F402" s="13">
        <f>IF(E402="","",IF(E402&lt;='组合输入'!$K2,"AAA",IF(E402&lt;='组合输入'!$L2,"AA",IF(E402&lt;='组合输入'!$M2,"A",IF(E402&lt;='组合输入'!$N2,"BBB",IF(E402&lt;='组合输入'!$O2,"BB",IF(E402&lt;='组合输入'!$P2,"B",IF(E402&lt;='组合输入'!$Q2,"CCC","D")))))))</f>
        <v/>
      </c>
      <c r="G402" s="12">
        <f>IF(F402="","",INDEX('状态价值'!$D2:$K2,MATCH(F402,'状态价值'!$D$1:$K$1,0)))</f>
        <v/>
      </c>
      <c r="H402" s="15">
        <f>NORM.S.INV(RAND())</f>
        <v/>
      </c>
      <c r="I402" s="15">
        <f>IF('组合输入'!$C3="","",'组合输入'!$H3*$B402+SQRT(1-'组合输入'!$H3^2)*H402)</f>
        <v/>
      </c>
      <c r="J402" s="7">
        <f>IF(I402="","",NORM.S.DIST(I402,TRUE))</f>
        <v/>
      </c>
      <c r="K402" s="13">
        <f>IF(J402="","",IF(J402&lt;='组合输入'!$K3,"AAA",IF(J402&lt;='组合输入'!$L3,"AA",IF(J402&lt;='组合输入'!$M3,"A",IF(J402&lt;='组合输入'!$N3,"BBB",IF(J402&lt;='组合输入'!$O3,"BB",IF(J402&lt;='组合输入'!$P3,"B",IF(J402&lt;='组合输入'!$Q3,"CCC","D")))))))</f>
        <v/>
      </c>
      <c r="L402" s="12">
        <f>IF(K402="","",INDEX('状态价值'!$D3:$K3,MATCH(K402,'状态价值'!$D$1:$K$1,0)))</f>
        <v/>
      </c>
      <c r="M402" s="15">
        <f>NORM.S.INV(RAND())</f>
        <v/>
      </c>
      <c r="N402" s="15">
        <f>IF('组合输入'!$C4="","",'组合输入'!$H4*$B402+SQRT(1-'组合输入'!$H4^2)*M402)</f>
        <v/>
      </c>
      <c r="O402" s="7">
        <f>IF(N402="","",NORM.S.DIST(N402,TRUE))</f>
        <v/>
      </c>
      <c r="P402" s="13">
        <f>IF(O402="","",IF(O402&lt;='组合输入'!$K4,"AAA",IF(O402&lt;='组合输入'!$L4,"AA",IF(O402&lt;='组合输入'!$M4,"A",IF(O402&lt;='组合输入'!$N4,"BBB",IF(O402&lt;='组合输入'!$O4,"BB",IF(O402&lt;='组合输入'!$P4,"B",IF(O402&lt;='组合输入'!$Q4,"CCC","D")))))))</f>
        <v/>
      </c>
      <c r="Q402" s="12">
        <f>IF(P402="","",INDEX('状态价值'!$D4:$K4,MATCH(P402,'状态价值'!$D$1:$K$1,0)))</f>
        <v/>
      </c>
      <c r="R402" s="15">
        <f>NORM.S.INV(RAND())</f>
        <v/>
      </c>
      <c r="S402" s="15">
        <f>IF('组合输入'!$C5="","",'组合输入'!$H5*$B402+SQRT(1-'组合输入'!$H5^2)*R402)</f>
        <v/>
      </c>
      <c r="T402" s="7">
        <f>IF(S402="","",NORM.S.DIST(S402,TRUE))</f>
        <v/>
      </c>
      <c r="U402" s="13">
        <f>IF(T402="","",IF(T402&lt;='组合输入'!$K5,"AAA",IF(T402&lt;='组合输入'!$L5,"AA",IF(T402&lt;='组合输入'!$M5,"A",IF(T402&lt;='组合输入'!$N5,"BBB",IF(T402&lt;='组合输入'!$O5,"BB",IF(T402&lt;='组合输入'!$P5,"B",IF(T402&lt;='组合输入'!$Q5,"CCC","D")))))))</f>
        <v/>
      </c>
      <c r="V402" s="12">
        <f>IF(U402="","",INDEX('状态价值'!$D5:$K5,MATCH(U402,'状态价值'!$D$1:$K$1,0)))</f>
        <v/>
      </c>
      <c r="W402" s="15">
        <f>NORM.S.INV(RAND())</f>
        <v/>
      </c>
      <c r="X402" s="15">
        <f>IF('组合输入'!$C6="","",'组合输入'!$H6*$B402+SQRT(1-'组合输入'!$H6^2)*W402)</f>
        <v/>
      </c>
      <c r="Y402" s="7">
        <f>IF(X402="","",NORM.S.DIST(X402,TRUE))</f>
        <v/>
      </c>
      <c r="Z402" s="13">
        <f>IF(Y402="","",IF(Y402&lt;='组合输入'!$K6,"AAA",IF(Y402&lt;='组合输入'!$L6,"AA",IF(Y402&lt;='组合输入'!$M6,"A",IF(Y402&lt;='组合输入'!$N6,"BBB",IF(Y402&lt;='组合输入'!$O6,"BB",IF(Y402&lt;='组合输入'!$P6,"B",IF(Y402&lt;='组合输入'!$Q6,"CCC","D")))))))</f>
        <v/>
      </c>
      <c r="AA402" s="12">
        <f>IF(Z402="","",INDEX('状态价值'!$D6:$K6,MATCH(Z402,'状态价值'!$D$1:$K$1,0)))</f>
        <v/>
      </c>
      <c r="AB402" s="15">
        <f>NORM.S.INV(RAND())</f>
        <v/>
      </c>
      <c r="AC402" s="15">
        <f>IF('组合输入'!$C7="","",'组合输入'!$H7*$B402+SQRT(1-'组合输入'!$H7^2)*AB402)</f>
        <v/>
      </c>
      <c r="AD402" s="7">
        <f>IF(AC402="","",NORM.S.DIST(AC402,TRUE))</f>
        <v/>
      </c>
      <c r="AE402" s="13">
        <f>IF(AD402="","",IF(AD402&lt;='组合输入'!$K7,"AAA",IF(AD402&lt;='组合输入'!$L7,"AA",IF(AD402&lt;='组合输入'!$M7,"A",IF(AD402&lt;='组合输入'!$N7,"BBB",IF(AD402&lt;='组合输入'!$O7,"BB",IF(AD402&lt;='组合输入'!$P7,"B",IF(AD402&lt;='组合输入'!$Q7,"CCC","D")))))))</f>
        <v/>
      </c>
      <c r="AF402" s="12">
        <f>IF(AE402="","",INDEX('状态价值'!$D7:$K7,MATCH(AE402,'状态价值'!$D$1:$K$1,0)))</f>
        <v/>
      </c>
      <c r="AG402" s="15">
        <f>NORM.S.INV(RAND())</f>
        <v/>
      </c>
      <c r="AH402" s="15">
        <f>IF('组合输入'!$C8="","",'组合输入'!$H8*$B402+SQRT(1-'组合输入'!$H8^2)*AG402)</f>
        <v/>
      </c>
      <c r="AI402" s="7">
        <f>IF(AH402="","",NORM.S.DIST(AH402,TRUE))</f>
        <v/>
      </c>
      <c r="AJ402" s="13">
        <f>IF(AI402="","",IF(AI402&lt;='组合输入'!$K8,"AAA",IF(AI402&lt;='组合输入'!$L8,"AA",IF(AI402&lt;='组合输入'!$M8,"A",IF(AI402&lt;='组合输入'!$N8,"BBB",IF(AI402&lt;='组合输入'!$O8,"BB",IF(AI402&lt;='组合输入'!$P8,"B",IF(AI402&lt;='组合输入'!$Q8,"CCC","D")))))))</f>
        <v/>
      </c>
      <c r="AK402" s="12">
        <f>IF(AJ402="","",INDEX('状态价值'!$D8:$K8,MATCH(AJ402,'状态价值'!$D$1:$K$1,0)))</f>
        <v/>
      </c>
      <c r="AL402" s="15">
        <f>NORM.S.INV(RAND())</f>
        <v/>
      </c>
      <c r="AM402" s="15">
        <f>IF('组合输入'!$C9="","",'组合输入'!$H9*$B402+SQRT(1-'组合输入'!$H9^2)*AL402)</f>
        <v/>
      </c>
      <c r="AN402" s="7">
        <f>IF(AM402="","",NORM.S.DIST(AM402,TRUE))</f>
        <v/>
      </c>
      <c r="AO402" s="13">
        <f>IF(AN402="","",IF(AN402&lt;='组合输入'!$K9,"AAA",IF(AN402&lt;='组合输入'!$L9,"AA",IF(AN402&lt;='组合输入'!$M9,"A",IF(AN402&lt;='组合输入'!$N9,"BBB",IF(AN402&lt;='组合输入'!$O9,"BB",IF(AN402&lt;='组合输入'!$P9,"B",IF(AN402&lt;='组合输入'!$Q9,"CCC","D")))))))</f>
        <v/>
      </c>
      <c r="AP402" s="12">
        <f>IF(AO402="","",INDEX('状态价值'!$D9:$K9,MATCH(AO402,'状态价值'!$D$1:$K$1,0)))</f>
        <v/>
      </c>
      <c r="AQ402" s="15">
        <f>NORM.S.INV(RAND())</f>
        <v/>
      </c>
      <c r="AR402" s="15">
        <f>IF('组合输入'!$C10="","",'组合输入'!$H10*$B402+SQRT(1-'组合输入'!$H10^2)*AQ402)</f>
        <v/>
      </c>
      <c r="AS402" s="7">
        <f>IF(AR402="","",NORM.S.DIST(AR402,TRUE))</f>
        <v/>
      </c>
      <c r="AT402" s="13">
        <f>IF(AS402="","",IF(AS402&lt;='组合输入'!$K10,"AAA",IF(AS402&lt;='组合输入'!$L10,"AA",IF(AS402&lt;='组合输入'!$M10,"A",IF(AS402&lt;='组合输入'!$N10,"BBB",IF(AS402&lt;='组合输入'!$O10,"BB",IF(AS402&lt;='组合输入'!$P10,"B",IF(AS402&lt;='组合输入'!$Q10,"CCC","D")))))))</f>
        <v/>
      </c>
      <c r="AU402" s="12">
        <f>IF(AT402="","",INDEX('状态价值'!$D10:$K10,MATCH(AT402,'状态价值'!$D$1:$K$1,0)))</f>
        <v/>
      </c>
      <c r="AV402" s="15">
        <f>NORM.S.INV(RAND())</f>
        <v/>
      </c>
      <c r="AW402" s="15">
        <f>IF('组合输入'!$C11="","",'组合输入'!$H11*$B402+SQRT(1-'组合输入'!$H11^2)*AV402)</f>
        <v/>
      </c>
      <c r="AX402" s="7">
        <f>IF(AW402="","",NORM.S.DIST(AW402,TRUE))</f>
        <v/>
      </c>
      <c r="AY402" s="13">
        <f>IF(AX402="","",IF(AX402&lt;='组合输入'!$K11,"AAA",IF(AX402&lt;='组合输入'!$L11,"AA",IF(AX402&lt;='组合输入'!$M11,"A",IF(AX402&lt;='组合输入'!$N11,"BBB",IF(AX402&lt;='组合输入'!$O11,"BB",IF(AX402&lt;='组合输入'!$P11,"B",IF(AX402&lt;='组合输入'!$Q11,"CCC","D")))))))</f>
        <v/>
      </c>
      <c r="AZ402" s="12">
        <f>IF(AY402="","",INDEX('状态价值'!$D11:$K11,MATCH(AY402,'状态价值'!$D$1:$K$1,0)))</f>
        <v/>
      </c>
      <c r="BA402" s="12">
        <f>G402+L402+Q402+V402+AA402+AF402+AK402+AP402+AU402+AZ402</f>
        <v/>
      </c>
      <c r="BB402" s="12">
        <f>SUM('组合输入'!$J$2:$J$11)-BA402</f>
        <v/>
      </c>
    </row>
    <row r="403">
      <c r="A403" s="11" t="n">
        <v>402</v>
      </c>
      <c r="B403" s="14">
        <f>NORM.S.INV(RAND())</f>
        <v/>
      </c>
      <c r="C403" s="14">
        <f>NORM.S.INV(RAND())</f>
        <v/>
      </c>
      <c r="D403" s="15">
        <f>IF('组合输入'!$C2="","",'组合输入'!$H2*$B403+SQRT(1-'组合输入'!$H2^2)*C403)</f>
        <v/>
      </c>
      <c r="E403" s="7">
        <f>IF(D403="","",NORM.S.DIST(D403,TRUE))</f>
        <v/>
      </c>
      <c r="F403" s="13">
        <f>IF(E403="","",IF(E403&lt;='组合输入'!$K2,"AAA",IF(E403&lt;='组合输入'!$L2,"AA",IF(E403&lt;='组合输入'!$M2,"A",IF(E403&lt;='组合输入'!$N2,"BBB",IF(E403&lt;='组合输入'!$O2,"BB",IF(E403&lt;='组合输入'!$P2,"B",IF(E403&lt;='组合输入'!$Q2,"CCC","D")))))))</f>
        <v/>
      </c>
      <c r="G403" s="12">
        <f>IF(F403="","",INDEX('状态价值'!$D2:$K2,MATCH(F403,'状态价值'!$D$1:$K$1,0)))</f>
        <v/>
      </c>
      <c r="H403" s="15">
        <f>NORM.S.INV(RAND())</f>
        <v/>
      </c>
      <c r="I403" s="15">
        <f>IF('组合输入'!$C3="","",'组合输入'!$H3*$B403+SQRT(1-'组合输入'!$H3^2)*H403)</f>
        <v/>
      </c>
      <c r="J403" s="7">
        <f>IF(I403="","",NORM.S.DIST(I403,TRUE))</f>
        <v/>
      </c>
      <c r="K403" s="13">
        <f>IF(J403="","",IF(J403&lt;='组合输入'!$K3,"AAA",IF(J403&lt;='组合输入'!$L3,"AA",IF(J403&lt;='组合输入'!$M3,"A",IF(J403&lt;='组合输入'!$N3,"BBB",IF(J403&lt;='组合输入'!$O3,"BB",IF(J403&lt;='组合输入'!$P3,"B",IF(J403&lt;='组合输入'!$Q3,"CCC","D")))))))</f>
        <v/>
      </c>
      <c r="L403" s="12">
        <f>IF(K403="","",INDEX('状态价值'!$D3:$K3,MATCH(K403,'状态价值'!$D$1:$K$1,0)))</f>
        <v/>
      </c>
      <c r="M403" s="15">
        <f>NORM.S.INV(RAND())</f>
        <v/>
      </c>
      <c r="N403" s="15">
        <f>IF('组合输入'!$C4="","",'组合输入'!$H4*$B403+SQRT(1-'组合输入'!$H4^2)*M403)</f>
        <v/>
      </c>
      <c r="O403" s="7">
        <f>IF(N403="","",NORM.S.DIST(N403,TRUE))</f>
        <v/>
      </c>
      <c r="P403" s="13">
        <f>IF(O403="","",IF(O403&lt;='组合输入'!$K4,"AAA",IF(O403&lt;='组合输入'!$L4,"AA",IF(O403&lt;='组合输入'!$M4,"A",IF(O403&lt;='组合输入'!$N4,"BBB",IF(O403&lt;='组合输入'!$O4,"BB",IF(O403&lt;='组合输入'!$P4,"B",IF(O403&lt;='组合输入'!$Q4,"CCC","D")))))))</f>
        <v/>
      </c>
      <c r="Q403" s="12">
        <f>IF(P403="","",INDEX('状态价值'!$D4:$K4,MATCH(P403,'状态价值'!$D$1:$K$1,0)))</f>
        <v/>
      </c>
      <c r="R403" s="15">
        <f>NORM.S.INV(RAND())</f>
        <v/>
      </c>
      <c r="S403" s="15">
        <f>IF('组合输入'!$C5="","",'组合输入'!$H5*$B403+SQRT(1-'组合输入'!$H5^2)*R403)</f>
        <v/>
      </c>
      <c r="T403" s="7">
        <f>IF(S403="","",NORM.S.DIST(S403,TRUE))</f>
        <v/>
      </c>
      <c r="U403" s="13">
        <f>IF(T403="","",IF(T403&lt;='组合输入'!$K5,"AAA",IF(T403&lt;='组合输入'!$L5,"AA",IF(T403&lt;='组合输入'!$M5,"A",IF(T403&lt;='组合输入'!$N5,"BBB",IF(T403&lt;='组合输入'!$O5,"BB",IF(T403&lt;='组合输入'!$P5,"B",IF(T403&lt;='组合输入'!$Q5,"CCC","D")))))))</f>
        <v/>
      </c>
      <c r="V403" s="12">
        <f>IF(U403="","",INDEX('状态价值'!$D5:$K5,MATCH(U403,'状态价值'!$D$1:$K$1,0)))</f>
        <v/>
      </c>
      <c r="W403" s="15">
        <f>NORM.S.INV(RAND())</f>
        <v/>
      </c>
      <c r="X403" s="15">
        <f>IF('组合输入'!$C6="","",'组合输入'!$H6*$B403+SQRT(1-'组合输入'!$H6^2)*W403)</f>
        <v/>
      </c>
      <c r="Y403" s="7">
        <f>IF(X403="","",NORM.S.DIST(X403,TRUE))</f>
        <v/>
      </c>
      <c r="Z403" s="13">
        <f>IF(Y403="","",IF(Y403&lt;='组合输入'!$K6,"AAA",IF(Y403&lt;='组合输入'!$L6,"AA",IF(Y403&lt;='组合输入'!$M6,"A",IF(Y403&lt;='组合输入'!$N6,"BBB",IF(Y403&lt;='组合输入'!$O6,"BB",IF(Y403&lt;='组合输入'!$P6,"B",IF(Y403&lt;='组合输入'!$Q6,"CCC","D")))))))</f>
        <v/>
      </c>
      <c r="AA403" s="12">
        <f>IF(Z403="","",INDEX('状态价值'!$D6:$K6,MATCH(Z403,'状态价值'!$D$1:$K$1,0)))</f>
        <v/>
      </c>
      <c r="AB403" s="15">
        <f>NORM.S.INV(RAND())</f>
        <v/>
      </c>
      <c r="AC403" s="15">
        <f>IF('组合输入'!$C7="","",'组合输入'!$H7*$B403+SQRT(1-'组合输入'!$H7^2)*AB403)</f>
        <v/>
      </c>
      <c r="AD403" s="7">
        <f>IF(AC403="","",NORM.S.DIST(AC403,TRUE))</f>
        <v/>
      </c>
      <c r="AE403" s="13">
        <f>IF(AD403="","",IF(AD403&lt;='组合输入'!$K7,"AAA",IF(AD403&lt;='组合输入'!$L7,"AA",IF(AD403&lt;='组合输入'!$M7,"A",IF(AD403&lt;='组合输入'!$N7,"BBB",IF(AD403&lt;='组合输入'!$O7,"BB",IF(AD403&lt;='组合输入'!$P7,"B",IF(AD403&lt;='组合输入'!$Q7,"CCC","D")))))))</f>
        <v/>
      </c>
      <c r="AF403" s="12">
        <f>IF(AE403="","",INDEX('状态价值'!$D7:$K7,MATCH(AE403,'状态价值'!$D$1:$K$1,0)))</f>
        <v/>
      </c>
      <c r="AG403" s="15">
        <f>NORM.S.INV(RAND())</f>
        <v/>
      </c>
      <c r="AH403" s="15">
        <f>IF('组合输入'!$C8="","",'组合输入'!$H8*$B403+SQRT(1-'组合输入'!$H8^2)*AG403)</f>
        <v/>
      </c>
      <c r="AI403" s="7">
        <f>IF(AH403="","",NORM.S.DIST(AH403,TRUE))</f>
        <v/>
      </c>
      <c r="AJ403" s="13">
        <f>IF(AI403="","",IF(AI403&lt;='组合输入'!$K8,"AAA",IF(AI403&lt;='组合输入'!$L8,"AA",IF(AI403&lt;='组合输入'!$M8,"A",IF(AI403&lt;='组合输入'!$N8,"BBB",IF(AI403&lt;='组合输入'!$O8,"BB",IF(AI403&lt;='组合输入'!$P8,"B",IF(AI403&lt;='组合输入'!$Q8,"CCC","D")))))))</f>
        <v/>
      </c>
      <c r="AK403" s="12">
        <f>IF(AJ403="","",INDEX('状态价值'!$D8:$K8,MATCH(AJ403,'状态价值'!$D$1:$K$1,0)))</f>
        <v/>
      </c>
      <c r="AL403" s="15">
        <f>NORM.S.INV(RAND())</f>
        <v/>
      </c>
      <c r="AM403" s="15">
        <f>IF('组合输入'!$C9="","",'组合输入'!$H9*$B403+SQRT(1-'组合输入'!$H9^2)*AL403)</f>
        <v/>
      </c>
      <c r="AN403" s="7">
        <f>IF(AM403="","",NORM.S.DIST(AM403,TRUE))</f>
        <v/>
      </c>
      <c r="AO403" s="13">
        <f>IF(AN403="","",IF(AN403&lt;='组合输入'!$K9,"AAA",IF(AN403&lt;='组合输入'!$L9,"AA",IF(AN403&lt;='组合输入'!$M9,"A",IF(AN403&lt;='组合输入'!$N9,"BBB",IF(AN403&lt;='组合输入'!$O9,"BB",IF(AN403&lt;='组合输入'!$P9,"B",IF(AN403&lt;='组合输入'!$Q9,"CCC","D")))))))</f>
        <v/>
      </c>
      <c r="AP403" s="12">
        <f>IF(AO403="","",INDEX('状态价值'!$D9:$K9,MATCH(AO403,'状态价值'!$D$1:$K$1,0)))</f>
        <v/>
      </c>
      <c r="AQ403" s="15">
        <f>NORM.S.INV(RAND())</f>
        <v/>
      </c>
      <c r="AR403" s="15">
        <f>IF('组合输入'!$C10="","",'组合输入'!$H10*$B403+SQRT(1-'组合输入'!$H10^2)*AQ403)</f>
        <v/>
      </c>
      <c r="AS403" s="7">
        <f>IF(AR403="","",NORM.S.DIST(AR403,TRUE))</f>
        <v/>
      </c>
      <c r="AT403" s="13">
        <f>IF(AS403="","",IF(AS403&lt;='组合输入'!$K10,"AAA",IF(AS403&lt;='组合输入'!$L10,"AA",IF(AS403&lt;='组合输入'!$M10,"A",IF(AS403&lt;='组合输入'!$N10,"BBB",IF(AS403&lt;='组合输入'!$O10,"BB",IF(AS403&lt;='组合输入'!$P10,"B",IF(AS403&lt;='组合输入'!$Q10,"CCC","D")))))))</f>
        <v/>
      </c>
      <c r="AU403" s="12">
        <f>IF(AT403="","",INDEX('状态价值'!$D10:$K10,MATCH(AT403,'状态价值'!$D$1:$K$1,0)))</f>
        <v/>
      </c>
      <c r="AV403" s="15">
        <f>NORM.S.INV(RAND())</f>
        <v/>
      </c>
      <c r="AW403" s="15">
        <f>IF('组合输入'!$C11="","",'组合输入'!$H11*$B403+SQRT(1-'组合输入'!$H11^2)*AV403)</f>
        <v/>
      </c>
      <c r="AX403" s="7">
        <f>IF(AW403="","",NORM.S.DIST(AW403,TRUE))</f>
        <v/>
      </c>
      <c r="AY403" s="13">
        <f>IF(AX403="","",IF(AX403&lt;='组合输入'!$K11,"AAA",IF(AX403&lt;='组合输入'!$L11,"AA",IF(AX403&lt;='组合输入'!$M11,"A",IF(AX403&lt;='组合输入'!$N11,"BBB",IF(AX403&lt;='组合输入'!$O11,"BB",IF(AX403&lt;='组合输入'!$P11,"B",IF(AX403&lt;='组合输入'!$Q11,"CCC","D")))))))</f>
        <v/>
      </c>
      <c r="AZ403" s="12">
        <f>IF(AY403="","",INDEX('状态价值'!$D11:$K11,MATCH(AY403,'状态价值'!$D$1:$K$1,0)))</f>
        <v/>
      </c>
      <c r="BA403" s="12">
        <f>G403+L403+Q403+V403+AA403+AF403+AK403+AP403+AU403+AZ403</f>
        <v/>
      </c>
      <c r="BB403" s="12">
        <f>SUM('组合输入'!$J$2:$J$11)-BA403</f>
        <v/>
      </c>
    </row>
    <row r="404">
      <c r="A404" s="11" t="n">
        <v>403</v>
      </c>
      <c r="B404" s="14">
        <f>NORM.S.INV(RAND())</f>
        <v/>
      </c>
      <c r="C404" s="14">
        <f>NORM.S.INV(RAND())</f>
        <v/>
      </c>
      <c r="D404" s="15">
        <f>IF('组合输入'!$C2="","",'组合输入'!$H2*$B404+SQRT(1-'组合输入'!$H2^2)*C404)</f>
        <v/>
      </c>
      <c r="E404" s="7">
        <f>IF(D404="","",NORM.S.DIST(D404,TRUE))</f>
        <v/>
      </c>
      <c r="F404" s="13">
        <f>IF(E404="","",IF(E404&lt;='组合输入'!$K2,"AAA",IF(E404&lt;='组合输入'!$L2,"AA",IF(E404&lt;='组合输入'!$M2,"A",IF(E404&lt;='组合输入'!$N2,"BBB",IF(E404&lt;='组合输入'!$O2,"BB",IF(E404&lt;='组合输入'!$P2,"B",IF(E404&lt;='组合输入'!$Q2,"CCC","D")))))))</f>
        <v/>
      </c>
      <c r="G404" s="12">
        <f>IF(F404="","",INDEX('状态价值'!$D2:$K2,MATCH(F404,'状态价值'!$D$1:$K$1,0)))</f>
        <v/>
      </c>
      <c r="H404" s="15">
        <f>NORM.S.INV(RAND())</f>
        <v/>
      </c>
      <c r="I404" s="15">
        <f>IF('组合输入'!$C3="","",'组合输入'!$H3*$B404+SQRT(1-'组合输入'!$H3^2)*H404)</f>
        <v/>
      </c>
      <c r="J404" s="7">
        <f>IF(I404="","",NORM.S.DIST(I404,TRUE))</f>
        <v/>
      </c>
      <c r="K404" s="13">
        <f>IF(J404="","",IF(J404&lt;='组合输入'!$K3,"AAA",IF(J404&lt;='组合输入'!$L3,"AA",IF(J404&lt;='组合输入'!$M3,"A",IF(J404&lt;='组合输入'!$N3,"BBB",IF(J404&lt;='组合输入'!$O3,"BB",IF(J404&lt;='组合输入'!$P3,"B",IF(J404&lt;='组合输入'!$Q3,"CCC","D")))))))</f>
        <v/>
      </c>
      <c r="L404" s="12">
        <f>IF(K404="","",INDEX('状态价值'!$D3:$K3,MATCH(K404,'状态价值'!$D$1:$K$1,0)))</f>
        <v/>
      </c>
      <c r="M404" s="15">
        <f>NORM.S.INV(RAND())</f>
        <v/>
      </c>
      <c r="N404" s="15">
        <f>IF('组合输入'!$C4="","",'组合输入'!$H4*$B404+SQRT(1-'组合输入'!$H4^2)*M404)</f>
        <v/>
      </c>
      <c r="O404" s="7">
        <f>IF(N404="","",NORM.S.DIST(N404,TRUE))</f>
        <v/>
      </c>
      <c r="P404" s="13">
        <f>IF(O404="","",IF(O404&lt;='组合输入'!$K4,"AAA",IF(O404&lt;='组合输入'!$L4,"AA",IF(O404&lt;='组合输入'!$M4,"A",IF(O404&lt;='组合输入'!$N4,"BBB",IF(O404&lt;='组合输入'!$O4,"BB",IF(O404&lt;='组合输入'!$P4,"B",IF(O404&lt;='组合输入'!$Q4,"CCC","D")))))))</f>
        <v/>
      </c>
      <c r="Q404" s="12">
        <f>IF(P404="","",INDEX('状态价值'!$D4:$K4,MATCH(P404,'状态价值'!$D$1:$K$1,0)))</f>
        <v/>
      </c>
      <c r="R404" s="15">
        <f>NORM.S.INV(RAND())</f>
        <v/>
      </c>
      <c r="S404" s="15">
        <f>IF('组合输入'!$C5="","",'组合输入'!$H5*$B404+SQRT(1-'组合输入'!$H5^2)*R404)</f>
        <v/>
      </c>
      <c r="T404" s="7">
        <f>IF(S404="","",NORM.S.DIST(S404,TRUE))</f>
        <v/>
      </c>
      <c r="U404" s="13">
        <f>IF(T404="","",IF(T404&lt;='组合输入'!$K5,"AAA",IF(T404&lt;='组合输入'!$L5,"AA",IF(T404&lt;='组合输入'!$M5,"A",IF(T404&lt;='组合输入'!$N5,"BBB",IF(T404&lt;='组合输入'!$O5,"BB",IF(T404&lt;='组合输入'!$P5,"B",IF(T404&lt;='组合输入'!$Q5,"CCC","D")))))))</f>
        <v/>
      </c>
      <c r="V404" s="12">
        <f>IF(U404="","",INDEX('状态价值'!$D5:$K5,MATCH(U404,'状态价值'!$D$1:$K$1,0)))</f>
        <v/>
      </c>
      <c r="W404" s="15">
        <f>NORM.S.INV(RAND())</f>
        <v/>
      </c>
      <c r="X404" s="15">
        <f>IF('组合输入'!$C6="","",'组合输入'!$H6*$B404+SQRT(1-'组合输入'!$H6^2)*W404)</f>
        <v/>
      </c>
      <c r="Y404" s="7">
        <f>IF(X404="","",NORM.S.DIST(X404,TRUE))</f>
        <v/>
      </c>
      <c r="Z404" s="13">
        <f>IF(Y404="","",IF(Y404&lt;='组合输入'!$K6,"AAA",IF(Y404&lt;='组合输入'!$L6,"AA",IF(Y404&lt;='组合输入'!$M6,"A",IF(Y404&lt;='组合输入'!$N6,"BBB",IF(Y404&lt;='组合输入'!$O6,"BB",IF(Y404&lt;='组合输入'!$P6,"B",IF(Y404&lt;='组合输入'!$Q6,"CCC","D")))))))</f>
        <v/>
      </c>
      <c r="AA404" s="12">
        <f>IF(Z404="","",INDEX('状态价值'!$D6:$K6,MATCH(Z404,'状态价值'!$D$1:$K$1,0)))</f>
        <v/>
      </c>
      <c r="AB404" s="15">
        <f>NORM.S.INV(RAND())</f>
        <v/>
      </c>
      <c r="AC404" s="15">
        <f>IF('组合输入'!$C7="","",'组合输入'!$H7*$B404+SQRT(1-'组合输入'!$H7^2)*AB404)</f>
        <v/>
      </c>
      <c r="AD404" s="7">
        <f>IF(AC404="","",NORM.S.DIST(AC404,TRUE))</f>
        <v/>
      </c>
      <c r="AE404" s="13">
        <f>IF(AD404="","",IF(AD404&lt;='组合输入'!$K7,"AAA",IF(AD404&lt;='组合输入'!$L7,"AA",IF(AD404&lt;='组合输入'!$M7,"A",IF(AD404&lt;='组合输入'!$N7,"BBB",IF(AD404&lt;='组合输入'!$O7,"BB",IF(AD404&lt;='组合输入'!$P7,"B",IF(AD404&lt;='组合输入'!$Q7,"CCC","D")))))))</f>
        <v/>
      </c>
      <c r="AF404" s="12">
        <f>IF(AE404="","",INDEX('状态价值'!$D7:$K7,MATCH(AE404,'状态价值'!$D$1:$K$1,0)))</f>
        <v/>
      </c>
      <c r="AG404" s="15">
        <f>NORM.S.INV(RAND())</f>
        <v/>
      </c>
      <c r="AH404" s="15">
        <f>IF('组合输入'!$C8="","",'组合输入'!$H8*$B404+SQRT(1-'组合输入'!$H8^2)*AG404)</f>
        <v/>
      </c>
      <c r="AI404" s="7">
        <f>IF(AH404="","",NORM.S.DIST(AH404,TRUE))</f>
        <v/>
      </c>
      <c r="AJ404" s="13">
        <f>IF(AI404="","",IF(AI404&lt;='组合输入'!$K8,"AAA",IF(AI404&lt;='组合输入'!$L8,"AA",IF(AI404&lt;='组合输入'!$M8,"A",IF(AI404&lt;='组合输入'!$N8,"BBB",IF(AI404&lt;='组合输入'!$O8,"BB",IF(AI404&lt;='组合输入'!$P8,"B",IF(AI404&lt;='组合输入'!$Q8,"CCC","D")))))))</f>
        <v/>
      </c>
      <c r="AK404" s="12">
        <f>IF(AJ404="","",INDEX('状态价值'!$D8:$K8,MATCH(AJ404,'状态价值'!$D$1:$K$1,0)))</f>
        <v/>
      </c>
      <c r="AL404" s="15">
        <f>NORM.S.INV(RAND())</f>
        <v/>
      </c>
      <c r="AM404" s="15">
        <f>IF('组合输入'!$C9="","",'组合输入'!$H9*$B404+SQRT(1-'组合输入'!$H9^2)*AL404)</f>
        <v/>
      </c>
      <c r="AN404" s="7">
        <f>IF(AM404="","",NORM.S.DIST(AM404,TRUE))</f>
        <v/>
      </c>
      <c r="AO404" s="13">
        <f>IF(AN404="","",IF(AN404&lt;='组合输入'!$K9,"AAA",IF(AN404&lt;='组合输入'!$L9,"AA",IF(AN404&lt;='组合输入'!$M9,"A",IF(AN404&lt;='组合输入'!$N9,"BBB",IF(AN404&lt;='组合输入'!$O9,"BB",IF(AN404&lt;='组合输入'!$P9,"B",IF(AN404&lt;='组合输入'!$Q9,"CCC","D")))))))</f>
        <v/>
      </c>
      <c r="AP404" s="12">
        <f>IF(AO404="","",INDEX('状态价值'!$D9:$K9,MATCH(AO404,'状态价值'!$D$1:$K$1,0)))</f>
        <v/>
      </c>
      <c r="AQ404" s="15">
        <f>NORM.S.INV(RAND())</f>
        <v/>
      </c>
      <c r="AR404" s="15">
        <f>IF('组合输入'!$C10="","",'组合输入'!$H10*$B404+SQRT(1-'组合输入'!$H10^2)*AQ404)</f>
        <v/>
      </c>
      <c r="AS404" s="7">
        <f>IF(AR404="","",NORM.S.DIST(AR404,TRUE))</f>
        <v/>
      </c>
      <c r="AT404" s="13">
        <f>IF(AS404="","",IF(AS404&lt;='组合输入'!$K10,"AAA",IF(AS404&lt;='组合输入'!$L10,"AA",IF(AS404&lt;='组合输入'!$M10,"A",IF(AS404&lt;='组合输入'!$N10,"BBB",IF(AS404&lt;='组合输入'!$O10,"BB",IF(AS404&lt;='组合输入'!$P10,"B",IF(AS404&lt;='组合输入'!$Q10,"CCC","D")))))))</f>
        <v/>
      </c>
      <c r="AU404" s="12">
        <f>IF(AT404="","",INDEX('状态价值'!$D10:$K10,MATCH(AT404,'状态价值'!$D$1:$K$1,0)))</f>
        <v/>
      </c>
      <c r="AV404" s="15">
        <f>NORM.S.INV(RAND())</f>
        <v/>
      </c>
      <c r="AW404" s="15">
        <f>IF('组合输入'!$C11="","",'组合输入'!$H11*$B404+SQRT(1-'组合输入'!$H11^2)*AV404)</f>
        <v/>
      </c>
      <c r="AX404" s="7">
        <f>IF(AW404="","",NORM.S.DIST(AW404,TRUE))</f>
        <v/>
      </c>
      <c r="AY404" s="13">
        <f>IF(AX404="","",IF(AX404&lt;='组合输入'!$K11,"AAA",IF(AX404&lt;='组合输入'!$L11,"AA",IF(AX404&lt;='组合输入'!$M11,"A",IF(AX404&lt;='组合输入'!$N11,"BBB",IF(AX404&lt;='组合输入'!$O11,"BB",IF(AX404&lt;='组合输入'!$P11,"B",IF(AX404&lt;='组合输入'!$Q11,"CCC","D")))))))</f>
        <v/>
      </c>
      <c r="AZ404" s="12">
        <f>IF(AY404="","",INDEX('状态价值'!$D11:$K11,MATCH(AY404,'状态价值'!$D$1:$K$1,0)))</f>
        <v/>
      </c>
      <c r="BA404" s="12">
        <f>G404+L404+Q404+V404+AA404+AF404+AK404+AP404+AU404+AZ404</f>
        <v/>
      </c>
      <c r="BB404" s="12">
        <f>SUM('组合输入'!$J$2:$J$11)-BA404</f>
        <v/>
      </c>
    </row>
    <row r="405">
      <c r="A405" s="11" t="n">
        <v>404</v>
      </c>
      <c r="B405" s="14">
        <f>NORM.S.INV(RAND())</f>
        <v/>
      </c>
      <c r="C405" s="14">
        <f>NORM.S.INV(RAND())</f>
        <v/>
      </c>
      <c r="D405" s="15">
        <f>IF('组合输入'!$C2="","",'组合输入'!$H2*$B405+SQRT(1-'组合输入'!$H2^2)*C405)</f>
        <v/>
      </c>
      <c r="E405" s="7">
        <f>IF(D405="","",NORM.S.DIST(D405,TRUE))</f>
        <v/>
      </c>
      <c r="F405" s="13">
        <f>IF(E405="","",IF(E405&lt;='组合输入'!$K2,"AAA",IF(E405&lt;='组合输入'!$L2,"AA",IF(E405&lt;='组合输入'!$M2,"A",IF(E405&lt;='组合输入'!$N2,"BBB",IF(E405&lt;='组合输入'!$O2,"BB",IF(E405&lt;='组合输入'!$P2,"B",IF(E405&lt;='组合输入'!$Q2,"CCC","D")))))))</f>
        <v/>
      </c>
      <c r="G405" s="12">
        <f>IF(F405="","",INDEX('状态价值'!$D2:$K2,MATCH(F405,'状态价值'!$D$1:$K$1,0)))</f>
        <v/>
      </c>
      <c r="H405" s="15">
        <f>NORM.S.INV(RAND())</f>
        <v/>
      </c>
      <c r="I405" s="15">
        <f>IF('组合输入'!$C3="","",'组合输入'!$H3*$B405+SQRT(1-'组合输入'!$H3^2)*H405)</f>
        <v/>
      </c>
      <c r="J405" s="7">
        <f>IF(I405="","",NORM.S.DIST(I405,TRUE))</f>
        <v/>
      </c>
      <c r="K405" s="13">
        <f>IF(J405="","",IF(J405&lt;='组合输入'!$K3,"AAA",IF(J405&lt;='组合输入'!$L3,"AA",IF(J405&lt;='组合输入'!$M3,"A",IF(J405&lt;='组合输入'!$N3,"BBB",IF(J405&lt;='组合输入'!$O3,"BB",IF(J405&lt;='组合输入'!$P3,"B",IF(J405&lt;='组合输入'!$Q3,"CCC","D")))))))</f>
        <v/>
      </c>
      <c r="L405" s="12">
        <f>IF(K405="","",INDEX('状态价值'!$D3:$K3,MATCH(K405,'状态价值'!$D$1:$K$1,0)))</f>
        <v/>
      </c>
      <c r="M405" s="15">
        <f>NORM.S.INV(RAND())</f>
        <v/>
      </c>
      <c r="N405" s="15">
        <f>IF('组合输入'!$C4="","",'组合输入'!$H4*$B405+SQRT(1-'组合输入'!$H4^2)*M405)</f>
        <v/>
      </c>
      <c r="O405" s="7">
        <f>IF(N405="","",NORM.S.DIST(N405,TRUE))</f>
        <v/>
      </c>
      <c r="P405" s="13">
        <f>IF(O405="","",IF(O405&lt;='组合输入'!$K4,"AAA",IF(O405&lt;='组合输入'!$L4,"AA",IF(O405&lt;='组合输入'!$M4,"A",IF(O405&lt;='组合输入'!$N4,"BBB",IF(O405&lt;='组合输入'!$O4,"BB",IF(O405&lt;='组合输入'!$P4,"B",IF(O405&lt;='组合输入'!$Q4,"CCC","D")))))))</f>
        <v/>
      </c>
      <c r="Q405" s="12">
        <f>IF(P405="","",INDEX('状态价值'!$D4:$K4,MATCH(P405,'状态价值'!$D$1:$K$1,0)))</f>
        <v/>
      </c>
      <c r="R405" s="15">
        <f>NORM.S.INV(RAND())</f>
        <v/>
      </c>
      <c r="S405" s="15">
        <f>IF('组合输入'!$C5="","",'组合输入'!$H5*$B405+SQRT(1-'组合输入'!$H5^2)*R405)</f>
        <v/>
      </c>
      <c r="T405" s="7">
        <f>IF(S405="","",NORM.S.DIST(S405,TRUE))</f>
        <v/>
      </c>
      <c r="U405" s="13">
        <f>IF(T405="","",IF(T405&lt;='组合输入'!$K5,"AAA",IF(T405&lt;='组合输入'!$L5,"AA",IF(T405&lt;='组合输入'!$M5,"A",IF(T405&lt;='组合输入'!$N5,"BBB",IF(T405&lt;='组合输入'!$O5,"BB",IF(T405&lt;='组合输入'!$P5,"B",IF(T405&lt;='组合输入'!$Q5,"CCC","D")))))))</f>
        <v/>
      </c>
      <c r="V405" s="12">
        <f>IF(U405="","",INDEX('状态价值'!$D5:$K5,MATCH(U405,'状态价值'!$D$1:$K$1,0)))</f>
        <v/>
      </c>
      <c r="W405" s="15">
        <f>NORM.S.INV(RAND())</f>
        <v/>
      </c>
      <c r="X405" s="15">
        <f>IF('组合输入'!$C6="","",'组合输入'!$H6*$B405+SQRT(1-'组合输入'!$H6^2)*W405)</f>
        <v/>
      </c>
      <c r="Y405" s="7">
        <f>IF(X405="","",NORM.S.DIST(X405,TRUE))</f>
        <v/>
      </c>
      <c r="Z405" s="13">
        <f>IF(Y405="","",IF(Y405&lt;='组合输入'!$K6,"AAA",IF(Y405&lt;='组合输入'!$L6,"AA",IF(Y405&lt;='组合输入'!$M6,"A",IF(Y405&lt;='组合输入'!$N6,"BBB",IF(Y405&lt;='组合输入'!$O6,"BB",IF(Y405&lt;='组合输入'!$P6,"B",IF(Y405&lt;='组合输入'!$Q6,"CCC","D")))))))</f>
        <v/>
      </c>
      <c r="AA405" s="12">
        <f>IF(Z405="","",INDEX('状态价值'!$D6:$K6,MATCH(Z405,'状态价值'!$D$1:$K$1,0)))</f>
        <v/>
      </c>
      <c r="AB405" s="15">
        <f>NORM.S.INV(RAND())</f>
        <v/>
      </c>
      <c r="AC405" s="15">
        <f>IF('组合输入'!$C7="","",'组合输入'!$H7*$B405+SQRT(1-'组合输入'!$H7^2)*AB405)</f>
        <v/>
      </c>
      <c r="AD405" s="7">
        <f>IF(AC405="","",NORM.S.DIST(AC405,TRUE))</f>
        <v/>
      </c>
      <c r="AE405" s="13">
        <f>IF(AD405="","",IF(AD405&lt;='组合输入'!$K7,"AAA",IF(AD405&lt;='组合输入'!$L7,"AA",IF(AD405&lt;='组合输入'!$M7,"A",IF(AD405&lt;='组合输入'!$N7,"BBB",IF(AD405&lt;='组合输入'!$O7,"BB",IF(AD405&lt;='组合输入'!$P7,"B",IF(AD405&lt;='组合输入'!$Q7,"CCC","D")))))))</f>
        <v/>
      </c>
      <c r="AF405" s="12">
        <f>IF(AE405="","",INDEX('状态价值'!$D7:$K7,MATCH(AE405,'状态价值'!$D$1:$K$1,0)))</f>
        <v/>
      </c>
      <c r="AG405" s="15">
        <f>NORM.S.INV(RAND())</f>
        <v/>
      </c>
      <c r="AH405" s="15">
        <f>IF('组合输入'!$C8="","",'组合输入'!$H8*$B405+SQRT(1-'组合输入'!$H8^2)*AG405)</f>
        <v/>
      </c>
      <c r="AI405" s="7">
        <f>IF(AH405="","",NORM.S.DIST(AH405,TRUE))</f>
        <v/>
      </c>
      <c r="AJ405" s="13">
        <f>IF(AI405="","",IF(AI405&lt;='组合输入'!$K8,"AAA",IF(AI405&lt;='组合输入'!$L8,"AA",IF(AI405&lt;='组合输入'!$M8,"A",IF(AI405&lt;='组合输入'!$N8,"BBB",IF(AI405&lt;='组合输入'!$O8,"BB",IF(AI405&lt;='组合输入'!$P8,"B",IF(AI405&lt;='组合输入'!$Q8,"CCC","D")))))))</f>
        <v/>
      </c>
      <c r="AK405" s="12">
        <f>IF(AJ405="","",INDEX('状态价值'!$D8:$K8,MATCH(AJ405,'状态价值'!$D$1:$K$1,0)))</f>
        <v/>
      </c>
      <c r="AL405" s="15">
        <f>NORM.S.INV(RAND())</f>
        <v/>
      </c>
      <c r="AM405" s="15">
        <f>IF('组合输入'!$C9="","",'组合输入'!$H9*$B405+SQRT(1-'组合输入'!$H9^2)*AL405)</f>
        <v/>
      </c>
      <c r="AN405" s="7">
        <f>IF(AM405="","",NORM.S.DIST(AM405,TRUE))</f>
        <v/>
      </c>
      <c r="AO405" s="13">
        <f>IF(AN405="","",IF(AN405&lt;='组合输入'!$K9,"AAA",IF(AN405&lt;='组合输入'!$L9,"AA",IF(AN405&lt;='组合输入'!$M9,"A",IF(AN405&lt;='组合输入'!$N9,"BBB",IF(AN405&lt;='组合输入'!$O9,"BB",IF(AN405&lt;='组合输入'!$P9,"B",IF(AN405&lt;='组合输入'!$Q9,"CCC","D")))))))</f>
        <v/>
      </c>
      <c r="AP405" s="12">
        <f>IF(AO405="","",INDEX('状态价值'!$D9:$K9,MATCH(AO405,'状态价值'!$D$1:$K$1,0)))</f>
        <v/>
      </c>
      <c r="AQ405" s="15">
        <f>NORM.S.INV(RAND())</f>
        <v/>
      </c>
      <c r="AR405" s="15">
        <f>IF('组合输入'!$C10="","",'组合输入'!$H10*$B405+SQRT(1-'组合输入'!$H10^2)*AQ405)</f>
        <v/>
      </c>
      <c r="AS405" s="7">
        <f>IF(AR405="","",NORM.S.DIST(AR405,TRUE))</f>
        <v/>
      </c>
      <c r="AT405" s="13">
        <f>IF(AS405="","",IF(AS405&lt;='组合输入'!$K10,"AAA",IF(AS405&lt;='组合输入'!$L10,"AA",IF(AS405&lt;='组合输入'!$M10,"A",IF(AS405&lt;='组合输入'!$N10,"BBB",IF(AS405&lt;='组合输入'!$O10,"BB",IF(AS405&lt;='组合输入'!$P10,"B",IF(AS405&lt;='组合输入'!$Q10,"CCC","D")))))))</f>
        <v/>
      </c>
      <c r="AU405" s="12">
        <f>IF(AT405="","",INDEX('状态价值'!$D10:$K10,MATCH(AT405,'状态价值'!$D$1:$K$1,0)))</f>
        <v/>
      </c>
      <c r="AV405" s="15">
        <f>NORM.S.INV(RAND())</f>
        <v/>
      </c>
      <c r="AW405" s="15">
        <f>IF('组合输入'!$C11="","",'组合输入'!$H11*$B405+SQRT(1-'组合输入'!$H11^2)*AV405)</f>
        <v/>
      </c>
      <c r="AX405" s="7">
        <f>IF(AW405="","",NORM.S.DIST(AW405,TRUE))</f>
        <v/>
      </c>
      <c r="AY405" s="13">
        <f>IF(AX405="","",IF(AX405&lt;='组合输入'!$K11,"AAA",IF(AX405&lt;='组合输入'!$L11,"AA",IF(AX405&lt;='组合输入'!$M11,"A",IF(AX405&lt;='组合输入'!$N11,"BBB",IF(AX405&lt;='组合输入'!$O11,"BB",IF(AX405&lt;='组合输入'!$P11,"B",IF(AX405&lt;='组合输入'!$Q11,"CCC","D")))))))</f>
        <v/>
      </c>
      <c r="AZ405" s="12">
        <f>IF(AY405="","",INDEX('状态价值'!$D11:$K11,MATCH(AY405,'状态价值'!$D$1:$K$1,0)))</f>
        <v/>
      </c>
      <c r="BA405" s="12">
        <f>G405+L405+Q405+V405+AA405+AF405+AK405+AP405+AU405+AZ405</f>
        <v/>
      </c>
      <c r="BB405" s="12">
        <f>SUM('组合输入'!$J$2:$J$11)-BA405</f>
        <v/>
      </c>
    </row>
    <row r="406">
      <c r="A406" s="11" t="n">
        <v>405</v>
      </c>
      <c r="B406" s="14">
        <f>NORM.S.INV(RAND())</f>
        <v/>
      </c>
      <c r="C406" s="14">
        <f>NORM.S.INV(RAND())</f>
        <v/>
      </c>
      <c r="D406" s="15">
        <f>IF('组合输入'!$C2="","",'组合输入'!$H2*$B406+SQRT(1-'组合输入'!$H2^2)*C406)</f>
        <v/>
      </c>
      <c r="E406" s="7">
        <f>IF(D406="","",NORM.S.DIST(D406,TRUE))</f>
        <v/>
      </c>
      <c r="F406" s="13">
        <f>IF(E406="","",IF(E406&lt;='组合输入'!$K2,"AAA",IF(E406&lt;='组合输入'!$L2,"AA",IF(E406&lt;='组合输入'!$M2,"A",IF(E406&lt;='组合输入'!$N2,"BBB",IF(E406&lt;='组合输入'!$O2,"BB",IF(E406&lt;='组合输入'!$P2,"B",IF(E406&lt;='组合输入'!$Q2,"CCC","D")))))))</f>
        <v/>
      </c>
      <c r="G406" s="12">
        <f>IF(F406="","",INDEX('状态价值'!$D2:$K2,MATCH(F406,'状态价值'!$D$1:$K$1,0)))</f>
        <v/>
      </c>
      <c r="H406" s="15">
        <f>NORM.S.INV(RAND())</f>
        <v/>
      </c>
      <c r="I406" s="15">
        <f>IF('组合输入'!$C3="","",'组合输入'!$H3*$B406+SQRT(1-'组合输入'!$H3^2)*H406)</f>
        <v/>
      </c>
      <c r="J406" s="7">
        <f>IF(I406="","",NORM.S.DIST(I406,TRUE))</f>
        <v/>
      </c>
      <c r="K406" s="13">
        <f>IF(J406="","",IF(J406&lt;='组合输入'!$K3,"AAA",IF(J406&lt;='组合输入'!$L3,"AA",IF(J406&lt;='组合输入'!$M3,"A",IF(J406&lt;='组合输入'!$N3,"BBB",IF(J406&lt;='组合输入'!$O3,"BB",IF(J406&lt;='组合输入'!$P3,"B",IF(J406&lt;='组合输入'!$Q3,"CCC","D")))))))</f>
        <v/>
      </c>
      <c r="L406" s="12">
        <f>IF(K406="","",INDEX('状态价值'!$D3:$K3,MATCH(K406,'状态价值'!$D$1:$K$1,0)))</f>
        <v/>
      </c>
      <c r="M406" s="15">
        <f>NORM.S.INV(RAND())</f>
        <v/>
      </c>
      <c r="N406" s="15">
        <f>IF('组合输入'!$C4="","",'组合输入'!$H4*$B406+SQRT(1-'组合输入'!$H4^2)*M406)</f>
        <v/>
      </c>
      <c r="O406" s="7">
        <f>IF(N406="","",NORM.S.DIST(N406,TRUE))</f>
        <v/>
      </c>
      <c r="P406" s="13">
        <f>IF(O406="","",IF(O406&lt;='组合输入'!$K4,"AAA",IF(O406&lt;='组合输入'!$L4,"AA",IF(O406&lt;='组合输入'!$M4,"A",IF(O406&lt;='组合输入'!$N4,"BBB",IF(O406&lt;='组合输入'!$O4,"BB",IF(O406&lt;='组合输入'!$P4,"B",IF(O406&lt;='组合输入'!$Q4,"CCC","D")))))))</f>
        <v/>
      </c>
      <c r="Q406" s="12">
        <f>IF(P406="","",INDEX('状态价值'!$D4:$K4,MATCH(P406,'状态价值'!$D$1:$K$1,0)))</f>
        <v/>
      </c>
      <c r="R406" s="15">
        <f>NORM.S.INV(RAND())</f>
        <v/>
      </c>
      <c r="S406" s="15">
        <f>IF('组合输入'!$C5="","",'组合输入'!$H5*$B406+SQRT(1-'组合输入'!$H5^2)*R406)</f>
        <v/>
      </c>
      <c r="T406" s="7">
        <f>IF(S406="","",NORM.S.DIST(S406,TRUE))</f>
        <v/>
      </c>
      <c r="U406" s="13">
        <f>IF(T406="","",IF(T406&lt;='组合输入'!$K5,"AAA",IF(T406&lt;='组合输入'!$L5,"AA",IF(T406&lt;='组合输入'!$M5,"A",IF(T406&lt;='组合输入'!$N5,"BBB",IF(T406&lt;='组合输入'!$O5,"BB",IF(T406&lt;='组合输入'!$P5,"B",IF(T406&lt;='组合输入'!$Q5,"CCC","D")))))))</f>
        <v/>
      </c>
      <c r="V406" s="12">
        <f>IF(U406="","",INDEX('状态价值'!$D5:$K5,MATCH(U406,'状态价值'!$D$1:$K$1,0)))</f>
        <v/>
      </c>
      <c r="W406" s="15">
        <f>NORM.S.INV(RAND())</f>
        <v/>
      </c>
      <c r="X406" s="15">
        <f>IF('组合输入'!$C6="","",'组合输入'!$H6*$B406+SQRT(1-'组合输入'!$H6^2)*W406)</f>
        <v/>
      </c>
      <c r="Y406" s="7">
        <f>IF(X406="","",NORM.S.DIST(X406,TRUE))</f>
        <v/>
      </c>
      <c r="Z406" s="13">
        <f>IF(Y406="","",IF(Y406&lt;='组合输入'!$K6,"AAA",IF(Y406&lt;='组合输入'!$L6,"AA",IF(Y406&lt;='组合输入'!$M6,"A",IF(Y406&lt;='组合输入'!$N6,"BBB",IF(Y406&lt;='组合输入'!$O6,"BB",IF(Y406&lt;='组合输入'!$P6,"B",IF(Y406&lt;='组合输入'!$Q6,"CCC","D")))))))</f>
        <v/>
      </c>
      <c r="AA406" s="12">
        <f>IF(Z406="","",INDEX('状态价值'!$D6:$K6,MATCH(Z406,'状态价值'!$D$1:$K$1,0)))</f>
        <v/>
      </c>
      <c r="AB406" s="15">
        <f>NORM.S.INV(RAND())</f>
        <v/>
      </c>
      <c r="AC406" s="15">
        <f>IF('组合输入'!$C7="","",'组合输入'!$H7*$B406+SQRT(1-'组合输入'!$H7^2)*AB406)</f>
        <v/>
      </c>
      <c r="AD406" s="7">
        <f>IF(AC406="","",NORM.S.DIST(AC406,TRUE))</f>
        <v/>
      </c>
      <c r="AE406" s="13">
        <f>IF(AD406="","",IF(AD406&lt;='组合输入'!$K7,"AAA",IF(AD406&lt;='组合输入'!$L7,"AA",IF(AD406&lt;='组合输入'!$M7,"A",IF(AD406&lt;='组合输入'!$N7,"BBB",IF(AD406&lt;='组合输入'!$O7,"BB",IF(AD406&lt;='组合输入'!$P7,"B",IF(AD406&lt;='组合输入'!$Q7,"CCC","D")))))))</f>
        <v/>
      </c>
      <c r="AF406" s="12">
        <f>IF(AE406="","",INDEX('状态价值'!$D7:$K7,MATCH(AE406,'状态价值'!$D$1:$K$1,0)))</f>
        <v/>
      </c>
      <c r="AG406" s="15">
        <f>NORM.S.INV(RAND())</f>
        <v/>
      </c>
      <c r="AH406" s="15">
        <f>IF('组合输入'!$C8="","",'组合输入'!$H8*$B406+SQRT(1-'组合输入'!$H8^2)*AG406)</f>
        <v/>
      </c>
      <c r="AI406" s="7">
        <f>IF(AH406="","",NORM.S.DIST(AH406,TRUE))</f>
        <v/>
      </c>
      <c r="AJ406" s="13">
        <f>IF(AI406="","",IF(AI406&lt;='组合输入'!$K8,"AAA",IF(AI406&lt;='组合输入'!$L8,"AA",IF(AI406&lt;='组合输入'!$M8,"A",IF(AI406&lt;='组合输入'!$N8,"BBB",IF(AI406&lt;='组合输入'!$O8,"BB",IF(AI406&lt;='组合输入'!$P8,"B",IF(AI406&lt;='组合输入'!$Q8,"CCC","D")))))))</f>
        <v/>
      </c>
      <c r="AK406" s="12">
        <f>IF(AJ406="","",INDEX('状态价值'!$D8:$K8,MATCH(AJ406,'状态价值'!$D$1:$K$1,0)))</f>
        <v/>
      </c>
      <c r="AL406" s="15">
        <f>NORM.S.INV(RAND())</f>
        <v/>
      </c>
      <c r="AM406" s="15">
        <f>IF('组合输入'!$C9="","",'组合输入'!$H9*$B406+SQRT(1-'组合输入'!$H9^2)*AL406)</f>
        <v/>
      </c>
      <c r="AN406" s="7">
        <f>IF(AM406="","",NORM.S.DIST(AM406,TRUE))</f>
        <v/>
      </c>
      <c r="AO406" s="13">
        <f>IF(AN406="","",IF(AN406&lt;='组合输入'!$K9,"AAA",IF(AN406&lt;='组合输入'!$L9,"AA",IF(AN406&lt;='组合输入'!$M9,"A",IF(AN406&lt;='组合输入'!$N9,"BBB",IF(AN406&lt;='组合输入'!$O9,"BB",IF(AN406&lt;='组合输入'!$P9,"B",IF(AN406&lt;='组合输入'!$Q9,"CCC","D")))))))</f>
        <v/>
      </c>
      <c r="AP406" s="12">
        <f>IF(AO406="","",INDEX('状态价值'!$D9:$K9,MATCH(AO406,'状态价值'!$D$1:$K$1,0)))</f>
        <v/>
      </c>
      <c r="AQ406" s="15">
        <f>NORM.S.INV(RAND())</f>
        <v/>
      </c>
      <c r="AR406" s="15">
        <f>IF('组合输入'!$C10="","",'组合输入'!$H10*$B406+SQRT(1-'组合输入'!$H10^2)*AQ406)</f>
        <v/>
      </c>
      <c r="AS406" s="7">
        <f>IF(AR406="","",NORM.S.DIST(AR406,TRUE))</f>
        <v/>
      </c>
      <c r="AT406" s="13">
        <f>IF(AS406="","",IF(AS406&lt;='组合输入'!$K10,"AAA",IF(AS406&lt;='组合输入'!$L10,"AA",IF(AS406&lt;='组合输入'!$M10,"A",IF(AS406&lt;='组合输入'!$N10,"BBB",IF(AS406&lt;='组合输入'!$O10,"BB",IF(AS406&lt;='组合输入'!$P10,"B",IF(AS406&lt;='组合输入'!$Q10,"CCC","D")))))))</f>
        <v/>
      </c>
      <c r="AU406" s="12">
        <f>IF(AT406="","",INDEX('状态价值'!$D10:$K10,MATCH(AT406,'状态价值'!$D$1:$K$1,0)))</f>
        <v/>
      </c>
      <c r="AV406" s="15">
        <f>NORM.S.INV(RAND())</f>
        <v/>
      </c>
      <c r="AW406" s="15">
        <f>IF('组合输入'!$C11="","",'组合输入'!$H11*$B406+SQRT(1-'组合输入'!$H11^2)*AV406)</f>
        <v/>
      </c>
      <c r="AX406" s="7">
        <f>IF(AW406="","",NORM.S.DIST(AW406,TRUE))</f>
        <v/>
      </c>
      <c r="AY406" s="13">
        <f>IF(AX406="","",IF(AX406&lt;='组合输入'!$K11,"AAA",IF(AX406&lt;='组合输入'!$L11,"AA",IF(AX406&lt;='组合输入'!$M11,"A",IF(AX406&lt;='组合输入'!$N11,"BBB",IF(AX406&lt;='组合输入'!$O11,"BB",IF(AX406&lt;='组合输入'!$P11,"B",IF(AX406&lt;='组合输入'!$Q11,"CCC","D")))))))</f>
        <v/>
      </c>
      <c r="AZ406" s="12">
        <f>IF(AY406="","",INDEX('状态价值'!$D11:$K11,MATCH(AY406,'状态价值'!$D$1:$K$1,0)))</f>
        <v/>
      </c>
      <c r="BA406" s="12">
        <f>G406+L406+Q406+V406+AA406+AF406+AK406+AP406+AU406+AZ406</f>
        <v/>
      </c>
      <c r="BB406" s="12">
        <f>SUM('组合输入'!$J$2:$J$11)-BA406</f>
        <v/>
      </c>
    </row>
    <row r="407">
      <c r="A407" s="11" t="n">
        <v>406</v>
      </c>
      <c r="B407" s="14">
        <f>NORM.S.INV(RAND())</f>
        <v/>
      </c>
      <c r="C407" s="14">
        <f>NORM.S.INV(RAND())</f>
        <v/>
      </c>
      <c r="D407" s="15">
        <f>IF('组合输入'!$C2="","",'组合输入'!$H2*$B407+SQRT(1-'组合输入'!$H2^2)*C407)</f>
        <v/>
      </c>
      <c r="E407" s="7">
        <f>IF(D407="","",NORM.S.DIST(D407,TRUE))</f>
        <v/>
      </c>
      <c r="F407" s="13">
        <f>IF(E407="","",IF(E407&lt;='组合输入'!$K2,"AAA",IF(E407&lt;='组合输入'!$L2,"AA",IF(E407&lt;='组合输入'!$M2,"A",IF(E407&lt;='组合输入'!$N2,"BBB",IF(E407&lt;='组合输入'!$O2,"BB",IF(E407&lt;='组合输入'!$P2,"B",IF(E407&lt;='组合输入'!$Q2,"CCC","D")))))))</f>
        <v/>
      </c>
      <c r="G407" s="12">
        <f>IF(F407="","",INDEX('状态价值'!$D2:$K2,MATCH(F407,'状态价值'!$D$1:$K$1,0)))</f>
        <v/>
      </c>
      <c r="H407" s="15">
        <f>NORM.S.INV(RAND())</f>
        <v/>
      </c>
      <c r="I407" s="15">
        <f>IF('组合输入'!$C3="","",'组合输入'!$H3*$B407+SQRT(1-'组合输入'!$H3^2)*H407)</f>
        <v/>
      </c>
      <c r="J407" s="7">
        <f>IF(I407="","",NORM.S.DIST(I407,TRUE))</f>
        <v/>
      </c>
      <c r="K407" s="13">
        <f>IF(J407="","",IF(J407&lt;='组合输入'!$K3,"AAA",IF(J407&lt;='组合输入'!$L3,"AA",IF(J407&lt;='组合输入'!$M3,"A",IF(J407&lt;='组合输入'!$N3,"BBB",IF(J407&lt;='组合输入'!$O3,"BB",IF(J407&lt;='组合输入'!$P3,"B",IF(J407&lt;='组合输入'!$Q3,"CCC","D")))))))</f>
        <v/>
      </c>
      <c r="L407" s="12">
        <f>IF(K407="","",INDEX('状态价值'!$D3:$K3,MATCH(K407,'状态价值'!$D$1:$K$1,0)))</f>
        <v/>
      </c>
      <c r="M407" s="15">
        <f>NORM.S.INV(RAND())</f>
        <v/>
      </c>
      <c r="N407" s="15">
        <f>IF('组合输入'!$C4="","",'组合输入'!$H4*$B407+SQRT(1-'组合输入'!$H4^2)*M407)</f>
        <v/>
      </c>
      <c r="O407" s="7">
        <f>IF(N407="","",NORM.S.DIST(N407,TRUE))</f>
        <v/>
      </c>
      <c r="P407" s="13">
        <f>IF(O407="","",IF(O407&lt;='组合输入'!$K4,"AAA",IF(O407&lt;='组合输入'!$L4,"AA",IF(O407&lt;='组合输入'!$M4,"A",IF(O407&lt;='组合输入'!$N4,"BBB",IF(O407&lt;='组合输入'!$O4,"BB",IF(O407&lt;='组合输入'!$P4,"B",IF(O407&lt;='组合输入'!$Q4,"CCC","D")))))))</f>
        <v/>
      </c>
      <c r="Q407" s="12">
        <f>IF(P407="","",INDEX('状态价值'!$D4:$K4,MATCH(P407,'状态价值'!$D$1:$K$1,0)))</f>
        <v/>
      </c>
      <c r="R407" s="15">
        <f>NORM.S.INV(RAND())</f>
        <v/>
      </c>
      <c r="S407" s="15">
        <f>IF('组合输入'!$C5="","",'组合输入'!$H5*$B407+SQRT(1-'组合输入'!$H5^2)*R407)</f>
        <v/>
      </c>
      <c r="T407" s="7">
        <f>IF(S407="","",NORM.S.DIST(S407,TRUE))</f>
        <v/>
      </c>
      <c r="U407" s="13">
        <f>IF(T407="","",IF(T407&lt;='组合输入'!$K5,"AAA",IF(T407&lt;='组合输入'!$L5,"AA",IF(T407&lt;='组合输入'!$M5,"A",IF(T407&lt;='组合输入'!$N5,"BBB",IF(T407&lt;='组合输入'!$O5,"BB",IF(T407&lt;='组合输入'!$P5,"B",IF(T407&lt;='组合输入'!$Q5,"CCC","D")))))))</f>
        <v/>
      </c>
      <c r="V407" s="12">
        <f>IF(U407="","",INDEX('状态价值'!$D5:$K5,MATCH(U407,'状态价值'!$D$1:$K$1,0)))</f>
        <v/>
      </c>
      <c r="W407" s="15">
        <f>NORM.S.INV(RAND())</f>
        <v/>
      </c>
      <c r="X407" s="15">
        <f>IF('组合输入'!$C6="","",'组合输入'!$H6*$B407+SQRT(1-'组合输入'!$H6^2)*W407)</f>
        <v/>
      </c>
      <c r="Y407" s="7">
        <f>IF(X407="","",NORM.S.DIST(X407,TRUE))</f>
        <v/>
      </c>
      <c r="Z407" s="13">
        <f>IF(Y407="","",IF(Y407&lt;='组合输入'!$K6,"AAA",IF(Y407&lt;='组合输入'!$L6,"AA",IF(Y407&lt;='组合输入'!$M6,"A",IF(Y407&lt;='组合输入'!$N6,"BBB",IF(Y407&lt;='组合输入'!$O6,"BB",IF(Y407&lt;='组合输入'!$P6,"B",IF(Y407&lt;='组合输入'!$Q6,"CCC","D")))))))</f>
        <v/>
      </c>
      <c r="AA407" s="12">
        <f>IF(Z407="","",INDEX('状态价值'!$D6:$K6,MATCH(Z407,'状态价值'!$D$1:$K$1,0)))</f>
        <v/>
      </c>
      <c r="AB407" s="15">
        <f>NORM.S.INV(RAND())</f>
        <v/>
      </c>
      <c r="AC407" s="15">
        <f>IF('组合输入'!$C7="","",'组合输入'!$H7*$B407+SQRT(1-'组合输入'!$H7^2)*AB407)</f>
        <v/>
      </c>
      <c r="AD407" s="7">
        <f>IF(AC407="","",NORM.S.DIST(AC407,TRUE))</f>
        <v/>
      </c>
      <c r="AE407" s="13">
        <f>IF(AD407="","",IF(AD407&lt;='组合输入'!$K7,"AAA",IF(AD407&lt;='组合输入'!$L7,"AA",IF(AD407&lt;='组合输入'!$M7,"A",IF(AD407&lt;='组合输入'!$N7,"BBB",IF(AD407&lt;='组合输入'!$O7,"BB",IF(AD407&lt;='组合输入'!$P7,"B",IF(AD407&lt;='组合输入'!$Q7,"CCC","D")))))))</f>
        <v/>
      </c>
      <c r="AF407" s="12">
        <f>IF(AE407="","",INDEX('状态价值'!$D7:$K7,MATCH(AE407,'状态价值'!$D$1:$K$1,0)))</f>
        <v/>
      </c>
      <c r="AG407" s="15">
        <f>NORM.S.INV(RAND())</f>
        <v/>
      </c>
      <c r="AH407" s="15">
        <f>IF('组合输入'!$C8="","",'组合输入'!$H8*$B407+SQRT(1-'组合输入'!$H8^2)*AG407)</f>
        <v/>
      </c>
      <c r="AI407" s="7">
        <f>IF(AH407="","",NORM.S.DIST(AH407,TRUE))</f>
        <v/>
      </c>
      <c r="AJ407" s="13">
        <f>IF(AI407="","",IF(AI407&lt;='组合输入'!$K8,"AAA",IF(AI407&lt;='组合输入'!$L8,"AA",IF(AI407&lt;='组合输入'!$M8,"A",IF(AI407&lt;='组合输入'!$N8,"BBB",IF(AI407&lt;='组合输入'!$O8,"BB",IF(AI407&lt;='组合输入'!$P8,"B",IF(AI407&lt;='组合输入'!$Q8,"CCC","D")))))))</f>
        <v/>
      </c>
      <c r="AK407" s="12">
        <f>IF(AJ407="","",INDEX('状态价值'!$D8:$K8,MATCH(AJ407,'状态价值'!$D$1:$K$1,0)))</f>
        <v/>
      </c>
      <c r="AL407" s="15">
        <f>NORM.S.INV(RAND())</f>
        <v/>
      </c>
      <c r="AM407" s="15">
        <f>IF('组合输入'!$C9="","",'组合输入'!$H9*$B407+SQRT(1-'组合输入'!$H9^2)*AL407)</f>
        <v/>
      </c>
      <c r="AN407" s="7">
        <f>IF(AM407="","",NORM.S.DIST(AM407,TRUE))</f>
        <v/>
      </c>
      <c r="AO407" s="13">
        <f>IF(AN407="","",IF(AN407&lt;='组合输入'!$K9,"AAA",IF(AN407&lt;='组合输入'!$L9,"AA",IF(AN407&lt;='组合输入'!$M9,"A",IF(AN407&lt;='组合输入'!$N9,"BBB",IF(AN407&lt;='组合输入'!$O9,"BB",IF(AN407&lt;='组合输入'!$P9,"B",IF(AN407&lt;='组合输入'!$Q9,"CCC","D")))))))</f>
        <v/>
      </c>
      <c r="AP407" s="12">
        <f>IF(AO407="","",INDEX('状态价值'!$D9:$K9,MATCH(AO407,'状态价值'!$D$1:$K$1,0)))</f>
        <v/>
      </c>
      <c r="AQ407" s="15">
        <f>NORM.S.INV(RAND())</f>
        <v/>
      </c>
      <c r="AR407" s="15">
        <f>IF('组合输入'!$C10="","",'组合输入'!$H10*$B407+SQRT(1-'组合输入'!$H10^2)*AQ407)</f>
        <v/>
      </c>
      <c r="AS407" s="7">
        <f>IF(AR407="","",NORM.S.DIST(AR407,TRUE))</f>
        <v/>
      </c>
      <c r="AT407" s="13">
        <f>IF(AS407="","",IF(AS407&lt;='组合输入'!$K10,"AAA",IF(AS407&lt;='组合输入'!$L10,"AA",IF(AS407&lt;='组合输入'!$M10,"A",IF(AS407&lt;='组合输入'!$N10,"BBB",IF(AS407&lt;='组合输入'!$O10,"BB",IF(AS407&lt;='组合输入'!$P10,"B",IF(AS407&lt;='组合输入'!$Q10,"CCC","D")))))))</f>
        <v/>
      </c>
      <c r="AU407" s="12">
        <f>IF(AT407="","",INDEX('状态价值'!$D10:$K10,MATCH(AT407,'状态价值'!$D$1:$K$1,0)))</f>
        <v/>
      </c>
      <c r="AV407" s="15">
        <f>NORM.S.INV(RAND())</f>
        <v/>
      </c>
      <c r="AW407" s="15">
        <f>IF('组合输入'!$C11="","",'组合输入'!$H11*$B407+SQRT(1-'组合输入'!$H11^2)*AV407)</f>
        <v/>
      </c>
      <c r="AX407" s="7">
        <f>IF(AW407="","",NORM.S.DIST(AW407,TRUE))</f>
        <v/>
      </c>
      <c r="AY407" s="13">
        <f>IF(AX407="","",IF(AX407&lt;='组合输入'!$K11,"AAA",IF(AX407&lt;='组合输入'!$L11,"AA",IF(AX407&lt;='组合输入'!$M11,"A",IF(AX407&lt;='组合输入'!$N11,"BBB",IF(AX407&lt;='组合输入'!$O11,"BB",IF(AX407&lt;='组合输入'!$P11,"B",IF(AX407&lt;='组合输入'!$Q11,"CCC","D")))))))</f>
        <v/>
      </c>
      <c r="AZ407" s="12">
        <f>IF(AY407="","",INDEX('状态价值'!$D11:$K11,MATCH(AY407,'状态价值'!$D$1:$K$1,0)))</f>
        <v/>
      </c>
      <c r="BA407" s="12">
        <f>G407+L407+Q407+V407+AA407+AF407+AK407+AP407+AU407+AZ407</f>
        <v/>
      </c>
      <c r="BB407" s="12">
        <f>SUM('组合输入'!$J$2:$J$11)-BA407</f>
        <v/>
      </c>
    </row>
    <row r="408">
      <c r="A408" s="11" t="n">
        <v>407</v>
      </c>
      <c r="B408" s="14">
        <f>NORM.S.INV(RAND())</f>
        <v/>
      </c>
      <c r="C408" s="14">
        <f>NORM.S.INV(RAND())</f>
        <v/>
      </c>
      <c r="D408" s="15">
        <f>IF('组合输入'!$C2="","",'组合输入'!$H2*$B408+SQRT(1-'组合输入'!$H2^2)*C408)</f>
        <v/>
      </c>
      <c r="E408" s="7">
        <f>IF(D408="","",NORM.S.DIST(D408,TRUE))</f>
        <v/>
      </c>
      <c r="F408" s="13">
        <f>IF(E408="","",IF(E408&lt;='组合输入'!$K2,"AAA",IF(E408&lt;='组合输入'!$L2,"AA",IF(E408&lt;='组合输入'!$M2,"A",IF(E408&lt;='组合输入'!$N2,"BBB",IF(E408&lt;='组合输入'!$O2,"BB",IF(E408&lt;='组合输入'!$P2,"B",IF(E408&lt;='组合输入'!$Q2,"CCC","D")))))))</f>
        <v/>
      </c>
      <c r="G408" s="12">
        <f>IF(F408="","",INDEX('状态价值'!$D2:$K2,MATCH(F408,'状态价值'!$D$1:$K$1,0)))</f>
        <v/>
      </c>
      <c r="H408" s="15">
        <f>NORM.S.INV(RAND())</f>
        <v/>
      </c>
      <c r="I408" s="15">
        <f>IF('组合输入'!$C3="","",'组合输入'!$H3*$B408+SQRT(1-'组合输入'!$H3^2)*H408)</f>
        <v/>
      </c>
      <c r="J408" s="7">
        <f>IF(I408="","",NORM.S.DIST(I408,TRUE))</f>
        <v/>
      </c>
      <c r="K408" s="13">
        <f>IF(J408="","",IF(J408&lt;='组合输入'!$K3,"AAA",IF(J408&lt;='组合输入'!$L3,"AA",IF(J408&lt;='组合输入'!$M3,"A",IF(J408&lt;='组合输入'!$N3,"BBB",IF(J408&lt;='组合输入'!$O3,"BB",IF(J408&lt;='组合输入'!$P3,"B",IF(J408&lt;='组合输入'!$Q3,"CCC","D")))))))</f>
        <v/>
      </c>
      <c r="L408" s="12">
        <f>IF(K408="","",INDEX('状态价值'!$D3:$K3,MATCH(K408,'状态价值'!$D$1:$K$1,0)))</f>
        <v/>
      </c>
      <c r="M408" s="15">
        <f>NORM.S.INV(RAND())</f>
        <v/>
      </c>
      <c r="N408" s="15">
        <f>IF('组合输入'!$C4="","",'组合输入'!$H4*$B408+SQRT(1-'组合输入'!$H4^2)*M408)</f>
        <v/>
      </c>
      <c r="O408" s="7">
        <f>IF(N408="","",NORM.S.DIST(N408,TRUE))</f>
        <v/>
      </c>
      <c r="P408" s="13">
        <f>IF(O408="","",IF(O408&lt;='组合输入'!$K4,"AAA",IF(O408&lt;='组合输入'!$L4,"AA",IF(O408&lt;='组合输入'!$M4,"A",IF(O408&lt;='组合输入'!$N4,"BBB",IF(O408&lt;='组合输入'!$O4,"BB",IF(O408&lt;='组合输入'!$P4,"B",IF(O408&lt;='组合输入'!$Q4,"CCC","D")))))))</f>
        <v/>
      </c>
      <c r="Q408" s="12">
        <f>IF(P408="","",INDEX('状态价值'!$D4:$K4,MATCH(P408,'状态价值'!$D$1:$K$1,0)))</f>
        <v/>
      </c>
      <c r="R408" s="15">
        <f>NORM.S.INV(RAND())</f>
        <v/>
      </c>
      <c r="S408" s="15">
        <f>IF('组合输入'!$C5="","",'组合输入'!$H5*$B408+SQRT(1-'组合输入'!$H5^2)*R408)</f>
        <v/>
      </c>
      <c r="T408" s="7">
        <f>IF(S408="","",NORM.S.DIST(S408,TRUE))</f>
        <v/>
      </c>
      <c r="U408" s="13">
        <f>IF(T408="","",IF(T408&lt;='组合输入'!$K5,"AAA",IF(T408&lt;='组合输入'!$L5,"AA",IF(T408&lt;='组合输入'!$M5,"A",IF(T408&lt;='组合输入'!$N5,"BBB",IF(T408&lt;='组合输入'!$O5,"BB",IF(T408&lt;='组合输入'!$P5,"B",IF(T408&lt;='组合输入'!$Q5,"CCC","D")))))))</f>
        <v/>
      </c>
      <c r="V408" s="12">
        <f>IF(U408="","",INDEX('状态价值'!$D5:$K5,MATCH(U408,'状态价值'!$D$1:$K$1,0)))</f>
        <v/>
      </c>
      <c r="W408" s="15">
        <f>NORM.S.INV(RAND())</f>
        <v/>
      </c>
      <c r="X408" s="15">
        <f>IF('组合输入'!$C6="","",'组合输入'!$H6*$B408+SQRT(1-'组合输入'!$H6^2)*W408)</f>
        <v/>
      </c>
      <c r="Y408" s="7">
        <f>IF(X408="","",NORM.S.DIST(X408,TRUE))</f>
        <v/>
      </c>
      <c r="Z408" s="13">
        <f>IF(Y408="","",IF(Y408&lt;='组合输入'!$K6,"AAA",IF(Y408&lt;='组合输入'!$L6,"AA",IF(Y408&lt;='组合输入'!$M6,"A",IF(Y408&lt;='组合输入'!$N6,"BBB",IF(Y408&lt;='组合输入'!$O6,"BB",IF(Y408&lt;='组合输入'!$P6,"B",IF(Y408&lt;='组合输入'!$Q6,"CCC","D")))))))</f>
        <v/>
      </c>
      <c r="AA408" s="12">
        <f>IF(Z408="","",INDEX('状态价值'!$D6:$K6,MATCH(Z408,'状态价值'!$D$1:$K$1,0)))</f>
        <v/>
      </c>
      <c r="AB408" s="15">
        <f>NORM.S.INV(RAND())</f>
        <v/>
      </c>
      <c r="AC408" s="15">
        <f>IF('组合输入'!$C7="","",'组合输入'!$H7*$B408+SQRT(1-'组合输入'!$H7^2)*AB408)</f>
        <v/>
      </c>
      <c r="AD408" s="7">
        <f>IF(AC408="","",NORM.S.DIST(AC408,TRUE))</f>
        <v/>
      </c>
      <c r="AE408" s="13">
        <f>IF(AD408="","",IF(AD408&lt;='组合输入'!$K7,"AAA",IF(AD408&lt;='组合输入'!$L7,"AA",IF(AD408&lt;='组合输入'!$M7,"A",IF(AD408&lt;='组合输入'!$N7,"BBB",IF(AD408&lt;='组合输入'!$O7,"BB",IF(AD408&lt;='组合输入'!$P7,"B",IF(AD408&lt;='组合输入'!$Q7,"CCC","D")))))))</f>
        <v/>
      </c>
      <c r="AF408" s="12">
        <f>IF(AE408="","",INDEX('状态价值'!$D7:$K7,MATCH(AE408,'状态价值'!$D$1:$K$1,0)))</f>
        <v/>
      </c>
      <c r="AG408" s="15">
        <f>NORM.S.INV(RAND())</f>
        <v/>
      </c>
      <c r="AH408" s="15">
        <f>IF('组合输入'!$C8="","",'组合输入'!$H8*$B408+SQRT(1-'组合输入'!$H8^2)*AG408)</f>
        <v/>
      </c>
      <c r="AI408" s="7">
        <f>IF(AH408="","",NORM.S.DIST(AH408,TRUE))</f>
        <v/>
      </c>
      <c r="AJ408" s="13">
        <f>IF(AI408="","",IF(AI408&lt;='组合输入'!$K8,"AAA",IF(AI408&lt;='组合输入'!$L8,"AA",IF(AI408&lt;='组合输入'!$M8,"A",IF(AI408&lt;='组合输入'!$N8,"BBB",IF(AI408&lt;='组合输入'!$O8,"BB",IF(AI408&lt;='组合输入'!$P8,"B",IF(AI408&lt;='组合输入'!$Q8,"CCC","D")))))))</f>
        <v/>
      </c>
      <c r="AK408" s="12">
        <f>IF(AJ408="","",INDEX('状态价值'!$D8:$K8,MATCH(AJ408,'状态价值'!$D$1:$K$1,0)))</f>
        <v/>
      </c>
      <c r="AL408" s="15">
        <f>NORM.S.INV(RAND())</f>
        <v/>
      </c>
      <c r="AM408" s="15">
        <f>IF('组合输入'!$C9="","",'组合输入'!$H9*$B408+SQRT(1-'组合输入'!$H9^2)*AL408)</f>
        <v/>
      </c>
      <c r="AN408" s="7">
        <f>IF(AM408="","",NORM.S.DIST(AM408,TRUE))</f>
        <v/>
      </c>
      <c r="AO408" s="13">
        <f>IF(AN408="","",IF(AN408&lt;='组合输入'!$K9,"AAA",IF(AN408&lt;='组合输入'!$L9,"AA",IF(AN408&lt;='组合输入'!$M9,"A",IF(AN408&lt;='组合输入'!$N9,"BBB",IF(AN408&lt;='组合输入'!$O9,"BB",IF(AN408&lt;='组合输入'!$P9,"B",IF(AN408&lt;='组合输入'!$Q9,"CCC","D")))))))</f>
        <v/>
      </c>
      <c r="AP408" s="12">
        <f>IF(AO408="","",INDEX('状态价值'!$D9:$K9,MATCH(AO408,'状态价值'!$D$1:$K$1,0)))</f>
        <v/>
      </c>
      <c r="AQ408" s="15">
        <f>NORM.S.INV(RAND())</f>
        <v/>
      </c>
      <c r="AR408" s="15">
        <f>IF('组合输入'!$C10="","",'组合输入'!$H10*$B408+SQRT(1-'组合输入'!$H10^2)*AQ408)</f>
        <v/>
      </c>
      <c r="AS408" s="7">
        <f>IF(AR408="","",NORM.S.DIST(AR408,TRUE))</f>
        <v/>
      </c>
      <c r="AT408" s="13">
        <f>IF(AS408="","",IF(AS408&lt;='组合输入'!$K10,"AAA",IF(AS408&lt;='组合输入'!$L10,"AA",IF(AS408&lt;='组合输入'!$M10,"A",IF(AS408&lt;='组合输入'!$N10,"BBB",IF(AS408&lt;='组合输入'!$O10,"BB",IF(AS408&lt;='组合输入'!$P10,"B",IF(AS408&lt;='组合输入'!$Q10,"CCC","D")))))))</f>
        <v/>
      </c>
      <c r="AU408" s="12">
        <f>IF(AT408="","",INDEX('状态价值'!$D10:$K10,MATCH(AT408,'状态价值'!$D$1:$K$1,0)))</f>
        <v/>
      </c>
      <c r="AV408" s="15">
        <f>NORM.S.INV(RAND())</f>
        <v/>
      </c>
      <c r="AW408" s="15">
        <f>IF('组合输入'!$C11="","",'组合输入'!$H11*$B408+SQRT(1-'组合输入'!$H11^2)*AV408)</f>
        <v/>
      </c>
      <c r="AX408" s="7">
        <f>IF(AW408="","",NORM.S.DIST(AW408,TRUE))</f>
        <v/>
      </c>
      <c r="AY408" s="13">
        <f>IF(AX408="","",IF(AX408&lt;='组合输入'!$K11,"AAA",IF(AX408&lt;='组合输入'!$L11,"AA",IF(AX408&lt;='组合输入'!$M11,"A",IF(AX408&lt;='组合输入'!$N11,"BBB",IF(AX408&lt;='组合输入'!$O11,"BB",IF(AX408&lt;='组合输入'!$P11,"B",IF(AX408&lt;='组合输入'!$Q11,"CCC","D")))))))</f>
        <v/>
      </c>
      <c r="AZ408" s="12">
        <f>IF(AY408="","",INDEX('状态价值'!$D11:$K11,MATCH(AY408,'状态价值'!$D$1:$K$1,0)))</f>
        <v/>
      </c>
      <c r="BA408" s="12">
        <f>G408+L408+Q408+V408+AA408+AF408+AK408+AP408+AU408+AZ408</f>
        <v/>
      </c>
      <c r="BB408" s="12">
        <f>SUM('组合输入'!$J$2:$J$11)-BA408</f>
        <v/>
      </c>
    </row>
    <row r="409">
      <c r="A409" s="11" t="n">
        <v>408</v>
      </c>
      <c r="B409" s="14">
        <f>NORM.S.INV(RAND())</f>
        <v/>
      </c>
      <c r="C409" s="14">
        <f>NORM.S.INV(RAND())</f>
        <v/>
      </c>
      <c r="D409" s="15">
        <f>IF('组合输入'!$C2="","",'组合输入'!$H2*$B409+SQRT(1-'组合输入'!$H2^2)*C409)</f>
        <v/>
      </c>
      <c r="E409" s="7">
        <f>IF(D409="","",NORM.S.DIST(D409,TRUE))</f>
        <v/>
      </c>
      <c r="F409" s="13">
        <f>IF(E409="","",IF(E409&lt;='组合输入'!$K2,"AAA",IF(E409&lt;='组合输入'!$L2,"AA",IF(E409&lt;='组合输入'!$M2,"A",IF(E409&lt;='组合输入'!$N2,"BBB",IF(E409&lt;='组合输入'!$O2,"BB",IF(E409&lt;='组合输入'!$P2,"B",IF(E409&lt;='组合输入'!$Q2,"CCC","D")))))))</f>
        <v/>
      </c>
      <c r="G409" s="12">
        <f>IF(F409="","",INDEX('状态价值'!$D2:$K2,MATCH(F409,'状态价值'!$D$1:$K$1,0)))</f>
        <v/>
      </c>
      <c r="H409" s="15">
        <f>NORM.S.INV(RAND())</f>
        <v/>
      </c>
      <c r="I409" s="15">
        <f>IF('组合输入'!$C3="","",'组合输入'!$H3*$B409+SQRT(1-'组合输入'!$H3^2)*H409)</f>
        <v/>
      </c>
      <c r="J409" s="7">
        <f>IF(I409="","",NORM.S.DIST(I409,TRUE))</f>
        <v/>
      </c>
      <c r="K409" s="13">
        <f>IF(J409="","",IF(J409&lt;='组合输入'!$K3,"AAA",IF(J409&lt;='组合输入'!$L3,"AA",IF(J409&lt;='组合输入'!$M3,"A",IF(J409&lt;='组合输入'!$N3,"BBB",IF(J409&lt;='组合输入'!$O3,"BB",IF(J409&lt;='组合输入'!$P3,"B",IF(J409&lt;='组合输入'!$Q3,"CCC","D")))))))</f>
        <v/>
      </c>
      <c r="L409" s="12">
        <f>IF(K409="","",INDEX('状态价值'!$D3:$K3,MATCH(K409,'状态价值'!$D$1:$K$1,0)))</f>
        <v/>
      </c>
      <c r="M409" s="15">
        <f>NORM.S.INV(RAND())</f>
        <v/>
      </c>
      <c r="N409" s="15">
        <f>IF('组合输入'!$C4="","",'组合输入'!$H4*$B409+SQRT(1-'组合输入'!$H4^2)*M409)</f>
        <v/>
      </c>
      <c r="O409" s="7">
        <f>IF(N409="","",NORM.S.DIST(N409,TRUE))</f>
        <v/>
      </c>
      <c r="P409" s="13">
        <f>IF(O409="","",IF(O409&lt;='组合输入'!$K4,"AAA",IF(O409&lt;='组合输入'!$L4,"AA",IF(O409&lt;='组合输入'!$M4,"A",IF(O409&lt;='组合输入'!$N4,"BBB",IF(O409&lt;='组合输入'!$O4,"BB",IF(O409&lt;='组合输入'!$P4,"B",IF(O409&lt;='组合输入'!$Q4,"CCC","D")))))))</f>
        <v/>
      </c>
      <c r="Q409" s="12">
        <f>IF(P409="","",INDEX('状态价值'!$D4:$K4,MATCH(P409,'状态价值'!$D$1:$K$1,0)))</f>
        <v/>
      </c>
      <c r="R409" s="15">
        <f>NORM.S.INV(RAND())</f>
        <v/>
      </c>
      <c r="S409" s="15">
        <f>IF('组合输入'!$C5="","",'组合输入'!$H5*$B409+SQRT(1-'组合输入'!$H5^2)*R409)</f>
        <v/>
      </c>
      <c r="T409" s="7">
        <f>IF(S409="","",NORM.S.DIST(S409,TRUE))</f>
        <v/>
      </c>
      <c r="U409" s="13">
        <f>IF(T409="","",IF(T409&lt;='组合输入'!$K5,"AAA",IF(T409&lt;='组合输入'!$L5,"AA",IF(T409&lt;='组合输入'!$M5,"A",IF(T409&lt;='组合输入'!$N5,"BBB",IF(T409&lt;='组合输入'!$O5,"BB",IF(T409&lt;='组合输入'!$P5,"B",IF(T409&lt;='组合输入'!$Q5,"CCC","D")))))))</f>
        <v/>
      </c>
      <c r="V409" s="12">
        <f>IF(U409="","",INDEX('状态价值'!$D5:$K5,MATCH(U409,'状态价值'!$D$1:$K$1,0)))</f>
        <v/>
      </c>
      <c r="W409" s="15">
        <f>NORM.S.INV(RAND())</f>
        <v/>
      </c>
      <c r="X409" s="15">
        <f>IF('组合输入'!$C6="","",'组合输入'!$H6*$B409+SQRT(1-'组合输入'!$H6^2)*W409)</f>
        <v/>
      </c>
      <c r="Y409" s="7">
        <f>IF(X409="","",NORM.S.DIST(X409,TRUE))</f>
        <v/>
      </c>
      <c r="Z409" s="13">
        <f>IF(Y409="","",IF(Y409&lt;='组合输入'!$K6,"AAA",IF(Y409&lt;='组合输入'!$L6,"AA",IF(Y409&lt;='组合输入'!$M6,"A",IF(Y409&lt;='组合输入'!$N6,"BBB",IF(Y409&lt;='组合输入'!$O6,"BB",IF(Y409&lt;='组合输入'!$P6,"B",IF(Y409&lt;='组合输入'!$Q6,"CCC","D")))))))</f>
        <v/>
      </c>
      <c r="AA409" s="12">
        <f>IF(Z409="","",INDEX('状态价值'!$D6:$K6,MATCH(Z409,'状态价值'!$D$1:$K$1,0)))</f>
        <v/>
      </c>
      <c r="AB409" s="15">
        <f>NORM.S.INV(RAND())</f>
        <v/>
      </c>
      <c r="AC409" s="15">
        <f>IF('组合输入'!$C7="","",'组合输入'!$H7*$B409+SQRT(1-'组合输入'!$H7^2)*AB409)</f>
        <v/>
      </c>
      <c r="AD409" s="7">
        <f>IF(AC409="","",NORM.S.DIST(AC409,TRUE))</f>
        <v/>
      </c>
      <c r="AE409" s="13">
        <f>IF(AD409="","",IF(AD409&lt;='组合输入'!$K7,"AAA",IF(AD409&lt;='组合输入'!$L7,"AA",IF(AD409&lt;='组合输入'!$M7,"A",IF(AD409&lt;='组合输入'!$N7,"BBB",IF(AD409&lt;='组合输入'!$O7,"BB",IF(AD409&lt;='组合输入'!$P7,"B",IF(AD409&lt;='组合输入'!$Q7,"CCC","D")))))))</f>
        <v/>
      </c>
      <c r="AF409" s="12">
        <f>IF(AE409="","",INDEX('状态价值'!$D7:$K7,MATCH(AE409,'状态价值'!$D$1:$K$1,0)))</f>
        <v/>
      </c>
      <c r="AG409" s="15">
        <f>NORM.S.INV(RAND())</f>
        <v/>
      </c>
      <c r="AH409" s="15">
        <f>IF('组合输入'!$C8="","",'组合输入'!$H8*$B409+SQRT(1-'组合输入'!$H8^2)*AG409)</f>
        <v/>
      </c>
      <c r="AI409" s="7">
        <f>IF(AH409="","",NORM.S.DIST(AH409,TRUE))</f>
        <v/>
      </c>
      <c r="AJ409" s="13">
        <f>IF(AI409="","",IF(AI409&lt;='组合输入'!$K8,"AAA",IF(AI409&lt;='组合输入'!$L8,"AA",IF(AI409&lt;='组合输入'!$M8,"A",IF(AI409&lt;='组合输入'!$N8,"BBB",IF(AI409&lt;='组合输入'!$O8,"BB",IF(AI409&lt;='组合输入'!$P8,"B",IF(AI409&lt;='组合输入'!$Q8,"CCC","D")))))))</f>
        <v/>
      </c>
      <c r="AK409" s="12">
        <f>IF(AJ409="","",INDEX('状态价值'!$D8:$K8,MATCH(AJ409,'状态价值'!$D$1:$K$1,0)))</f>
        <v/>
      </c>
      <c r="AL409" s="15">
        <f>NORM.S.INV(RAND())</f>
        <v/>
      </c>
      <c r="AM409" s="15">
        <f>IF('组合输入'!$C9="","",'组合输入'!$H9*$B409+SQRT(1-'组合输入'!$H9^2)*AL409)</f>
        <v/>
      </c>
      <c r="AN409" s="7">
        <f>IF(AM409="","",NORM.S.DIST(AM409,TRUE))</f>
        <v/>
      </c>
      <c r="AO409" s="13">
        <f>IF(AN409="","",IF(AN409&lt;='组合输入'!$K9,"AAA",IF(AN409&lt;='组合输入'!$L9,"AA",IF(AN409&lt;='组合输入'!$M9,"A",IF(AN409&lt;='组合输入'!$N9,"BBB",IF(AN409&lt;='组合输入'!$O9,"BB",IF(AN409&lt;='组合输入'!$P9,"B",IF(AN409&lt;='组合输入'!$Q9,"CCC","D")))))))</f>
        <v/>
      </c>
      <c r="AP409" s="12">
        <f>IF(AO409="","",INDEX('状态价值'!$D9:$K9,MATCH(AO409,'状态价值'!$D$1:$K$1,0)))</f>
        <v/>
      </c>
      <c r="AQ409" s="15">
        <f>NORM.S.INV(RAND())</f>
        <v/>
      </c>
      <c r="AR409" s="15">
        <f>IF('组合输入'!$C10="","",'组合输入'!$H10*$B409+SQRT(1-'组合输入'!$H10^2)*AQ409)</f>
        <v/>
      </c>
      <c r="AS409" s="7">
        <f>IF(AR409="","",NORM.S.DIST(AR409,TRUE))</f>
        <v/>
      </c>
      <c r="AT409" s="13">
        <f>IF(AS409="","",IF(AS409&lt;='组合输入'!$K10,"AAA",IF(AS409&lt;='组合输入'!$L10,"AA",IF(AS409&lt;='组合输入'!$M10,"A",IF(AS409&lt;='组合输入'!$N10,"BBB",IF(AS409&lt;='组合输入'!$O10,"BB",IF(AS409&lt;='组合输入'!$P10,"B",IF(AS409&lt;='组合输入'!$Q10,"CCC","D")))))))</f>
        <v/>
      </c>
      <c r="AU409" s="12">
        <f>IF(AT409="","",INDEX('状态价值'!$D10:$K10,MATCH(AT409,'状态价值'!$D$1:$K$1,0)))</f>
        <v/>
      </c>
      <c r="AV409" s="15">
        <f>NORM.S.INV(RAND())</f>
        <v/>
      </c>
      <c r="AW409" s="15">
        <f>IF('组合输入'!$C11="","",'组合输入'!$H11*$B409+SQRT(1-'组合输入'!$H11^2)*AV409)</f>
        <v/>
      </c>
      <c r="AX409" s="7">
        <f>IF(AW409="","",NORM.S.DIST(AW409,TRUE))</f>
        <v/>
      </c>
      <c r="AY409" s="13">
        <f>IF(AX409="","",IF(AX409&lt;='组合输入'!$K11,"AAA",IF(AX409&lt;='组合输入'!$L11,"AA",IF(AX409&lt;='组合输入'!$M11,"A",IF(AX409&lt;='组合输入'!$N11,"BBB",IF(AX409&lt;='组合输入'!$O11,"BB",IF(AX409&lt;='组合输入'!$P11,"B",IF(AX409&lt;='组合输入'!$Q11,"CCC","D")))))))</f>
        <v/>
      </c>
      <c r="AZ409" s="12">
        <f>IF(AY409="","",INDEX('状态价值'!$D11:$K11,MATCH(AY409,'状态价值'!$D$1:$K$1,0)))</f>
        <v/>
      </c>
      <c r="BA409" s="12">
        <f>G409+L409+Q409+V409+AA409+AF409+AK409+AP409+AU409+AZ409</f>
        <v/>
      </c>
      <c r="BB409" s="12">
        <f>SUM('组合输入'!$J$2:$J$11)-BA409</f>
        <v/>
      </c>
    </row>
    <row r="410">
      <c r="A410" s="11" t="n">
        <v>409</v>
      </c>
      <c r="B410" s="14">
        <f>NORM.S.INV(RAND())</f>
        <v/>
      </c>
      <c r="C410" s="14">
        <f>NORM.S.INV(RAND())</f>
        <v/>
      </c>
      <c r="D410" s="15">
        <f>IF('组合输入'!$C2="","",'组合输入'!$H2*$B410+SQRT(1-'组合输入'!$H2^2)*C410)</f>
        <v/>
      </c>
      <c r="E410" s="7">
        <f>IF(D410="","",NORM.S.DIST(D410,TRUE))</f>
        <v/>
      </c>
      <c r="F410" s="13">
        <f>IF(E410="","",IF(E410&lt;='组合输入'!$K2,"AAA",IF(E410&lt;='组合输入'!$L2,"AA",IF(E410&lt;='组合输入'!$M2,"A",IF(E410&lt;='组合输入'!$N2,"BBB",IF(E410&lt;='组合输入'!$O2,"BB",IF(E410&lt;='组合输入'!$P2,"B",IF(E410&lt;='组合输入'!$Q2,"CCC","D")))))))</f>
        <v/>
      </c>
      <c r="G410" s="12">
        <f>IF(F410="","",INDEX('状态价值'!$D2:$K2,MATCH(F410,'状态价值'!$D$1:$K$1,0)))</f>
        <v/>
      </c>
      <c r="H410" s="15">
        <f>NORM.S.INV(RAND())</f>
        <v/>
      </c>
      <c r="I410" s="15">
        <f>IF('组合输入'!$C3="","",'组合输入'!$H3*$B410+SQRT(1-'组合输入'!$H3^2)*H410)</f>
        <v/>
      </c>
      <c r="J410" s="7">
        <f>IF(I410="","",NORM.S.DIST(I410,TRUE))</f>
        <v/>
      </c>
      <c r="K410" s="13">
        <f>IF(J410="","",IF(J410&lt;='组合输入'!$K3,"AAA",IF(J410&lt;='组合输入'!$L3,"AA",IF(J410&lt;='组合输入'!$M3,"A",IF(J410&lt;='组合输入'!$N3,"BBB",IF(J410&lt;='组合输入'!$O3,"BB",IF(J410&lt;='组合输入'!$P3,"B",IF(J410&lt;='组合输入'!$Q3,"CCC","D")))))))</f>
        <v/>
      </c>
      <c r="L410" s="12">
        <f>IF(K410="","",INDEX('状态价值'!$D3:$K3,MATCH(K410,'状态价值'!$D$1:$K$1,0)))</f>
        <v/>
      </c>
      <c r="M410" s="15">
        <f>NORM.S.INV(RAND())</f>
        <v/>
      </c>
      <c r="N410" s="15">
        <f>IF('组合输入'!$C4="","",'组合输入'!$H4*$B410+SQRT(1-'组合输入'!$H4^2)*M410)</f>
        <v/>
      </c>
      <c r="O410" s="7">
        <f>IF(N410="","",NORM.S.DIST(N410,TRUE))</f>
        <v/>
      </c>
      <c r="P410" s="13">
        <f>IF(O410="","",IF(O410&lt;='组合输入'!$K4,"AAA",IF(O410&lt;='组合输入'!$L4,"AA",IF(O410&lt;='组合输入'!$M4,"A",IF(O410&lt;='组合输入'!$N4,"BBB",IF(O410&lt;='组合输入'!$O4,"BB",IF(O410&lt;='组合输入'!$P4,"B",IF(O410&lt;='组合输入'!$Q4,"CCC","D")))))))</f>
        <v/>
      </c>
      <c r="Q410" s="12">
        <f>IF(P410="","",INDEX('状态价值'!$D4:$K4,MATCH(P410,'状态价值'!$D$1:$K$1,0)))</f>
        <v/>
      </c>
      <c r="R410" s="15">
        <f>NORM.S.INV(RAND())</f>
        <v/>
      </c>
      <c r="S410" s="15">
        <f>IF('组合输入'!$C5="","",'组合输入'!$H5*$B410+SQRT(1-'组合输入'!$H5^2)*R410)</f>
        <v/>
      </c>
      <c r="T410" s="7">
        <f>IF(S410="","",NORM.S.DIST(S410,TRUE))</f>
        <v/>
      </c>
      <c r="U410" s="13">
        <f>IF(T410="","",IF(T410&lt;='组合输入'!$K5,"AAA",IF(T410&lt;='组合输入'!$L5,"AA",IF(T410&lt;='组合输入'!$M5,"A",IF(T410&lt;='组合输入'!$N5,"BBB",IF(T410&lt;='组合输入'!$O5,"BB",IF(T410&lt;='组合输入'!$P5,"B",IF(T410&lt;='组合输入'!$Q5,"CCC","D")))))))</f>
        <v/>
      </c>
      <c r="V410" s="12">
        <f>IF(U410="","",INDEX('状态价值'!$D5:$K5,MATCH(U410,'状态价值'!$D$1:$K$1,0)))</f>
        <v/>
      </c>
      <c r="W410" s="15">
        <f>NORM.S.INV(RAND())</f>
        <v/>
      </c>
      <c r="X410" s="15">
        <f>IF('组合输入'!$C6="","",'组合输入'!$H6*$B410+SQRT(1-'组合输入'!$H6^2)*W410)</f>
        <v/>
      </c>
      <c r="Y410" s="7">
        <f>IF(X410="","",NORM.S.DIST(X410,TRUE))</f>
        <v/>
      </c>
      <c r="Z410" s="13">
        <f>IF(Y410="","",IF(Y410&lt;='组合输入'!$K6,"AAA",IF(Y410&lt;='组合输入'!$L6,"AA",IF(Y410&lt;='组合输入'!$M6,"A",IF(Y410&lt;='组合输入'!$N6,"BBB",IF(Y410&lt;='组合输入'!$O6,"BB",IF(Y410&lt;='组合输入'!$P6,"B",IF(Y410&lt;='组合输入'!$Q6,"CCC","D")))))))</f>
        <v/>
      </c>
      <c r="AA410" s="12">
        <f>IF(Z410="","",INDEX('状态价值'!$D6:$K6,MATCH(Z410,'状态价值'!$D$1:$K$1,0)))</f>
        <v/>
      </c>
      <c r="AB410" s="15">
        <f>NORM.S.INV(RAND())</f>
        <v/>
      </c>
      <c r="AC410" s="15">
        <f>IF('组合输入'!$C7="","",'组合输入'!$H7*$B410+SQRT(1-'组合输入'!$H7^2)*AB410)</f>
        <v/>
      </c>
      <c r="AD410" s="7">
        <f>IF(AC410="","",NORM.S.DIST(AC410,TRUE))</f>
        <v/>
      </c>
      <c r="AE410" s="13">
        <f>IF(AD410="","",IF(AD410&lt;='组合输入'!$K7,"AAA",IF(AD410&lt;='组合输入'!$L7,"AA",IF(AD410&lt;='组合输入'!$M7,"A",IF(AD410&lt;='组合输入'!$N7,"BBB",IF(AD410&lt;='组合输入'!$O7,"BB",IF(AD410&lt;='组合输入'!$P7,"B",IF(AD410&lt;='组合输入'!$Q7,"CCC","D")))))))</f>
        <v/>
      </c>
      <c r="AF410" s="12">
        <f>IF(AE410="","",INDEX('状态价值'!$D7:$K7,MATCH(AE410,'状态价值'!$D$1:$K$1,0)))</f>
        <v/>
      </c>
      <c r="AG410" s="15">
        <f>NORM.S.INV(RAND())</f>
        <v/>
      </c>
      <c r="AH410" s="15">
        <f>IF('组合输入'!$C8="","",'组合输入'!$H8*$B410+SQRT(1-'组合输入'!$H8^2)*AG410)</f>
        <v/>
      </c>
      <c r="AI410" s="7">
        <f>IF(AH410="","",NORM.S.DIST(AH410,TRUE))</f>
        <v/>
      </c>
      <c r="AJ410" s="13">
        <f>IF(AI410="","",IF(AI410&lt;='组合输入'!$K8,"AAA",IF(AI410&lt;='组合输入'!$L8,"AA",IF(AI410&lt;='组合输入'!$M8,"A",IF(AI410&lt;='组合输入'!$N8,"BBB",IF(AI410&lt;='组合输入'!$O8,"BB",IF(AI410&lt;='组合输入'!$P8,"B",IF(AI410&lt;='组合输入'!$Q8,"CCC","D")))))))</f>
        <v/>
      </c>
      <c r="AK410" s="12">
        <f>IF(AJ410="","",INDEX('状态价值'!$D8:$K8,MATCH(AJ410,'状态价值'!$D$1:$K$1,0)))</f>
        <v/>
      </c>
      <c r="AL410" s="15">
        <f>NORM.S.INV(RAND())</f>
        <v/>
      </c>
      <c r="AM410" s="15">
        <f>IF('组合输入'!$C9="","",'组合输入'!$H9*$B410+SQRT(1-'组合输入'!$H9^2)*AL410)</f>
        <v/>
      </c>
      <c r="AN410" s="7">
        <f>IF(AM410="","",NORM.S.DIST(AM410,TRUE))</f>
        <v/>
      </c>
      <c r="AO410" s="13">
        <f>IF(AN410="","",IF(AN410&lt;='组合输入'!$K9,"AAA",IF(AN410&lt;='组合输入'!$L9,"AA",IF(AN410&lt;='组合输入'!$M9,"A",IF(AN410&lt;='组合输入'!$N9,"BBB",IF(AN410&lt;='组合输入'!$O9,"BB",IF(AN410&lt;='组合输入'!$P9,"B",IF(AN410&lt;='组合输入'!$Q9,"CCC","D")))))))</f>
        <v/>
      </c>
      <c r="AP410" s="12">
        <f>IF(AO410="","",INDEX('状态价值'!$D9:$K9,MATCH(AO410,'状态价值'!$D$1:$K$1,0)))</f>
        <v/>
      </c>
      <c r="AQ410" s="15">
        <f>NORM.S.INV(RAND())</f>
        <v/>
      </c>
      <c r="AR410" s="15">
        <f>IF('组合输入'!$C10="","",'组合输入'!$H10*$B410+SQRT(1-'组合输入'!$H10^2)*AQ410)</f>
        <v/>
      </c>
      <c r="AS410" s="7">
        <f>IF(AR410="","",NORM.S.DIST(AR410,TRUE))</f>
        <v/>
      </c>
      <c r="AT410" s="13">
        <f>IF(AS410="","",IF(AS410&lt;='组合输入'!$K10,"AAA",IF(AS410&lt;='组合输入'!$L10,"AA",IF(AS410&lt;='组合输入'!$M10,"A",IF(AS410&lt;='组合输入'!$N10,"BBB",IF(AS410&lt;='组合输入'!$O10,"BB",IF(AS410&lt;='组合输入'!$P10,"B",IF(AS410&lt;='组合输入'!$Q10,"CCC","D")))))))</f>
        <v/>
      </c>
      <c r="AU410" s="12">
        <f>IF(AT410="","",INDEX('状态价值'!$D10:$K10,MATCH(AT410,'状态价值'!$D$1:$K$1,0)))</f>
        <v/>
      </c>
      <c r="AV410" s="15">
        <f>NORM.S.INV(RAND())</f>
        <v/>
      </c>
      <c r="AW410" s="15">
        <f>IF('组合输入'!$C11="","",'组合输入'!$H11*$B410+SQRT(1-'组合输入'!$H11^2)*AV410)</f>
        <v/>
      </c>
      <c r="AX410" s="7">
        <f>IF(AW410="","",NORM.S.DIST(AW410,TRUE))</f>
        <v/>
      </c>
      <c r="AY410" s="13">
        <f>IF(AX410="","",IF(AX410&lt;='组合输入'!$K11,"AAA",IF(AX410&lt;='组合输入'!$L11,"AA",IF(AX410&lt;='组合输入'!$M11,"A",IF(AX410&lt;='组合输入'!$N11,"BBB",IF(AX410&lt;='组合输入'!$O11,"BB",IF(AX410&lt;='组合输入'!$P11,"B",IF(AX410&lt;='组合输入'!$Q11,"CCC","D")))))))</f>
        <v/>
      </c>
      <c r="AZ410" s="12">
        <f>IF(AY410="","",INDEX('状态价值'!$D11:$K11,MATCH(AY410,'状态价值'!$D$1:$K$1,0)))</f>
        <v/>
      </c>
      <c r="BA410" s="12">
        <f>G410+L410+Q410+V410+AA410+AF410+AK410+AP410+AU410+AZ410</f>
        <v/>
      </c>
      <c r="BB410" s="12">
        <f>SUM('组合输入'!$J$2:$J$11)-BA410</f>
        <v/>
      </c>
    </row>
    <row r="411">
      <c r="A411" s="11" t="n">
        <v>410</v>
      </c>
      <c r="B411" s="14">
        <f>NORM.S.INV(RAND())</f>
        <v/>
      </c>
      <c r="C411" s="14">
        <f>NORM.S.INV(RAND())</f>
        <v/>
      </c>
      <c r="D411" s="15">
        <f>IF('组合输入'!$C2="","",'组合输入'!$H2*$B411+SQRT(1-'组合输入'!$H2^2)*C411)</f>
        <v/>
      </c>
      <c r="E411" s="7">
        <f>IF(D411="","",NORM.S.DIST(D411,TRUE))</f>
        <v/>
      </c>
      <c r="F411" s="13">
        <f>IF(E411="","",IF(E411&lt;='组合输入'!$K2,"AAA",IF(E411&lt;='组合输入'!$L2,"AA",IF(E411&lt;='组合输入'!$M2,"A",IF(E411&lt;='组合输入'!$N2,"BBB",IF(E411&lt;='组合输入'!$O2,"BB",IF(E411&lt;='组合输入'!$P2,"B",IF(E411&lt;='组合输入'!$Q2,"CCC","D")))))))</f>
        <v/>
      </c>
      <c r="G411" s="12">
        <f>IF(F411="","",INDEX('状态价值'!$D2:$K2,MATCH(F411,'状态价值'!$D$1:$K$1,0)))</f>
        <v/>
      </c>
      <c r="H411" s="15">
        <f>NORM.S.INV(RAND())</f>
        <v/>
      </c>
      <c r="I411" s="15">
        <f>IF('组合输入'!$C3="","",'组合输入'!$H3*$B411+SQRT(1-'组合输入'!$H3^2)*H411)</f>
        <v/>
      </c>
      <c r="J411" s="7">
        <f>IF(I411="","",NORM.S.DIST(I411,TRUE))</f>
        <v/>
      </c>
      <c r="K411" s="13">
        <f>IF(J411="","",IF(J411&lt;='组合输入'!$K3,"AAA",IF(J411&lt;='组合输入'!$L3,"AA",IF(J411&lt;='组合输入'!$M3,"A",IF(J411&lt;='组合输入'!$N3,"BBB",IF(J411&lt;='组合输入'!$O3,"BB",IF(J411&lt;='组合输入'!$P3,"B",IF(J411&lt;='组合输入'!$Q3,"CCC","D")))))))</f>
        <v/>
      </c>
      <c r="L411" s="12">
        <f>IF(K411="","",INDEX('状态价值'!$D3:$K3,MATCH(K411,'状态价值'!$D$1:$K$1,0)))</f>
        <v/>
      </c>
      <c r="M411" s="15">
        <f>NORM.S.INV(RAND())</f>
        <v/>
      </c>
      <c r="N411" s="15">
        <f>IF('组合输入'!$C4="","",'组合输入'!$H4*$B411+SQRT(1-'组合输入'!$H4^2)*M411)</f>
        <v/>
      </c>
      <c r="O411" s="7">
        <f>IF(N411="","",NORM.S.DIST(N411,TRUE))</f>
        <v/>
      </c>
      <c r="P411" s="13">
        <f>IF(O411="","",IF(O411&lt;='组合输入'!$K4,"AAA",IF(O411&lt;='组合输入'!$L4,"AA",IF(O411&lt;='组合输入'!$M4,"A",IF(O411&lt;='组合输入'!$N4,"BBB",IF(O411&lt;='组合输入'!$O4,"BB",IF(O411&lt;='组合输入'!$P4,"B",IF(O411&lt;='组合输入'!$Q4,"CCC","D")))))))</f>
        <v/>
      </c>
      <c r="Q411" s="12">
        <f>IF(P411="","",INDEX('状态价值'!$D4:$K4,MATCH(P411,'状态价值'!$D$1:$K$1,0)))</f>
        <v/>
      </c>
      <c r="R411" s="15">
        <f>NORM.S.INV(RAND())</f>
        <v/>
      </c>
      <c r="S411" s="15">
        <f>IF('组合输入'!$C5="","",'组合输入'!$H5*$B411+SQRT(1-'组合输入'!$H5^2)*R411)</f>
        <v/>
      </c>
      <c r="T411" s="7">
        <f>IF(S411="","",NORM.S.DIST(S411,TRUE))</f>
        <v/>
      </c>
      <c r="U411" s="13">
        <f>IF(T411="","",IF(T411&lt;='组合输入'!$K5,"AAA",IF(T411&lt;='组合输入'!$L5,"AA",IF(T411&lt;='组合输入'!$M5,"A",IF(T411&lt;='组合输入'!$N5,"BBB",IF(T411&lt;='组合输入'!$O5,"BB",IF(T411&lt;='组合输入'!$P5,"B",IF(T411&lt;='组合输入'!$Q5,"CCC","D")))))))</f>
        <v/>
      </c>
      <c r="V411" s="12">
        <f>IF(U411="","",INDEX('状态价值'!$D5:$K5,MATCH(U411,'状态价值'!$D$1:$K$1,0)))</f>
        <v/>
      </c>
      <c r="W411" s="15">
        <f>NORM.S.INV(RAND())</f>
        <v/>
      </c>
      <c r="X411" s="15">
        <f>IF('组合输入'!$C6="","",'组合输入'!$H6*$B411+SQRT(1-'组合输入'!$H6^2)*W411)</f>
        <v/>
      </c>
      <c r="Y411" s="7">
        <f>IF(X411="","",NORM.S.DIST(X411,TRUE))</f>
        <v/>
      </c>
      <c r="Z411" s="13">
        <f>IF(Y411="","",IF(Y411&lt;='组合输入'!$K6,"AAA",IF(Y411&lt;='组合输入'!$L6,"AA",IF(Y411&lt;='组合输入'!$M6,"A",IF(Y411&lt;='组合输入'!$N6,"BBB",IF(Y411&lt;='组合输入'!$O6,"BB",IF(Y411&lt;='组合输入'!$P6,"B",IF(Y411&lt;='组合输入'!$Q6,"CCC","D")))))))</f>
        <v/>
      </c>
      <c r="AA411" s="12">
        <f>IF(Z411="","",INDEX('状态价值'!$D6:$K6,MATCH(Z411,'状态价值'!$D$1:$K$1,0)))</f>
        <v/>
      </c>
      <c r="AB411" s="15">
        <f>NORM.S.INV(RAND())</f>
        <v/>
      </c>
      <c r="AC411" s="15">
        <f>IF('组合输入'!$C7="","",'组合输入'!$H7*$B411+SQRT(1-'组合输入'!$H7^2)*AB411)</f>
        <v/>
      </c>
      <c r="AD411" s="7">
        <f>IF(AC411="","",NORM.S.DIST(AC411,TRUE))</f>
        <v/>
      </c>
      <c r="AE411" s="13">
        <f>IF(AD411="","",IF(AD411&lt;='组合输入'!$K7,"AAA",IF(AD411&lt;='组合输入'!$L7,"AA",IF(AD411&lt;='组合输入'!$M7,"A",IF(AD411&lt;='组合输入'!$N7,"BBB",IF(AD411&lt;='组合输入'!$O7,"BB",IF(AD411&lt;='组合输入'!$P7,"B",IF(AD411&lt;='组合输入'!$Q7,"CCC","D")))))))</f>
        <v/>
      </c>
      <c r="AF411" s="12">
        <f>IF(AE411="","",INDEX('状态价值'!$D7:$K7,MATCH(AE411,'状态价值'!$D$1:$K$1,0)))</f>
        <v/>
      </c>
      <c r="AG411" s="15">
        <f>NORM.S.INV(RAND())</f>
        <v/>
      </c>
      <c r="AH411" s="15">
        <f>IF('组合输入'!$C8="","",'组合输入'!$H8*$B411+SQRT(1-'组合输入'!$H8^2)*AG411)</f>
        <v/>
      </c>
      <c r="AI411" s="7">
        <f>IF(AH411="","",NORM.S.DIST(AH411,TRUE))</f>
        <v/>
      </c>
      <c r="AJ411" s="13">
        <f>IF(AI411="","",IF(AI411&lt;='组合输入'!$K8,"AAA",IF(AI411&lt;='组合输入'!$L8,"AA",IF(AI411&lt;='组合输入'!$M8,"A",IF(AI411&lt;='组合输入'!$N8,"BBB",IF(AI411&lt;='组合输入'!$O8,"BB",IF(AI411&lt;='组合输入'!$P8,"B",IF(AI411&lt;='组合输入'!$Q8,"CCC","D")))))))</f>
        <v/>
      </c>
      <c r="AK411" s="12">
        <f>IF(AJ411="","",INDEX('状态价值'!$D8:$K8,MATCH(AJ411,'状态价值'!$D$1:$K$1,0)))</f>
        <v/>
      </c>
      <c r="AL411" s="15">
        <f>NORM.S.INV(RAND())</f>
        <v/>
      </c>
      <c r="AM411" s="15">
        <f>IF('组合输入'!$C9="","",'组合输入'!$H9*$B411+SQRT(1-'组合输入'!$H9^2)*AL411)</f>
        <v/>
      </c>
      <c r="AN411" s="7">
        <f>IF(AM411="","",NORM.S.DIST(AM411,TRUE))</f>
        <v/>
      </c>
      <c r="AO411" s="13">
        <f>IF(AN411="","",IF(AN411&lt;='组合输入'!$K9,"AAA",IF(AN411&lt;='组合输入'!$L9,"AA",IF(AN411&lt;='组合输入'!$M9,"A",IF(AN411&lt;='组合输入'!$N9,"BBB",IF(AN411&lt;='组合输入'!$O9,"BB",IF(AN411&lt;='组合输入'!$P9,"B",IF(AN411&lt;='组合输入'!$Q9,"CCC","D")))))))</f>
        <v/>
      </c>
      <c r="AP411" s="12">
        <f>IF(AO411="","",INDEX('状态价值'!$D9:$K9,MATCH(AO411,'状态价值'!$D$1:$K$1,0)))</f>
        <v/>
      </c>
      <c r="AQ411" s="15">
        <f>NORM.S.INV(RAND())</f>
        <v/>
      </c>
      <c r="AR411" s="15">
        <f>IF('组合输入'!$C10="","",'组合输入'!$H10*$B411+SQRT(1-'组合输入'!$H10^2)*AQ411)</f>
        <v/>
      </c>
      <c r="AS411" s="7">
        <f>IF(AR411="","",NORM.S.DIST(AR411,TRUE))</f>
        <v/>
      </c>
      <c r="AT411" s="13">
        <f>IF(AS411="","",IF(AS411&lt;='组合输入'!$K10,"AAA",IF(AS411&lt;='组合输入'!$L10,"AA",IF(AS411&lt;='组合输入'!$M10,"A",IF(AS411&lt;='组合输入'!$N10,"BBB",IF(AS411&lt;='组合输入'!$O10,"BB",IF(AS411&lt;='组合输入'!$P10,"B",IF(AS411&lt;='组合输入'!$Q10,"CCC","D")))))))</f>
        <v/>
      </c>
      <c r="AU411" s="12">
        <f>IF(AT411="","",INDEX('状态价值'!$D10:$K10,MATCH(AT411,'状态价值'!$D$1:$K$1,0)))</f>
        <v/>
      </c>
      <c r="AV411" s="15">
        <f>NORM.S.INV(RAND())</f>
        <v/>
      </c>
      <c r="AW411" s="15">
        <f>IF('组合输入'!$C11="","",'组合输入'!$H11*$B411+SQRT(1-'组合输入'!$H11^2)*AV411)</f>
        <v/>
      </c>
      <c r="AX411" s="7">
        <f>IF(AW411="","",NORM.S.DIST(AW411,TRUE))</f>
        <v/>
      </c>
      <c r="AY411" s="13">
        <f>IF(AX411="","",IF(AX411&lt;='组合输入'!$K11,"AAA",IF(AX411&lt;='组合输入'!$L11,"AA",IF(AX411&lt;='组合输入'!$M11,"A",IF(AX411&lt;='组合输入'!$N11,"BBB",IF(AX411&lt;='组合输入'!$O11,"BB",IF(AX411&lt;='组合输入'!$P11,"B",IF(AX411&lt;='组合输入'!$Q11,"CCC","D")))))))</f>
        <v/>
      </c>
      <c r="AZ411" s="12">
        <f>IF(AY411="","",INDEX('状态价值'!$D11:$K11,MATCH(AY411,'状态价值'!$D$1:$K$1,0)))</f>
        <v/>
      </c>
      <c r="BA411" s="12">
        <f>G411+L411+Q411+V411+AA411+AF411+AK411+AP411+AU411+AZ411</f>
        <v/>
      </c>
      <c r="BB411" s="12">
        <f>SUM('组合输入'!$J$2:$J$11)-BA411</f>
        <v/>
      </c>
    </row>
    <row r="412">
      <c r="A412" s="11" t="n">
        <v>411</v>
      </c>
      <c r="B412" s="14">
        <f>NORM.S.INV(RAND())</f>
        <v/>
      </c>
      <c r="C412" s="14">
        <f>NORM.S.INV(RAND())</f>
        <v/>
      </c>
      <c r="D412" s="15">
        <f>IF('组合输入'!$C2="","",'组合输入'!$H2*$B412+SQRT(1-'组合输入'!$H2^2)*C412)</f>
        <v/>
      </c>
      <c r="E412" s="7">
        <f>IF(D412="","",NORM.S.DIST(D412,TRUE))</f>
        <v/>
      </c>
      <c r="F412" s="13">
        <f>IF(E412="","",IF(E412&lt;='组合输入'!$K2,"AAA",IF(E412&lt;='组合输入'!$L2,"AA",IF(E412&lt;='组合输入'!$M2,"A",IF(E412&lt;='组合输入'!$N2,"BBB",IF(E412&lt;='组合输入'!$O2,"BB",IF(E412&lt;='组合输入'!$P2,"B",IF(E412&lt;='组合输入'!$Q2,"CCC","D")))))))</f>
        <v/>
      </c>
      <c r="G412" s="12">
        <f>IF(F412="","",INDEX('状态价值'!$D2:$K2,MATCH(F412,'状态价值'!$D$1:$K$1,0)))</f>
        <v/>
      </c>
      <c r="H412" s="15">
        <f>NORM.S.INV(RAND())</f>
        <v/>
      </c>
      <c r="I412" s="15">
        <f>IF('组合输入'!$C3="","",'组合输入'!$H3*$B412+SQRT(1-'组合输入'!$H3^2)*H412)</f>
        <v/>
      </c>
      <c r="J412" s="7">
        <f>IF(I412="","",NORM.S.DIST(I412,TRUE))</f>
        <v/>
      </c>
      <c r="K412" s="13">
        <f>IF(J412="","",IF(J412&lt;='组合输入'!$K3,"AAA",IF(J412&lt;='组合输入'!$L3,"AA",IF(J412&lt;='组合输入'!$M3,"A",IF(J412&lt;='组合输入'!$N3,"BBB",IF(J412&lt;='组合输入'!$O3,"BB",IF(J412&lt;='组合输入'!$P3,"B",IF(J412&lt;='组合输入'!$Q3,"CCC","D")))))))</f>
        <v/>
      </c>
      <c r="L412" s="12">
        <f>IF(K412="","",INDEX('状态价值'!$D3:$K3,MATCH(K412,'状态价值'!$D$1:$K$1,0)))</f>
        <v/>
      </c>
      <c r="M412" s="15">
        <f>NORM.S.INV(RAND())</f>
        <v/>
      </c>
      <c r="N412" s="15">
        <f>IF('组合输入'!$C4="","",'组合输入'!$H4*$B412+SQRT(1-'组合输入'!$H4^2)*M412)</f>
        <v/>
      </c>
      <c r="O412" s="7">
        <f>IF(N412="","",NORM.S.DIST(N412,TRUE))</f>
        <v/>
      </c>
      <c r="P412" s="13">
        <f>IF(O412="","",IF(O412&lt;='组合输入'!$K4,"AAA",IF(O412&lt;='组合输入'!$L4,"AA",IF(O412&lt;='组合输入'!$M4,"A",IF(O412&lt;='组合输入'!$N4,"BBB",IF(O412&lt;='组合输入'!$O4,"BB",IF(O412&lt;='组合输入'!$P4,"B",IF(O412&lt;='组合输入'!$Q4,"CCC","D")))))))</f>
        <v/>
      </c>
      <c r="Q412" s="12">
        <f>IF(P412="","",INDEX('状态价值'!$D4:$K4,MATCH(P412,'状态价值'!$D$1:$K$1,0)))</f>
        <v/>
      </c>
      <c r="R412" s="15">
        <f>NORM.S.INV(RAND())</f>
        <v/>
      </c>
      <c r="S412" s="15">
        <f>IF('组合输入'!$C5="","",'组合输入'!$H5*$B412+SQRT(1-'组合输入'!$H5^2)*R412)</f>
        <v/>
      </c>
      <c r="T412" s="7">
        <f>IF(S412="","",NORM.S.DIST(S412,TRUE))</f>
        <v/>
      </c>
      <c r="U412" s="13">
        <f>IF(T412="","",IF(T412&lt;='组合输入'!$K5,"AAA",IF(T412&lt;='组合输入'!$L5,"AA",IF(T412&lt;='组合输入'!$M5,"A",IF(T412&lt;='组合输入'!$N5,"BBB",IF(T412&lt;='组合输入'!$O5,"BB",IF(T412&lt;='组合输入'!$P5,"B",IF(T412&lt;='组合输入'!$Q5,"CCC","D")))))))</f>
        <v/>
      </c>
      <c r="V412" s="12">
        <f>IF(U412="","",INDEX('状态价值'!$D5:$K5,MATCH(U412,'状态价值'!$D$1:$K$1,0)))</f>
        <v/>
      </c>
      <c r="W412" s="15">
        <f>NORM.S.INV(RAND())</f>
        <v/>
      </c>
      <c r="X412" s="15">
        <f>IF('组合输入'!$C6="","",'组合输入'!$H6*$B412+SQRT(1-'组合输入'!$H6^2)*W412)</f>
        <v/>
      </c>
      <c r="Y412" s="7">
        <f>IF(X412="","",NORM.S.DIST(X412,TRUE))</f>
        <v/>
      </c>
      <c r="Z412" s="13">
        <f>IF(Y412="","",IF(Y412&lt;='组合输入'!$K6,"AAA",IF(Y412&lt;='组合输入'!$L6,"AA",IF(Y412&lt;='组合输入'!$M6,"A",IF(Y412&lt;='组合输入'!$N6,"BBB",IF(Y412&lt;='组合输入'!$O6,"BB",IF(Y412&lt;='组合输入'!$P6,"B",IF(Y412&lt;='组合输入'!$Q6,"CCC","D")))))))</f>
        <v/>
      </c>
      <c r="AA412" s="12">
        <f>IF(Z412="","",INDEX('状态价值'!$D6:$K6,MATCH(Z412,'状态价值'!$D$1:$K$1,0)))</f>
        <v/>
      </c>
      <c r="AB412" s="15">
        <f>NORM.S.INV(RAND())</f>
        <v/>
      </c>
      <c r="AC412" s="15">
        <f>IF('组合输入'!$C7="","",'组合输入'!$H7*$B412+SQRT(1-'组合输入'!$H7^2)*AB412)</f>
        <v/>
      </c>
      <c r="AD412" s="7">
        <f>IF(AC412="","",NORM.S.DIST(AC412,TRUE))</f>
        <v/>
      </c>
      <c r="AE412" s="13">
        <f>IF(AD412="","",IF(AD412&lt;='组合输入'!$K7,"AAA",IF(AD412&lt;='组合输入'!$L7,"AA",IF(AD412&lt;='组合输入'!$M7,"A",IF(AD412&lt;='组合输入'!$N7,"BBB",IF(AD412&lt;='组合输入'!$O7,"BB",IF(AD412&lt;='组合输入'!$P7,"B",IF(AD412&lt;='组合输入'!$Q7,"CCC","D")))))))</f>
        <v/>
      </c>
      <c r="AF412" s="12">
        <f>IF(AE412="","",INDEX('状态价值'!$D7:$K7,MATCH(AE412,'状态价值'!$D$1:$K$1,0)))</f>
        <v/>
      </c>
      <c r="AG412" s="15">
        <f>NORM.S.INV(RAND())</f>
        <v/>
      </c>
      <c r="AH412" s="15">
        <f>IF('组合输入'!$C8="","",'组合输入'!$H8*$B412+SQRT(1-'组合输入'!$H8^2)*AG412)</f>
        <v/>
      </c>
      <c r="AI412" s="7">
        <f>IF(AH412="","",NORM.S.DIST(AH412,TRUE))</f>
        <v/>
      </c>
      <c r="AJ412" s="13">
        <f>IF(AI412="","",IF(AI412&lt;='组合输入'!$K8,"AAA",IF(AI412&lt;='组合输入'!$L8,"AA",IF(AI412&lt;='组合输入'!$M8,"A",IF(AI412&lt;='组合输入'!$N8,"BBB",IF(AI412&lt;='组合输入'!$O8,"BB",IF(AI412&lt;='组合输入'!$P8,"B",IF(AI412&lt;='组合输入'!$Q8,"CCC","D")))))))</f>
        <v/>
      </c>
      <c r="AK412" s="12">
        <f>IF(AJ412="","",INDEX('状态价值'!$D8:$K8,MATCH(AJ412,'状态价值'!$D$1:$K$1,0)))</f>
        <v/>
      </c>
      <c r="AL412" s="15">
        <f>NORM.S.INV(RAND())</f>
        <v/>
      </c>
      <c r="AM412" s="15">
        <f>IF('组合输入'!$C9="","",'组合输入'!$H9*$B412+SQRT(1-'组合输入'!$H9^2)*AL412)</f>
        <v/>
      </c>
      <c r="AN412" s="7">
        <f>IF(AM412="","",NORM.S.DIST(AM412,TRUE))</f>
        <v/>
      </c>
      <c r="AO412" s="13">
        <f>IF(AN412="","",IF(AN412&lt;='组合输入'!$K9,"AAA",IF(AN412&lt;='组合输入'!$L9,"AA",IF(AN412&lt;='组合输入'!$M9,"A",IF(AN412&lt;='组合输入'!$N9,"BBB",IF(AN412&lt;='组合输入'!$O9,"BB",IF(AN412&lt;='组合输入'!$P9,"B",IF(AN412&lt;='组合输入'!$Q9,"CCC","D")))))))</f>
        <v/>
      </c>
      <c r="AP412" s="12">
        <f>IF(AO412="","",INDEX('状态价值'!$D9:$K9,MATCH(AO412,'状态价值'!$D$1:$K$1,0)))</f>
        <v/>
      </c>
      <c r="AQ412" s="15">
        <f>NORM.S.INV(RAND())</f>
        <v/>
      </c>
      <c r="AR412" s="15">
        <f>IF('组合输入'!$C10="","",'组合输入'!$H10*$B412+SQRT(1-'组合输入'!$H10^2)*AQ412)</f>
        <v/>
      </c>
      <c r="AS412" s="7">
        <f>IF(AR412="","",NORM.S.DIST(AR412,TRUE))</f>
        <v/>
      </c>
      <c r="AT412" s="13">
        <f>IF(AS412="","",IF(AS412&lt;='组合输入'!$K10,"AAA",IF(AS412&lt;='组合输入'!$L10,"AA",IF(AS412&lt;='组合输入'!$M10,"A",IF(AS412&lt;='组合输入'!$N10,"BBB",IF(AS412&lt;='组合输入'!$O10,"BB",IF(AS412&lt;='组合输入'!$P10,"B",IF(AS412&lt;='组合输入'!$Q10,"CCC","D")))))))</f>
        <v/>
      </c>
      <c r="AU412" s="12">
        <f>IF(AT412="","",INDEX('状态价值'!$D10:$K10,MATCH(AT412,'状态价值'!$D$1:$K$1,0)))</f>
        <v/>
      </c>
      <c r="AV412" s="15">
        <f>NORM.S.INV(RAND())</f>
        <v/>
      </c>
      <c r="AW412" s="15">
        <f>IF('组合输入'!$C11="","",'组合输入'!$H11*$B412+SQRT(1-'组合输入'!$H11^2)*AV412)</f>
        <v/>
      </c>
      <c r="AX412" s="7">
        <f>IF(AW412="","",NORM.S.DIST(AW412,TRUE))</f>
        <v/>
      </c>
      <c r="AY412" s="13">
        <f>IF(AX412="","",IF(AX412&lt;='组合输入'!$K11,"AAA",IF(AX412&lt;='组合输入'!$L11,"AA",IF(AX412&lt;='组合输入'!$M11,"A",IF(AX412&lt;='组合输入'!$N11,"BBB",IF(AX412&lt;='组合输入'!$O11,"BB",IF(AX412&lt;='组合输入'!$P11,"B",IF(AX412&lt;='组合输入'!$Q11,"CCC","D")))))))</f>
        <v/>
      </c>
      <c r="AZ412" s="12">
        <f>IF(AY412="","",INDEX('状态价值'!$D11:$K11,MATCH(AY412,'状态价值'!$D$1:$K$1,0)))</f>
        <v/>
      </c>
      <c r="BA412" s="12">
        <f>G412+L412+Q412+V412+AA412+AF412+AK412+AP412+AU412+AZ412</f>
        <v/>
      </c>
      <c r="BB412" s="12">
        <f>SUM('组合输入'!$J$2:$J$11)-BA412</f>
        <v/>
      </c>
    </row>
    <row r="413">
      <c r="A413" s="11" t="n">
        <v>412</v>
      </c>
      <c r="B413" s="14">
        <f>NORM.S.INV(RAND())</f>
        <v/>
      </c>
      <c r="C413" s="14">
        <f>NORM.S.INV(RAND())</f>
        <v/>
      </c>
      <c r="D413" s="15">
        <f>IF('组合输入'!$C2="","",'组合输入'!$H2*$B413+SQRT(1-'组合输入'!$H2^2)*C413)</f>
        <v/>
      </c>
      <c r="E413" s="7">
        <f>IF(D413="","",NORM.S.DIST(D413,TRUE))</f>
        <v/>
      </c>
      <c r="F413" s="13">
        <f>IF(E413="","",IF(E413&lt;='组合输入'!$K2,"AAA",IF(E413&lt;='组合输入'!$L2,"AA",IF(E413&lt;='组合输入'!$M2,"A",IF(E413&lt;='组合输入'!$N2,"BBB",IF(E413&lt;='组合输入'!$O2,"BB",IF(E413&lt;='组合输入'!$P2,"B",IF(E413&lt;='组合输入'!$Q2,"CCC","D")))))))</f>
        <v/>
      </c>
      <c r="G413" s="12">
        <f>IF(F413="","",INDEX('状态价值'!$D2:$K2,MATCH(F413,'状态价值'!$D$1:$K$1,0)))</f>
        <v/>
      </c>
      <c r="H413" s="15">
        <f>NORM.S.INV(RAND())</f>
        <v/>
      </c>
      <c r="I413" s="15">
        <f>IF('组合输入'!$C3="","",'组合输入'!$H3*$B413+SQRT(1-'组合输入'!$H3^2)*H413)</f>
        <v/>
      </c>
      <c r="J413" s="7">
        <f>IF(I413="","",NORM.S.DIST(I413,TRUE))</f>
        <v/>
      </c>
      <c r="K413" s="13">
        <f>IF(J413="","",IF(J413&lt;='组合输入'!$K3,"AAA",IF(J413&lt;='组合输入'!$L3,"AA",IF(J413&lt;='组合输入'!$M3,"A",IF(J413&lt;='组合输入'!$N3,"BBB",IF(J413&lt;='组合输入'!$O3,"BB",IF(J413&lt;='组合输入'!$P3,"B",IF(J413&lt;='组合输入'!$Q3,"CCC","D")))))))</f>
        <v/>
      </c>
      <c r="L413" s="12">
        <f>IF(K413="","",INDEX('状态价值'!$D3:$K3,MATCH(K413,'状态价值'!$D$1:$K$1,0)))</f>
        <v/>
      </c>
      <c r="M413" s="15">
        <f>NORM.S.INV(RAND())</f>
        <v/>
      </c>
      <c r="N413" s="15">
        <f>IF('组合输入'!$C4="","",'组合输入'!$H4*$B413+SQRT(1-'组合输入'!$H4^2)*M413)</f>
        <v/>
      </c>
      <c r="O413" s="7">
        <f>IF(N413="","",NORM.S.DIST(N413,TRUE))</f>
        <v/>
      </c>
      <c r="P413" s="13">
        <f>IF(O413="","",IF(O413&lt;='组合输入'!$K4,"AAA",IF(O413&lt;='组合输入'!$L4,"AA",IF(O413&lt;='组合输入'!$M4,"A",IF(O413&lt;='组合输入'!$N4,"BBB",IF(O413&lt;='组合输入'!$O4,"BB",IF(O413&lt;='组合输入'!$P4,"B",IF(O413&lt;='组合输入'!$Q4,"CCC","D")))))))</f>
        <v/>
      </c>
      <c r="Q413" s="12">
        <f>IF(P413="","",INDEX('状态价值'!$D4:$K4,MATCH(P413,'状态价值'!$D$1:$K$1,0)))</f>
        <v/>
      </c>
      <c r="R413" s="15">
        <f>NORM.S.INV(RAND())</f>
        <v/>
      </c>
      <c r="S413" s="15">
        <f>IF('组合输入'!$C5="","",'组合输入'!$H5*$B413+SQRT(1-'组合输入'!$H5^2)*R413)</f>
        <v/>
      </c>
      <c r="T413" s="7">
        <f>IF(S413="","",NORM.S.DIST(S413,TRUE))</f>
        <v/>
      </c>
      <c r="U413" s="13">
        <f>IF(T413="","",IF(T413&lt;='组合输入'!$K5,"AAA",IF(T413&lt;='组合输入'!$L5,"AA",IF(T413&lt;='组合输入'!$M5,"A",IF(T413&lt;='组合输入'!$N5,"BBB",IF(T413&lt;='组合输入'!$O5,"BB",IF(T413&lt;='组合输入'!$P5,"B",IF(T413&lt;='组合输入'!$Q5,"CCC","D")))))))</f>
        <v/>
      </c>
      <c r="V413" s="12">
        <f>IF(U413="","",INDEX('状态价值'!$D5:$K5,MATCH(U413,'状态价值'!$D$1:$K$1,0)))</f>
        <v/>
      </c>
      <c r="W413" s="15">
        <f>NORM.S.INV(RAND())</f>
        <v/>
      </c>
      <c r="X413" s="15">
        <f>IF('组合输入'!$C6="","",'组合输入'!$H6*$B413+SQRT(1-'组合输入'!$H6^2)*W413)</f>
        <v/>
      </c>
      <c r="Y413" s="7">
        <f>IF(X413="","",NORM.S.DIST(X413,TRUE))</f>
        <v/>
      </c>
      <c r="Z413" s="13">
        <f>IF(Y413="","",IF(Y413&lt;='组合输入'!$K6,"AAA",IF(Y413&lt;='组合输入'!$L6,"AA",IF(Y413&lt;='组合输入'!$M6,"A",IF(Y413&lt;='组合输入'!$N6,"BBB",IF(Y413&lt;='组合输入'!$O6,"BB",IF(Y413&lt;='组合输入'!$P6,"B",IF(Y413&lt;='组合输入'!$Q6,"CCC","D")))))))</f>
        <v/>
      </c>
      <c r="AA413" s="12">
        <f>IF(Z413="","",INDEX('状态价值'!$D6:$K6,MATCH(Z413,'状态价值'!$D$1:$K$1,0)))</f>
        <v/>
      </c>
      <c r="AB413" s="15">
        <f>NORM.S.INV(RAND())</f>
        <v/>
      </c>
      <c r="AC413" s="15">
        <f>IF('组合输入'!$C7="","",'组合输入'!$H7*$B413+SQRT(1-'组合输入'!$H7^2)*AB413)</f>
        <v/>
      </c>
      <c r="AD413" s="7">
        <f>IF(AC413="","",NORM.S.DIST(AC413,TRUE))</f>
        <v/>
      </c>
      <c r="AE413" s="13">
        <f>IF(AD413="","",IF(AD413&lt;='组合输入'!$K7,"AAA",IF(AD413&lt;='组合输入'!$L7,"AA",IF(AD413&lt;='组合输入'!$M7,"A",IF(AD413&lt;='组合输入'!$N7,"BBB",IF(AD413&lt;='组合输入'!$O7,"BB",IF(AD413&lt;='组合输入'!$P7,"B",IF(AD413&lt;='组合输入'!$Q7,"CCC","D")))))))</f>
        <v/>
      </c>
      <c r="AF413" s="12">
        <f>IF(AE413="","",INDEX('状态价值'!$D7:$K7,MATCH(AE413,'状态价值'!$D$1:$K$1,0)))</f>
        <v/>
      </c>
      <c r="AG413" s="15">
        <f>NORM.S.INV(RAND())</f>
        <v/>
      </c>
      <c r="AH413" s="15">
        <f>IF('组合输入'!$C8="","",'组合输入'!$H8*$B413+SQRT(1-'组合输入'!$H8^2)*AG413)</f>
        <v/>
      </c>
      <c r="AI413" s="7">
        <f>IF(AH413="","",NORM.S.DIST(AH413,TRUE))</f>
        <v/>
      </c>
      <c r="AJ413" s="13">
        <f>IF(AI413="","",IF(AI413&lt;='组合输入'!$K8,"AAA",IF(AI413&lt;='组合输入'!$L8,"AA",IF(AI413&lt;='组合输入'!$M8,"A",IF(AI413&lt;='组合输入'!$N8,"BBB",IF(AI413&lt;='组合输入'!$O8,"BB",IF(AI413&lt;='组合输入'!$P8,"B",IF(AI413&lt;='组合输入'!$Q8,"CCC","D")))))))</f>
        <v/>
      </c>
      <c r="AK413" s="12">
        <f>IF(AJ413="","",INDEX('状态价值'!$D8:$K8,MATCH(AJ413,'状态价值'!$D$1:$K$1,0)))</f>
        <v/>
      </c>
      <c r="AL413" s="15">
        <f>NORM.S.INV(RAND())</f>
        <v/>
      </c>
      <c r="AM413" s="15">
        <f>IF('组合输入'!$C9="","",'组合输入'!$H9*$B413+SQRT(1-'组合输入'!$H9^2)*AL413)</f>
        <v/>
      </c>
      <c r="AN413" s="7">
        <f>IF(AM413="","",NORM.S.DIST(AM413,TRUE))</f>
        <v/>
      </c>
      <c r="AO413" s="13">
        <f>IF(AN413="","",IF(AN413&lt;='组合输入'!$K9,"AAA",IF(AN413&lt;='组合输入'!$L9,"AA",IF(AN413&lt;='组合输入'!$M9,"A",IF(AN413&lt;='组合输入'!$N9,"BBB",IF(AN413&lt;='组合输入'!$O9,"BB",IF(AN413&lt;='组合输入'!$P9,"B",IF(AN413&lt;='组合输入'!$Q9,"CCC","D")))))))</f>
        <v/>
      </c>
      <c r="AP413" s="12">
        <f>IF(AO413="","",INDEX('状态价值'!$D9:$K9,MATCH(AO413,'状态价值'!$D$1:$K$1,0)))</f>
        <v/>
      </c>
      <c r="AQ413" s="15">
        <f>NORM.S.INV(RAND())</f>
        <v/>
      </c>
      <c r="AR413" s="15">
        <f>IF('组合输入'!$C10="","",'组合输入'!$H10*$B413+SQRT(1-'组合输入'!$H10^2)*AQ413)</f>
        <v/>
      </c>
      <c r="AS413" s="7">
        <f>IF(AR413="","",NORM.S.DIST(AR413,TRUE))</f>
        <v/>
      </c>
      <c r="AT413" s="13">
        <f>IF(AS413="","",IF(AS413&lt;='组合输入'!$K10,"AAA",IF(AS413&lt;='组合输入'!$L10,"AA",IF(AS413&lt;='组合输入'!$M10,"A",IF(AS413&lt;='组合输入'!$N10,"BBB",IF(AS413&lt;='组合输入'!$O10,"BB",IF(AS413&lt;='组合输入'!$P10,"B",IF(AS413&lt;='组合输入'!$Q10,"CCC","D")))))))</f>
        <v/>
      </c>
      <c r="AU413" s="12">
        <f>IF(AT413="","",INDEX('状态价值'!$D10:$K10,MATCH(AT413,'状态价值'!$D$1:$K$1,0)))</f>
        <v/>
      </c>
      <c r="AV413" s="15">
        <f>NORM.S.INV(RAND())</f>
        <v/>
      </c>
      <c r="AW413" s="15">
        <f>IF('组合输入'!$C11="","",'组合输入'!$H11*$B413+SQRT(1-'组合输入'!$H11^2)*AV413)</f>
        <v/>
      </c>
      <c r="AX413" s="7">
        <f>IF(AW413="","",NORM.S.DIST(AW413,TRUE))</f>
        <v/>
      </c>
      <c r="AY413" s="13">
        <f>IF(AX413="","",IF(AX413&lt;='组合输入'!$K11,"AAA",IF(AX413&lt;='组合输入'!$L11,"AA",IF(AX413&lt;='组合输入'!$M11,"A",IF(AX413&lt;='组合输入'!$N11,"BBB",IF(AX413&lt;='组合输入'!$O11,"BB",IF(AX413&lt;='组合输入'!$P11,"B",IF(AX413&lt;='组合输入'!$Q11,"CCC","D")))))))</f>
        <v/>
      </c>
      <c r="AZ413" s="12">
        <f>IF(AY413="","",INDEX('状态价值'!$D11:$K11,MATCH(AY413,'状态价值'!$D$1:$K$1,0)))</f>
        <v/>
      </c>
      <c r="BA413" s="12">
        <f>G413+L413+Q413+V413+AA413+AF413+AK413+AP413+AU413+AZ413</f>
        <v/>
      </c>
      <c r="BB413" s="12">
        <f>SUM('组合输入'!$J$2:$J$11)-BA413</f>
        <v/>
      </c>
    </row>
    <row r="414">
      <c r="A414" s="11" t="n">
        <v>413</v>
      </c>
      <c r="B414" s="14">
        <f>NORM.S.INV(RAND())</f>
        <v/>
      </c>
      <c r="C414" s="14">
        <f>NORM.S.INV(RAND())</f>
        <v/>
      </c>
      <c r="D414" s="15">
        <f>IF('组合输入'!$C2="","",'组合输入'!$H2*$B414+SQRT(1-'组合输入'!$H2^2)*C414)</f>
        <v/>
      </c>
      <c r="E414" s="7">
        <f>IF(D414="","",NORM.S.DIST(D414,TRUE))</f>
        <v/>
      </c>
      <c r="F414" s="13">
        <f>IF(E414="","",IF(E414&lt;='组合输入'!$K2,"AAA",IF(E414&lt;='组合输入'!$L2,"AA",IF(E414&lt;='组合输入'!$M2,"A",IF(E414&lt;='组合输入'!$N2,"BBB",IF(E414&lt;='组合输入'!$O2,"BB",IF(E414&lt;='组合输入'!$P2,"B",IF(E414&lt;='组合输入'!$Q2,"CCC","D")))))))</f>
        <v/>
      </c>
      <c r="G414" s="12">
        <f>IF(F414="","",INDEX('状态价值'!$D2:$K2,MATCH(F414,'状态价值'!$D$1:$K$1,0)))</f>
        <v/>
      </c>
      <c r="H414" s="15">
        <f>NORM.S.INV(RAND())</f>
        <v/>
      </c>
      <c r="I414" s="15">
        <f>IF('组合输入'!$C3="","",'组合输入'!$H3*$B414+SQRT(1-'组合输入'!$H3^2)*H414)</f>
        <v/>
      </c>
      <c r="J414" s="7">
        <f>IF(I414="","",NORM.S.DIST(I414,TRUE))</f>
        <v/>
      </c>
      <c r="K414" s="13">
        <f>IF(J414="","",IF(J414&lt;='组合输入'!$K3,"AAA",IF(J414&lt;='组合输入'!$L3,"AA",IF(J414&lt;='组合输入'!$M3,"A",IF(J414&lt;='组合输入'!$N3,"BBB",IF(J414&lt;='组合输入'!$O3,"BB",IF(J414&lt;='组合输入'!$P3,"B",IF(J414&lt;='组合输入'!$Q3,"CCC","D")))))))</f>
        <v/>
      </c>
      <c r="L414" s="12">
        <f>IF(K414="","",INDEX('状态价值'!$D3:$K3,MATCH(K414,'状态价值'!$D$1:$K$1,0)))</f>
        <v/>
      </c>
      <c r="M414" s="15">
        <f>NORM.S.INV(RAND())</f>
        <v/>
      </c>
      <c r="N414" s="15">
        <f>IF('组合输入'!$C4="","",'组合输入'!$H4*$B414+SQRT(1-'组合输入'!$H4^2)*M414)</f>
        <v/>
      </c>
      <c r="O414" s="7">
        <f>IF(N414="","",NORM.S.DIST(N414,TRUE))</f>
        <v/>
      </c>
      <c r="P414" s="13">
        <f>IF(O414="","",IF(O414&lt;='组合输入'!$K4,"AAA",IF(O414&lt;='组合输入'!$L4,"AA",IF(O414&lt;='组合输入'!$M4,"A",IF(O414&lt;='组合输入'!$N4,"BBB",IF(O414&lt;='组合输入'!$O4,"BB",IF(O414&lt;='组合输入'!$P4,"B",IF(O414&lt;='组合输入'!$Q4,"CCC","D")))))))</f>
        <v/>
      </c>
      <c r="Q414" s="12">
        <f>IF(P414="","",INDEX('状态价值'!$D4:$K4,MATCH(P414,'状态价值'!$D$1:$K$1,0)))</f>
        <v/>
      </c>
      <c r="R414" s="15">
        <f>NORM.S.INV(RAND())</f>
        <v/>
      </c>
      <c r="S414" s="15">
        <f>IF('组合输入'!$C5="","",'组合输入'!$H5*$B414+SQRT(1-'组合输入'!$H5^2)*R414)</f>
        <v/>
      </c>
      <c r="T414" s="7">
        <f>IF(S414="","",NORM.S.DIST(S414,TRUE))</f>
        <v/>
      </c>
      <c r="U414" s="13">
        <f>IF(T414="","",IF(T414&lt;='组合输入'!$K5,"AAA",IF(T414&lt;='组合输入'!$L5,"AA",IF(T414&lt;='组合输入'!$M5,"A",IF(T414&lt;='组合输入'!$N5,"BBB",IF(T414&lt;='组合输入'!$O5,"BB",IF(T414&lt;='组合输入'!$P5,"B",IF(T414&lt;='组合输入'!$Q5,"CCC","D")))))))</f>
        <v/>
      </c>
      <c r="V414" s="12">
        <f>IF(U414="","",INDEX('状态价值'!$D5:$K5,MATCH(U414,'状态价值'!$D$1:$K$1,0)))</f>
        <v/>
      </c>
      <c r="W414" s="15">
        <f>NORM.S.INV(RAND())</f>
        <v/>
      </c>
      <c r="X414" s="15">
        <f>IF('组合输入'!$C6="","",'组合输入'!$H6*$B414+SQRT(1-'组合输入'!$H6^2)*W414)</f>
        <v/>
      </c>
      <c r="Y414" s="7">
        <f>IF(X414="","",NORM.S.DIST(X414,TRUE))</f>
        <v/>
      </c>
      <c r="Z414" s="13">
        <f>IF(Y414="","",IF(Y414&lt;='组合输入'!$K6,"AAA",IF(Y414&lt;='组合输入'!$L6,"AA",IF(Y414&lt;='组合输入'!$M6,"A",IF(Y414&lt;='组合输入'!$N6,"BBB",IF(Y414&lt;='组合输入'!$O6,"BB",IF(Y414&lt;='组合输入'!$P6,"B",IF(Y414&lt;='组合输入'!$Q6,"CCC","D")))))))</f>
        <v/>
      </c>
      <c r="AA414" s="12">
        <f>IF(Z414="","",INDEX('状态价值'!$D6:$K6,MATCH(Z414,'状态价值'!$D$1:$K$1,0)))</f>
        <v/>
      </c>
      <c r="AB414" s="15">
        <f>NORM.S.INV(RAND())</f>
        <v/>
      </c>
      <c r="AC414" s="15">
        <f>IF('组合输入'!$C7="","",'组合输入'!$H7*$B414+SQRT(1-'组合输入'!$H7^2)*AB414)</f>
        <v/>
      </c>
      <c r="AD414" s="7">
        <f>IF(AC414="","",NORM.S.DIST(AC414,TRUE))</f>
        <v/>
      </c>
      <c r="AE414" s="13">
        <f>IF(AD414="","",IF(AD414&lt;='组合输入'!$K7,"AAA",IF(AD414&lt;='组合输入'!$L7,"AA",IF(AD414&lt;='组合输入'!$M7,"A",IF(AD414&lt;='组合输入'!$N7,"BBB",IF(AD414&lt;='组合输入'!$O7,"BB",IF(AD414&lt;='组合输入'!$P7,"B",IF(AD414&lt;='组合输入'!$Q7,"CCC","D")))))))</f>
        <v/>
      </c>
      <c r="AF414" s="12">
        <f>IF(AE414="","",INDEX('状态价值'!$D7:$K7,MATCH(AE414,'状态价值'!$D$1:$K$1,0)))</f>
        <v/>
      </c>
      <c r="AG414" s="15">
        <f>NORM.S.INV(RAND())</f>
        <v/>
      </c>
      <c r="AH414" s="15">
        <f>IF('组合输入'!$C8="","",'组合输入'!$H8*$B414+SQRT(1-'组合输入'!$H8^2)*AG414)</f>
        <v/>
      </c>
      <c r="AI414" s="7">
        <f>IF(AH414="","",NORM.S.DIST(AH414,TRUE))</f>
        <v/>
      </c>
      <c r="AJ414" s="13">
        <f>IF(AI414="","",IF(AI414&lt;='组合输入'!$K8,"AAA",IF(AI414&lt;='组合输入'!$L8,"AA",IF(AI414&lt;='组合输入'!$M8,"A",IF(AI414&lt;='组合输入'!$N8,"BBB",IF(AI414&lt;='组合输入'!$O8,"BB",IF(AI414&lt;='组合输入'!$P8,"B",IF(AI414&lt;='组合输入'!$Q8,"CCC","D")))))))</f>
        <v/>
      </c>
      <c r="AK414" s="12">
        <f>IF(AJ414="","",INDEX('状态价值'!$D8:$K8,MATCH(AJ414,'状态价值'!$D$1:$K$1,0)))</f>
        <v/>
      </c>
      <c r="AL414" s="15">
        <f>NORM.S.INV(RAND())</f>
        <v/>
      </c>
      <c r="AM414" s="15">
        <f>IF('组合输入'!$C9="","",'组合输入'!$H9*$B414+SQRT(1-'组合输入'!$H9^2)*AL414)</f>
        <v/>
      </c>
      <c r="AN414" s="7">
        <f>IF(AM414="","",NORM.S.DIST(AM414,TRUE))</f>
        <v/>
      </c>
      <c r="AO414" s="13">
        <f>IF(AN414="","",IF(AN414&lt;='组合输入'!$K9,"AAA",IF(AN414&lt;='组合输入'!$L9,"AA",IF(AN414&lt;='组合输入'!$M9,"A",IF(AN414&lt;='组合输入'!$N9,"BBB",IF(AN414&lt;='组合输入'!$O9,"BB",IF(AN414&lt;='组合输入'!$P9,"B",IF(AN414&lt;='组合输入'!$Q9,"CCC","D")))))))</f>
        <v/>
      </c>
      <c r="AP414" s="12">
        <f>IF(AO414="","",INDEX('状态价值'!$D9:$K9,MATCH(AO414,'状态价值'!$D$1:$K$1,0)))</f>
        <v/>
      </c>
      <c r="AQ414" s="15">
        <f>NORM.S.INV(RAND())</f>
        <v/>
      </c>
      <c r="AR414" s="15">
        <f>IF('组合输入'!$C10="","",'组合输入'!$H10*$B414+SQRT(1-'组合输入'!$H10^2)*AQ414)</f>
        <v/>
      </c>
      <c r="AS414" s="7">
        <f>IF(AR414="","",NORM.S.DIST(AR414,TRUE))</f>
        <v/>
      </c>
      <c r="AT414" s="13">
        <f>IF(AS414="","",IF(AS414&lt;='组合输入'!$K10,"AAA",IF(AS414&lt;='组合输入'!$L10,"AA",IF(AS414&lt;='组合输入'!$M10,"A",IF(AS414&lt;='组合输入'!$N10,"BBB",IF(AS414&lt;='组合输入'!$O10,"BB",IF(AS414&lt;='组合输入'!$P10,"B",IF(AS414&lt;='组合输入'!$Q10,"CCC","D")))))))</f>
        <v/>
      </c>
      <c r="AU414" s="12">
        <f>IF(AT414="","",INDEX('状态价值'!$D10:$K10,MATCH(AT414,'状态价值'!$D$1:$K$1,0)))</f>
        <v/>
      </c>
      <c r="AV414" s="15">
        <f>NORM.S.INV(RAND())</f>
        <v/>
      </c>
      <c r="AW414" s="15">
        <f>IF('组合输入'!$C11="","",'组合输入'!$H11*$B414+SQRT(1-'组合输入'!$H11^2)*AV414)</f>
        <v/>
      </c>
      <c r="AX414" s="7">
        <f>IF(AW414="","",NORM.S.DIST(AW414,TRUE))</f>
        <v/>
      </c>
      <c r="AY414" s="13">
        <f>IF(AX414="","",IF(AX414&lt;='组合输入'!$K11,"AAA",IF(AX414&lt;='组合输入'!$L11,"AA",IF(AX414&lt;='组合输入'!$M11,"A",IF(AX414&lt;='组合输入'!$N11,"BBB",IF(AX414&lt;='组合输入'!$O11,"BB",IF(AX414&lt;='组合输入'!$P11,"B",IF(AX414&lt;='组合输入'!$Q11,"CCC","D")))))))</f>
        <v/>
      </c>
      <c r="AZ414" s="12">
        <f>IF(AY414="","",INDEX('状态价值'!$D11:$K11,MATCH(AY414,'状态价值'!$D$1:$K$1,0)))</f>
        <v/>
      </c>
      <c r="BA414" s="12">
        <f>G414+L414+Q414+V414+AA414+AF414+AK414+AP414+AU414+AZ414</f>
        <v/>
      </c>
      <c r="BB414" s="12">
        <f>SUM('组合输入'!$J$2:$J$11)-BA414</f>
        <v/>
      </c>
    </row>
    <row r="415">
      <c r="A415" s="11" t="n">
        <v>414</v>
      </c>
      <c r="B415" s="14">
        <f>NORM.S.INV(RAND())</f>
        <v/>
      </c>
      <c r="C415" s="14">
        <f>NORM.S.INV(RAND())</f>
        <v/>
      </c>
      <c r="D415" s="15">
        <f>IF('组合输入'!$C2="","",'组合输入'!$H2*$B415+SQRT(1-'组合输入'!$H2^2)*C415)</f>
        <v/>
      </c>
      <c r="E415" s="7">
        <f>IF(D415="","",NORM.S.DIST(D415,TRUE))</f>
        <v/>
      </c>
      <c r="F415" s="13">
        <f>IF(E415="","",IF(E415&lt;='组合输入'!$K2,"AAA",IF(E415&lt;='组合输入'!$L2,"AA",IF(E415&lt;='组合输入'!$M2,"A",IF(E415&lt;='组合输入'!$N2,"BBB",IF(E415&lt;='组合输入'!$O2,"BB",IF(E415&lt;='组合输入'!$P2,"B",IF(E415&lt;='组合输入'!$Q2,"CCC","D")))))))</f>
        <v/>
      </c>
      <c r="G415" s="12">
        <f>IF(F415="","",INDEX('状态价值'!$D2:$K2,MATCH(F415,'状态价值'!$D$1:$K$1,0)))</f>
        <v/>
      </c>
      <c r="H415" s="15">
        <f>NORM.S.INV(RAND())</f>
        <v/>
      </c>
      <c r="I415" s="15">
        <f>IF('组合输入'!$C3="","",'组合输入'!$H3*$B415+SQRT(1-'组合输入'!$H3^2)*H415)</f>
        <v/>
      </c>
      <c r="J415" s="7">
        <f>IF(I415="","",NORM.S.DIST(I415,TRUE))</f>
        <v/>
      </c>
      <c r="K415" s="13">
        <f>IF(J415="","",IF(J415&lt;='组合输入'!$K3,"AAA",IF(J415&lt;='组合输入'!$L3,"AA",IF(J415&lt;='组合输入'!$M3,"A",IF(J415&lt;='组合输入'!$N3,"BBB",IF(J415&lt;='组合输入'!$O3,"BB",IF(J415&lt;='组合输入'!$P3,"B",IF(J415&lt;='组合输入'!$Q3,"CCC","D")))))))</f>
        <v/>
      </c>
      <c r="L415" s="12">
        <f>IF(K415="","",INDEX('状态价值'!$D3:$K3,MATCH(K415,'状态价值'!$D$1:$K$1,0)))</f>
        <v/>
      </c>
      <c r="M415" s="15">
        <f>NORM.S.INV(RAND())</f>
        <v/>
      </c>
      <c r="N415" s="15">
        <f>IF('组合输入'!$C4="","",'组合输入'!$H4*$B415+SQRT(1-'组合输入'!$H4^2)*M415)</f>
        <v/>
      </c>
      <c r="O415" s="7">
        <f>IF(N415="","",NORM.S.DIST(N415,TRUE))</f>
        <v/>
      </c>
      <c r="P415" s="13">
        <f>IF(O415="","",IF(O415&lt;='组合输入'!$K4,"AAA",IF(O415&lt;='组合输入'!$L4,"AA",IF(O415&lt;='组合输入'!$M4,"A",IF(O415&lt;='组合输入'!$N4,"BBB",IF(O415&lt;='组合输入'!$O4,"BB",IF(O415&lt;='组合输入'!$P4,"B",IF(O415&lt;='组合输入'!$Q4,"CCC","D")))))))</f>
        <v/>
      </c>
      <c r="Q415" s="12">
        <f>IF(P415="","",INDEX('状态价值'!$D4:$K4,MATCH(P415,'状态价值'!$D$1:$K$1,0)))</f>
        <v/>
      </c>
      <c r="R415" s="15">
        <f>NORM.S.INV(RAND())</f>
        <v/>
      </c>
      <c r="S415" s="15">
        <f>IF('组合输入'!$C5="","",'组合输入'!$H5*$B415+SQRT(1-'组合输入'!$H5^2)*R415)</f>
        <v/>
      </c>
      <c r="T415" s="7">
        <f>IF(S415="","",NORM.S.DIST(S415,TRUE))</f>
        <v/>
      </c>
      <c r="U415" s="13">
        <f>IF(T415="","",IF(T415&lt;='组合输入'!$K5,"AAA",IF(T415&lt;='组合输入'!$L5,"AA",IF(T415&lt;='组合输入'!$M5,"A",IF(T415&lt;='组合输入'!$N5,"BBB",IF(T415&lt;='组合输入'!$O5,"BB",IF(T415&lt;='组合输入'!$P5,"B",IF(T415&lt;='组合输入'!$Q5,"CCC","D")))))))</f>
        <v/>
      </c>
      <c r="V415" s="12">
        <f>IF(U415="","",INDEX('状态价值'!$D5:$K5,MATCH(U415,'状态价值'!$D$1:$K$1,0)))</f>
        <v/>
      </c>
      <c r="W415" s="15">
        <f>NORM.S.INV(RAND())</f>
        <v/>
      </c>
      <c r="X415" s="15">
        <f>IF('组合输入'!$C6="","",'组合输入'!$H6*$B415+SQRT(1-'组合输入'!$H6^2)*W415)</f>
        <v/>
      </c>
      <c r="Y415" s="7">
        <f>IF(X415="","",NORM.S.DIST(X415,TRUE))</f>
        <v/>
      </c>
      <c r="Z415" s="13">
        <f>IF(Y415="","",IF(Y415&lt;='组合输入'!$K6,"AAA",IF(Y415&lt;='组合输入'!$L6,"AA",IF(Y415&lt;='组合输入'!$M6,"A",IF(Y415&lt;='组合输入'!$N6,"BBB",IF(Y415&lt;='组合输入'!$O6,"BB",IF(Y415&lt;='组合输入'!$P6,"B",IF(Y415&lt;='组合输入'!$Q6,"CCC","D")))))))</f>
        <v/>
      </c>
      <c r="AA415" s="12">
        <f>IF(Z415="","",INDEX('状态价值'!$D6:$K6,MATCH(Z415,'状态价值'!$D$1:$K$1,0)))</f>
        <v/>
      </c>
      <c r="AB415" s="15">
        <f>NORM.S.INV(RAND())</f>
        <v/>
      </c>
      <c r="AC415" s="15">
        <f>IF('组合输入'!$C7="","",'组合输入'!$H7*$B415+SQRT(1-'组合输入'!$H7^2)*AB415)</f>
        <v/>
      </c>
      <c r="AD415" s="7">
        <f>IF(AC415="","",NORM.S.DIST(AC415,TRUE))</f>
        <v/>
      </c>
      <c r="AE415" s="13">
        <f>IF(AD415="","",IF(AD415&lt;='组合输入'!$K7,"AAA",IF(AD415&lt;='组合输入'!$L7,"AA",IF(AD415&lt;='组合输入'!$M7,"A",IF(AD415&lt;='组合输入'!$N7,"BBB",IF(AD415&lt;='组合输入'!$O7,"BB",IF(AD415&lt;='组合输入'!$P7,"B",IF(AD415&lt;='组合输入'!$Q7,"CCC","D")))))))</f>
        <v/>
      </c>
      <c r="AF415" s="12">
        <f>IF(AE415="","",INDEX('状态价值'!$D7:$K7,MATCH(AE415,'状态价值'!$D$1:$K$1,0)))</f>
        <v/>
      </c>
      <c r="AG415" s="15">
        <f>NORM.S.INV(RAND())</f>
        <v/>
      </c>
      <c r="AH415" s="15">
        <f>IF('组合输入'!$C8="","",'组合输入'!$H8*$B415+SQRT(1-'组合输入'!$H8^2)*AG415)</f>
        <v/>
      </c>
      <c r="AI415" s="7">
        <f>IF(AH415="","",NORM.S.DIST(AH415,TRUE))</f>
        <v/>
      </c>
      <c r="AJ415" s="13">
        <f>IF(AI415="","",IF(AI415&lt;='组合输入'!$K8,"AAA",IF(AI415&lt;='组合输入'!$L8,"AA",IF(AI415&lt;='组合输入'!$M8,"A",IF(AI415&lt;='组合输入'!$N8,"BBB",IF(AI415&lt;='组合输入'!$O8,"BB",IF(AI415&lt;='组合输入'!$P8,"B",IF(AI415&lt;='组合输入'!$Q8,"CCC","D")))))))</f>
        <v/>
      </c>
      <c r="AK415" s="12">
        <f>IF(AJ415="","",INDEX('状态价值'!$D8:$K8,MATCH(AJ415,'状态价值'!$D$1:$K$1,0)))</f>
        <v/>
      </c>
      <c r="AL415" s="15">
        <f>NORM.S.INV(RAND())</f>
        <v/>
      </c>
      <c r="AM415" s="15">
        <f>IF('组合输入'!$C9="","",'组合输入'!$H9*$B415+SQRT(1-'组合输入'!$H9^2)*AL415)</f>
        <v/>
      </c>
      <c r="AN415" s="7">
        <f>IF(AM415="","",NORM.S.DIST(AM415,TRUE))</f>
        <v/>
      </c>
      <c r="AO415" s="13">
        <f>IF(AN415="","",IF(AN415&lt;='组合输入'!$K9,"AAA",IF(AN415&lt;='组合输入'!$L9,"AA",IF(AN415&lt;='组合输入'!$M9,"A",IF(AN415&lt;='组合输入'!$N9,"BBB",IF(AN415&lt;='组合输入'!$O9,"BB",IF(AN415&lt;='组合输入'!$P9,"B",IF(AN415&lt;='组合输入'!$Q9,"CCC","D")))))))</f>
        <v/>
      </c>
      <c r="AP415" s="12">
        <f>IF(AO415="","",INDEX('状态价值'!$D9:$K9,MATCH(AO415,'状态价值'!$D$1:$K$1,0)))</f>
        <v/>
      </c>
      <c r="AQ415" s="15">
        <f>NORM.S.INV(RAND())</f>
        <v/>
      </c>
      <c r="AR415" s="15">
        <f>IF('组合输入'!$C10="","",'组合输入'!$H10*$B415+SQRT(1-'组合输入'!$H10^2)*AQ415)</f>
        <v/>
      </c>
      <c r="AS415" s="7">
        <f>IF(AR415="","",NORM.S.DIST(AR415,TRUE))</f>
        <v/>
      </c>
      <c r="AT415" s="13">
        <f>IF(AS415="","",IF(AS415&lt;='组合输入'!$K10,"AAA",IF(AS415&lt;='组合输入'!$L10,"AA",IF(AS415&lt;='组合输入'!$M10,"A",IF(AS415&lt;='组合输入'!$N10,"BBB",IF(AS415&lt;='组合输入'!$O10,"BB",IF(AS415&lt;='组合输入'!$P10,"B",IF(AS415&lt;='组合输入'!$Q10,"CCC","D")))))))</f>
        <v/>
      </c>
      <c r="AU415" s="12">
        <f>IF(AT415="","",INDEX('状态价值'!$D10:$K10,MATCH(AT415,'状态价值'!$D$1:$K$1,0)))</f>
        <v/>
      </c>
      <c r="AV415" s="15">
        <f>NORM.S.INV(RAND())</f>
        <v/>
      </c>
      <c r="AW415" s="15">
        <f>IF('组合输入'!$C11="","",'组合输入'!$H11*$B415+SQRT(1-'组合输入'!$H11^2)*AV415)</f>
        <v/>
      </c>
      <c r="AX415" s="7">
        <f>IF(AW415="","",NORM.S.DIST(AW415,TRUE))</f>
        <v/>
      </c>
      <c r="AY415" s="13">
        <f>IF(AX415="","",IF(AX415&lt;='组合输入'!$K11,"AAA",IF(AX415&lt;='组合输入'!$L11,"AA",IF(AX415&lt;='组合输入'!$M11,"A",IF(AX415&lt;='组合输入'!$N11,"BBB",IF(AX415&lt;='组合输入'!$O11,"BB",IF(AX415&lt;='组合输入'!$P11,"B",IF(AX415&lt;='组合输入'!$Q11,"CCC","D")))))))</f>
        <v/>
      </c>
      <c r="AZ415" s="12">
        <f>IF(AY415="","",INDEX('状态价值'!$D11:$K11,MATCH(AY415,'状态价值'!$D$1:$K$1,0)))</f>
        <v/>
      </c>
      <c r="BA415" s="12">
        <f>G415+L415+Q415+V415+AA415+AF415+AK415+AP415+AU415+AZ415</f>
        <v/>
      </c>
      <c r="BB415" s="12">
        <f>SUM('组合输入'!$J$2:$J$11)-BA415</f>
        <v/>
      </c>
    </row>
    <row r="416">
      <c r="A416" s="11" t="n">
        <v>415</v>
      </c>
      <c r="B416" s="14">
        <f>NORM.S.INV(RAND())</f>
        <v/>
      </c>
      <c r="C416" s="14">
        <f>NORM.S.INV(RAND())</f>
        <v/>
      </c>
      <c r="D416" s="15">
        <f>IF('组合输入'!$C2="","",'组合输入'!$H2*$B416+SQRT(1-'组合输入'!$H2^2)*C416)</f>
        <v/>
      </c>
      <c r="E416" s="7">
        <f>IF(D416="","",NORM.S.DIST(D416,TRUE))</f>
        <v/>
      </c>
      <c r="F416" s="13">
        <f>IF(E416="","",IF(E416&lt;='组合输入'!$K2,"AAA",IF(E416&lt;='组合输入'!$L2,"AA",IF(E416&lt;='组合输入'!$M2,"A",IF(E416&lt;='组合输入'!$N2,"BBB",IF(E416&lt;='组合输入'!$O2,"BB",IF(E416&lt;='组合输入'!$P2,"B",IF(E416&lt;='组合输入'!$Q2,"CCC","D")))))))</f>
        <v/>
      </c>
      <c r="G416" s="12">
        <f>IF(F416="","",INDEX('状态价值'!$D2:$K2,MATCH(F416,'状态价值'!$D$1:$K$1,0)))</f>
        <v/>
      </c>
      <c r="H416" s="15">
        <f>NORM.S.INV(RAND())</f>
        <v/>
      </c>
      <c r="I416" s="15">
        <f>IF('组合输入'!$C3="","",'组合输入'!$H3*$B416+SQRT(1-'组合输入'!$H3^2)*H416)</f>
        <v/>
      </c>
      <c r="J416" s="7">
        <f>IF(I416="","",NORM.S.DIST(I416,TRUE))</f>
        <v/>
      </c>
      <c r="K416" s="13">
        <f>IF(J416="","",IF(J416&lt;='组合输入'!$K3,"AAA",IF(J416&lt;='组合输入'!$L3,"AA",IF(J416&lt;='组合输入'!$M3,"A",IF(J416&lt;='组合输入'!$N3,"BBB",IF(J416&lt;='组合输入'!$O3,"BB",IF(J416&lt;='组合输入'!$P3,"B",IF(J416&lt;='组合输入'!$Q3,"CCC","D")))))))</f>
        <v/>
      </c>
      <c r="L416" s="12">
        <f>IF(K416="","",INDEX('状态价值'!$D3:$K3,MATCH(K416,'状态价值'!$D$1:$K$1,0)))</f>
        <v/>
      </c>
      <c r="M416" s="15">
        <f>NORM.S.INV(RAND())</f>
        <v/>
      </c>
      <c r="N416" s="15">
        <f>IF('组合输入'!$C4="","",'组合输入'!$H4*$B416+SQRT(1-'组合输入'!$H4^2)*M416)</f>
        <v/>
      </c>
      <c r="O416" s="7">
        <f>IF(N416="","",NORM.S.DIST(N416,TRUE))</f>
        <v/>
      </c>
      <c r="P416" s="13">
        <f>IF(O416="","",IF(O416&lt;='组合输入'!$K4,"AAA",IF(O416&lt;='组合输入'!$L4,"AA",IF(O416&lt;='组合输入'!$M4,"A",IF(O416&lt;='组合输入'!$N4,"BBB",IF(O416&lt;='组合输入'!$O4,"BB",IF(O416&lt;='组合输入'!$P4,"B",IF(O416&lt;='组合输入'!$Q4,"CCC","D")))))))</f>
        <v/>
      </c>
      <c r="Q416" s="12">
        <f>IF(P416="","",INDEX('状态价值'!$D4:$K4,MATCH(P416,'状态价值'!$D$1:$K$1,0)))</f>
        <v/>
      </c>
      <c r="R416" s="15">
        <f>NORM.S.INV(RAND())</f>
        <v/>
      </c>
      <c r="S416" s="15">
        <f>IF('组合输入'!$C5="","",'组合输入'!$H5*$B416+SQRT(1-'组合输入'!$H5^2)*R416)</f>
        <v/>
      </c>
      <c r="T416" s="7">
        <f>IF(S416="","",NORM.S.DIST(S416,TRUE))</f>
        <v/>
      </c>
      <c r="U416" s="13">
        <f>IF(T416="","",IF(T416&lt;='组合输入'!$K5,"AAA",IF(T416&lt;='组合输入'!$L5,"AA",IF(T416&lt;='组合输入'!$M5,"A",IF(T416&lt;='组合输入'!$N5,"BBB",IF(T416&lt;='组合输入'!$O5,"BB",IF(T416&lt;='组合输入'!$P5,"B",IF(T416&lt;='组合输入'!$Q5,"CCC","D")))))))</f>
        <v/>
      </c>
      <c r="V416" s="12">
        <f>IF(U416="","",INDEX('状态价值'!$D5:$K5,MATCH(U416,'状态价值'!$D$1:$K$1,0)))</f>
        <v/>
      </c>
      <c r="W416" s="15">
        <f>NORM.S.INV(RAND())</f>
        <v/>
      </c>
      <c r="X416" s="15">
        <f>IF('组合输入'!$C6="","",'组合输入'!$H6*$B416+SQRT(1-'组合输入'!$H6^2)*W416)</f>
        <v/>
      </c>
      <c r="Y416" s="7">
        <f>IF(X416="","",NORM.S.DIST(X416,TRUE))</f>
        <v/>
      </c>
      <c r="Z416" s="13">
        <f>IF(Y416="","",IF(Y416&lt;='组合输入'!$K6,"AAA",IF(Y416&lt;='组合输入'!$L6,"AA",IF(Y416&lt;='组合输入'!$M6,"A",IF(Y416&lt;='组合输入'!$N6,"BBB",IF(Y416&lt;='组合输入'!$O6,"BB",IF(Y416&lt;='组合输入'!$P6,"B",IF(Y416&lt;='组合输入'!$Q6,"CCC","D")))))))</f>
        <v/>
      </c>
      <c r="AA416" s="12">
        <f>IF(Z416="","",INDEX('状态价值'!$D6:$K6,MATCH(Z416,'状态价值'!$D$1:$K$1,0)))</f>
        <v/>
      </c>
      <c r="AB416" s="15">
        <f>NORM.S.INV(RAND())</f>
        <v/>
      </c>
      <c r="AC416" s="15">
        <f>IF('组合输入'!$C7="","",'组合输入'!$H7*$B416+SQRT(1-'组合输入'!$H7^2)*AB416)</f>
        <v/>
      </c>
      <c r="AD416" s="7">
        <f>IF(AC416="","",NORM.S.DIST(AC416,TRUE))</f>
        <v/>
      </c>
      <c r="AE416" s="13">
        <f>IF(AD416="","",IF(AD416&lt;='组合输入'!$K7,"AAA",IF(AD416&lt;='组合输入'!$L7,"AA",IF(AD416&lt;='组合输入'!$M7,"A",IF(AD416&lt;='组合输入'!$N7,"BBB",IF(AD416&lt;='组合输入'!$O7,"BB",IF(AD416&lt;='组合输入'!$P7,"B",IF(AD416&lt;='组合输入'!$Q7,"CCC","D")))))))</f>
        <v/>
      </c>
      <c r="AF416" s="12">
        <f>IF(AE416="","",INDEX('状态价值'!$D7:$K7,MATCH(AE416,'状态价值'!$D$1:$K$1,0)))</f>
        <v/>
      </c>
      <c r="AG416" s="15">
        <f>NORM.S.INV(RAND())</f>
        <v/>
      </c>
      <c r="AH416" s="15">
        <f>IF('组合输入'!$C8="","",'组合输入'!$H8*$B416+SQRT(1-'组合输入'!$H8^2)*AG416)</f>
        <v/>
      </c>
      <c r="AI416" s="7">
        <f>IF(AH416="","",NORM.S.DIST(AH416,TRUE))</f>
        <v/>
      </c>
      <c r="AJ416" s="13">
        <f>IF(AI416="","",IF(AI416&lt;='组合输入'!$K8,"AAA",IF(AI416&lt;='组合输入'!$L8,"AA",IF(AI416&lt;='组合输入'!$M8,"A",IF(AI416&lt;='组合输入'!$N8,"BBB",IF(AI416&lt;='组合输入'!$O8,"BB",IF(AI416&lt;='组合输入'!$P8,"B",IF(AI416&lt;='组合输入'!$Q8,"CCC","D")))))))</f>
        <v/>
      </c>
      <c r="AK416" s="12">
        <f>IF(AJ416="","",INDEX('状态价值'!$D8:$K8,MATCH(AJ416,'状态价值'!$D$1:$K$1,0)))</f>
        <v/>
      </c>
      <c r="AL416" s="15">
        <f>NORM.S.INV(RAND())</f>
        <v/>
      </c>
      <c r="AM416" s="15">
        <f>IF('组合输入'!$C9="","",'组合输入'!$H9*$B416+SQRT(1-'组合输入'!$H9^2)*AL416)</f>
        <v/>
      </c>
      <c r="AN416" s="7">
        <f>IF(AM416="","",NORM.S.DIST(AM416,TRUE))</f>
        <v/>
      </c>
      <c r="AO416" s="13">
        <f>IF(AN416="","",IF(AN416&lt;='组合输入'!$K9,"AAA",IF(AN416&lt;='组合输入'!$L9,"AA",IF(AN416&lt;='组合输入'!$M9,"A",IF(AN416&lt;='组合输入'!$N9,"BBB",IF(AN416&lt;='组合输入'!$O9,"BB",IF(AN416&lt;='组合输入'!$P9,"B",IF(AN416&lt;='组合输入'!$Q9,"CCC","D")))))))</f>
        <v/>
      </c>
      <c r="AP416" s="12">
        <f>IF(AO416="","",INDEX('状态价值'!$D9:$K9,MATCH(AO416,'状态价值'!$D$1:$K$1,0)))</f>
        <v/>
      </c>
      <c r="AQ416" s="15">
        <f>NORM.S.INV(RAND())</f>
        <v/>
      </c>
      <c r="AR416" s="15">
        <f>IF('组合输入'!$C10="","",'组合输入'!$H10*$B416+SQRT(1-'组合输入'!$H10^2)*AQ416)</f>
        <v/>
      </c>
      <c r="AS416" s="7">
        <f>IF(AR416="","",NORM.S.DIST(AR416,TRUE))</f>
        <v/>
      </c>
      <c r="AT416" s="13">
        <f>IF(AS416="","",IF(AS416&lt;='组合输入'!$K10,"AAA",IF(AS416&lt;='组合输入'!$L10,"AA",IF(AS416&lt;='组合输入'!$M10,"A",IF(AS416&lt;='组合输入'!$N10,"BBB",IF(AS416&lt;='组合输入'!$O10,"BB",IF(AS416&lt;='组合输入'!$P10,"B",IF(AS416&lt;='组合输入'!$Q10,"CCC","D")))))))</f>
        <v/>
      </c>
      <c r="AU416" s="12">
        <f>IF(AT416="","",INDEX('状态价值'!$D10:$K10,MATCH(AT416,'状态价值'!$D$1:$K$1,0)))</f>
        <v/>
      </c>
      <c r="AV416" s="15">
        <f>NORM.S.INV(RAND())</f>
        <v/>
      </c>
      <c r="AW416" s="15">
        <f>IF('组合输入'!$C11="","",'组合输入'!$H11*$B416+SQRT(1-'组合输入'!$H11^2)*AV416)</f>
        <v/>
      </c>
      <c r="AX416" s="7">
        <f>IF(AW416="","",NORM.S.DIST(AW416,TRUE))</f>
        <v/>
      </c>
      <c r="AY416" s="13">
        <f>IF(AX416="","",IF(AX416&lt;='组合输入'!$K11,"AAA",IF(AX416&lt;='组合输入'!$L11,"AA",IF(AX416&lt;='组合输入'!$M11,"A",IF(AX416&lt;='组合输入'!$N11,"BBB",IF(AX416&lt;='组合输入'!$O11,"BB",IF(AX416&lt;='组合输入'!$P11,"B",IF(AX416&lt;='组合输入'!$Q11,"CCC","D")))))))</f>
        <v/>
      </c>
      <c r="AZ416" s="12">
        <f>IF(AY416="","",INDEX('状态价值'!$D11:$K11,MATCH(AY416,'状态价值'!$D$1:$K$1,0)))</f>
        <v/>
      </c>
      <c r="BA416" s="12">
        <f>G416+L416+Q416+V416+AA416+AF416+AK416+AP416+AU416+AZ416</f>
        <v/>
      </c>
      <c r="BB416" s="12">
        <f>SUM('组合输入'!$J$2:$J$11)-BA416</f>
        <v/>
      </c>
    </row>
    <row r="417">
      <c r="A417" s="11" t="n">
        <v>416</v>
      </c>
      <c r="B417" s="14">
        <f>NORM.S.INV(RAND())</f>
        <v/>
      </c>
      <c r="C417" s="14">
        <f>NORM.S.INV(RAND())</f>
        <v/>
      </c>
      <c r="D417" s="15">
        <f>IF('组合输入'!$C2="","",'组合输入'!$H2*$B417+SQRT(1-'组合输入'!$H2^2)*C417)</f>
        <v/>
      </c>
      <c r="E417" s="7">
        <f>IF(D417="","",NORM.S.DIST(D417,TRUE))</f>
        <v/>
      </c>
      <c r="F417" s="13">
        <f>IF(E417="","",IF(E417&lt;='组合输入'!$K2,"AAA",IF(E417&lt;='组合输入'!$L2,"AA",IF(E417&lt;='组合输入'!$M2,"A",IF(E417&lt;='组合输入'!$N2,"BBB",IF(E417&lt;='组合输入'!$O2,"BB",IF(E417&lt;='组合输入'!$P2,"B",IF(E417&lt;='组合输入'!$Q2,"CCC","D")))))))</f>
        <v/>
      </c>
      <c r="G417" s="12">
        <f>IF(F417="","",INDEX('状态价值'!$D2:$K2,MATCH(F417,'状态价值'!$D$1:$K$1,0)))</f>
        <v/>
      </c>
      <c r="H417" s="15">
        <f>NORM.S.INV(RAND())</f>
        <v/>
      </c>
      <c r="I417" s="15">
        <f>IF('组合输入'!$C3="","",'组合输入'!$H3*$B417+SQRT(1-'组合输入'!$H3^2)*H417)</f>
        <v/>
      </c>
      <c r="J417" s="7">
        <f>IF(I417="","",NORM.S.DIST(I417,TRUE))</f>
        <v/>
      </c>
      <c r="K417" s="13">
        <f>IF(J417="","",IF(J417&lt;='组合输入'!$K3,"AAA",IF(J417&lt;='组合输入'!$L3,"AA",IF(J417&lt;='组合输入'!$M3,"A",IF(J417&lt;='组合输入'!$N3,"BBB",IF(J417&lt;='组合输入'!$O3,"BB",IF(J417&lt;='组合输入'!$P3,"B",IF(J417&lt;='组合输入'!$Q3,"CCC","D")))))))</f>
        <v/>
      </c>
      <c r="L417" s="12">
        <f>IF(K417="","",INDEX('状态价值'!$D3:$K3,MATCH(K417,'状态价值'!$D$1:$K$1,0)))</f>
        <v/>
      </c>
      <c r="M417" s="15">
        <f>NORM.S.INV(RAND())</f>
        <v/>
      </c>
      <c r="N417" s="15">
        <f>IF('组合输入'!$C4="","",'组合输入'!$H4*$B417+SQRT(1-'组合输入'!$H4^2)*M417)</f>
        <v/>
      </c>
      <c r="O417" s="7">
        <f>IF(N417="","",NORM.S.DIST(N417,TRUE))</f>
        <v/>
      </c>
      <c r="P417" s="13">
        <f>IF(O417="","",IF(O417&lt;='组合输入'!$K4,"AAA",IF(O417&lt;='组合输入'!$L4,"AA",IF(O417&lt;='组合输入'!$M4,"A",IF(O417&lt;='组合输入'!$N4,"BBB",IF(O417&lt;='组合输入'!$O4,"BB",IF(O417&lt;='组合输入'!$P4,"B",IF(O417&lt;='组合输入'!$Q4,"CCC","D")))))))</f>
        <v/>
      </c>
      <c r="Q417" s="12">
        <f>IF(P417="","",INDEX('状态价值'!$D4:$K4,MATCH(P417,'状态价值'!$D$1:$K$1,0)))</f>
        <v/>
      </c>
      <c r="R417" s="15">
        <f>NORM.S.INV(RAND())</f>
        <v/>
      </c>
      <c r="S417" s="15">
        <f>IF('组合输入'!$C5="","",'组合输入'!$H5*$B417+SQRT(1-'组合输入'!$H5^2)*R417)</f>
        <v/>
      </c>
      <c r="T417" s="7">
        <f>IF(S417="","",NORM.S.DIST(S417,TRUE))</f>
        <v/>
      </c>
      <c r="U417" s="13">
        <f>IF(T417="","",IF(T417&lt;='组合输入'!$K5,"AAA",IF(T417&lt;='组合输入'!$L5,"AA",IF(T417&lt;='组合输入'!$M5,"A",IF(T417&lt;='组合输入'!$N5,"BBB",IF(T417&lt;='组合输入'!$O5,"BB",IF(T417&lt;='组合输入'!$P5,"B",IF(T417&lt;='组合输入'!$Q5,"CCC","D")))))))</f>
        <v/>
      </c>
      <c r="V417" s="12">
        <f>IF(U417="","",INDEX('状态价值'!$D5:$K5,MATCH(U417,'状态价值'!$D$1:$K$1,0)))</f>
        <v/>
      </c>
      <c r="W417" s="15">
        <f>NORM.S.INV(RAND())</f>
        <v/>
      </c>
      <c r="X417" s="15">
        <f>IF('组合输入'!$C6="","",'组合输入'!$H6*$B417+SQRT(1-'组合输入'!$H6^2)*W417)</f>
        <v/>
      </c>
      <c r="Y417" s="7">
        <f>IF(X417="","",NORM.S.DIST(X417,TRUE))</f>
        <v/>
      </c>
      <c r="Z417" s="13">
        <f>IF(Y417="","",IF(Y417&lt;='组合输入'!$K6,"AAA",IF(Y417&lt;='组合输入'!$L6,"AA",IF(Y417&lt;='组合输入'!$M6,"A",IF(Y417&lt;='组合输入'!$N6,"BBB",IF(Y417&lt;='组合输入'!$O6,"BB",IF(Y417&lt;='组合输入'!$P6,"B",IF(Y417&lt;='组合输入'!$Q6,"CCC","D")))))))</f>
        <v/>
      </c>
      <c r="AA417" s="12">
        <f>IF(Z417="","",INDEX('状态价值'!$D6:$K6,MATCH(Z417,'状态价值'!$D$1:$K$1,0)))</f>
        <v/>
      </c>
      <c r="AB417" s="15">
        <f>NORM.S.INV(RAND())</f>
        <v/>
      </c>
      <c r="AC417" s="15">
        <f>IF('组合输入'!$C7="","",'组合输入'!$H7*$B417+SQRT(1-'组合输入'!$H7^2)*AB417)</f>
        <v/>
      </c>
      <c r="AD417" s="7">
        <f>IF(AC417="","",NORM.S.DIST(AC417,TRUE))</f>
        <v/>
      </c>
      <c r="AE417" s="13">
        <f>IF(AD417="","",IF(AD417&lt;='组合输入'!$K7,"AAA",IF(AD417&lt;='组合输入'!$L7,"AA",IF(AD417&lt;='组合输入'!$M7,"A",IF(AD417&lt;='组合输入'!$N7,"BBB",IF(AD417&lt;='组合输入'!$O7,"BB",IF(AD417&lt;='组合输入'!$P7,"B",IF(AD417&lt;='组合输入'!$Q7,"CCC","D")))))))</f>
        <v/>
      </c>
      <c r="AF417" s="12">
        <f>IF(AE417="","",INDEX('状态价值'!$D7:$K7,MATCH(AE417,'状态价值'!$D$1:$K$1,0)))</f>
        <v/>
      </c>
      <c r="AG417" s="15">
        <f>NORM.S.INV(RAND())</f>
        <v/>
      </c>
      <c r="AH417" s="15">
        <f>IF('组合输入'!$C8="","",'组合输入'!$H8*$B417+SQRT(1-'组合输入'!$H8^2)*AG417)</f>
        <v/>
      </c>
      <c r="AI417" s="7">
        <f>IF(AH417="","",NORM.S.DIST(AH417,TRUE))</f>
        <v/>
      </c>
      <c r="AJ417" s="13">
        <f>IF(AI417="","",IF(AI417&lt;='组合输入'!$K8,"AAA",IF(AI417&lt;='组合输入'!$L8,"AA",IF(AI417&lt;='组合输入'!$M8,"A",IF(AI417&lt;='组合输入'!$N8,"BBB",IF(AI417&lt;='组合输入'!$O8,"BB",IF(AI417&lt;='组合输入'!$P8,"B",IF(AI417&lt;='组合输入'!$Q8,"CCC","D")))))))</f>
        <v/>
      </c>
      <c r="AK417" s="12">
        <f>IF(AJ417="","",INDEX('状态价值'!$D8:$K8,MATCH(AJ417,'状态价值'!$D$1:$K$1,0)))</f>
        <v/>
      </c>
      <c r="AL417" s="15">
        <f>NORM.S.INV(RAND())</f>
        <v/>
      </c>
      <c r="AM417" s="15">
        <f>IF('组合输入'!$C9="","",'组合输入'!$H9*$B417+SQRT(1-'组合输入'!$H9^2)*AL417)</f>
        <v/>
      </c>
      <c r="AN417" s="7">
        <f>IF(AM417="","",NORM.S.DIST(AM417,TRUE))</f>
        <v/>
      </c>
      <c r="AO417" s="13">
        <f>IF(AN417="","",IF(AN417&lt;='组合输入'!$K9,"AAA",IF(AN417&lt;='组合输入'!$L9,"AA",IF(AN417&lt;='组合输入'!$M9,"A",IF(AN417&lt;='组合输入'!$N9,"BBB",IF(AN417&lt;='组合输入'!$O9,"BB",IF(AN417&lt;='组合输入'!$P9,"B",IF(AN417&lt;='组合输入'!$Q9,"CCC","D")))))))</f>
        <v/>
      </c>
      <c r="AP417" s="12">
        <f>IF(AO417="","",INDEX('状态价值'!$D9:$K9,MATCH(AO417,'状态价值'!$D$1:$K$1,0)))</f>
        <v/>
      </c>
      <c r="AQ417" s="15">
        <f>NORM.S.INV(RAND())</f>
        <v/>
      </c>
      <c r="AR417" s="15">
        <f>IF('组合输入'!$C10="","",'组合输入'!$H10*$B417+SQRT(1-'组合输入'!$H10^2)*AQ417)</f>
        <v/>
      </c>
      <c r="AS417" s="7">
        <f>IF(AR417="","",NORM.S.DIST(AR417,TRUE))</f>
        <v/>
      </c>
      <c r="AT417" s="13">
        <f>IF(AS417="","",IF(AS417&lt;='组合输入'!$K10,"AAA",IF(AS417&lt;='组合输入'!$L10,"AA",IF(AS417&lt;='组合输入'!$M10,"A",IF(AS417&lt;='组合输入'!$N10,"BBB",IF(AS417&lt;='组合输入'!$O10,"BB",IF(AS417&lt;='组合输入'!$P10,"B",IF(AS417&lt;='组合输入'!$Q10,"CCC","D")))))))</f>
        <v/>
      </c>
      <c r="AU417" s="12">
        <f>IF(AT417="","",INDEX('状态价值'!$D10:$K10,MATCH(AT417,'状态价值'!$D$1:$K$1,0)))</f>
        <v/>
      </c>
      <c r="AV417" s="15">
        <f>NORM.S.INV(RAND())</f>
        <v/>
      </c>
      <c r="AW417" s="15">
        <f>IF('组合输入'!$C11="","",'组合输入'!$H11*$B417+SQRT(1-'组合输入'!$H11^2)*AV417)</f>
        <v/>
      </c>
      <c r="AX417" s="7">
        <f>IF(AW417="","",NORM.S.DIST(AW417,TRUE))</f>
        <v/>
      </c>
      <c r="AY417" s="13">
        <f>IF(AX417="","",IF(AX417&lt;='组合输入'!$K11,"AAA",IF(AX417&lt;='组合输入'!$L11,"AA",IF(AX417&lt;='组合输入'!$M11,"A",IF(AX417&lt;='组合输入'!$N11,"BBB",IF(AX417&lt;='组合输入'!$O11,"BB",IF(AX417&lt;='组合输入'!$P11,"B",IF(AX417&lt;='组合输入'!$Q11,"CCC","D")))))))</f>
        <v/>
      </c>
      <c r="AZ417" s="12">
        <f>IF(AY417="","",INDEX('状态价值'!$D11:$K11,MATCH(AY417,'状态价值'!$D$1:$K$1,0)))</f>
        <v/>
      </c>
      <c r="BA417" s="12">
        <f>G417+L417+Q417+V417+AA417+AF417+AK417+AP417+AU417+AZ417</f>
        <v/>
      </c>
      <c r="BB417" s="12">
        <f>SUM('组合输入'!$J$2:$J$11)-BA417</f>
        <v/>
      </c>
    </row>
    <row r="418">
      <c r="A418" s="11" t="n">
        <v>417</v>
      </c>
      <c r="B418" s="14">
        <f>NORM.S.INV(RAND())</f>
        <v/>
      </c>
      <c r="C418" s="14">
        <f>NORM.S.INV(RAND())</f>
        <v/>
      </c>
      <c r="D418" s="15">
        <f>IF('组合输入'!$C2="","",'组合输入'!$H2*$B418+SQRT(1-'组合输入'!$H2^2)*C418)</f>
        <v/>
      </c>
      <c r="E418" s="7">
        <f>IF(D418="","",NORM.S.DIST(D418,TRUE))</f>
        <v/>
      </c>
      <c r="F418" s="13">
        <f>IF(E418="","",IF(E418&lt;='组合输入'!$K2,"AAA",IF(E418&lt;='组合输入'!$L2,"AA",IF(E418&lt;='组合输入'!$M2,"A",IF(E418&lt;='组合输入'!$N2,"BBB",IF(E418&lt;='组合输入'!$O2,"BB",IF(E418&lt;='组合输入'!$P2,"B",IF(E418&lt;='组合输入'!$Q2,"CCC","D")))))))</f>
        <v/>
      </c>
      <c r="G418" s="12">
        <f>IF(F418="","",INDEX('状态价值'!$D2:$K2,MATCH(F418,'状态价值'!$D$1:$K$1,0)))</f>
        <v/>
      </c>
      <c r="H418" s="15">
        <f>NORM.S.INV(RAND())</f>
        <v/>
      </c>
      <c r="I418" s="15">
        <f>IF('组合输入'!$C3="","",'组合输入'!$H3*$B418+SQRT(1-'组合输入'!$H3^2)*H418)</f>
        <v/>
      </c>
      <c r="J418" s="7">
        <f>IF(I418="","",NORM.S.DIST(I418,TRUE))</f>
        <v/>
      </c>
      <c r="K418" s="13">
        <f>IF(J418="","",IF(J418&lt;='组合输入'!$K3,"AAA",IF(J418&lt;='组合输入'!$L3,"AA",IF(J418&lt;='组合输入'!$M3,"A",IF(J418&lt;='组合输入'!$N3,"BBB",IF(J418&lt;='组合输入'!$O3,"BB",IF(J418&lt;='组合输入'!$P3,"B",IF(J418&lt;='组合输入'!$Q3,"CCC","D")))))))</f>
        <v/>
      </c>
      <c r="L418" s="12">
        <f>IF(K418="","",INDEX('状态价值'!$D3:$K3,MATCH(K418,'状态价值'!$D$1:$K$1,0)))</f>
        <v/>
      </c>
      <c r="M418" s="15">
        <f>NORM.S.INV(RAND())</f>
        <v/>
      </c>
      <c r="N418" s="15">
        <f>IF('组合输入'!$C4="","",'组合输入'!$H4*$B418+SQRT(1-'组合输入'!$H4^2)*M418)</f>
        <v/>
      </c>
      <c r="O418" s="7">
        <f>IF(N418="","",NORM.S.DIST(N418,TRUE))</f>
        <v/>
      </c>
      <c r="P418" s="13">
        <f>IF(O418="","",IF(O418&lt;='组合输入'!$K4,"AAA",IF(O418&lt;='组合输入'!$L4,"AA",IF(O418&lt;='组合输入'!$M4,"A",IF(O418&lt;='组合输入'!$N4,"BBB",IF(O418&lt;='组合输入'!$O4,"BB",IF(O418&lt;='组合输入'!$P4,"B",IF(O418&lt;='组合输入'!$Q4,"CCC","D")))))))</f>
        <v/>
      </c>
      <c r="Q418" s="12">
        <f>IF(P418="","",INDEX('状态价值'!$D4:$K4,MATCH(P418,'状态价值'!$D$1:$K$1,0)))</f>
        <v/>
      </c>
      <c r="R418" s="15">
        <f>NORM.S.INV(RAND())</f>
        <v/>
      </c>
      <c r="S418" s="15">
        <f>IF('组合输入'!$C5="","",'组合输入'!$H5*$B418+SQRT(1-'组合输入'!$H5^2)*R418)</f>
        <v/>
      </c>
      <c r="T418" s="7">
        <f>IF(S418="","",NORM.S.DIST(S418,TRUE))</f>
        <v/>
      </c>
      <c r="U418" s="13">
        <f>IF(T418="","",IF(T418&lt;='组合输入'!$K5,"AAA",IF(T418&lt;='组合输入'!$L5,"AA",IF(T418&lt;='组合输入'!$M5,"A",IF(T418&lt;='组合输入'!$N5,"BBB",IF(T418&lt;='组合输入'!$O5,"BB",IF(T418&lt;='组合输入'!$P5,"B",IF(T418&lt;='组合输入'!$Q5,"CCC","D")))))))</f>
        <v/>
      </c>
      <c r="V418" s="12">
        <f>IF(U418="","",INDEX('状态价值'!$D5:$K5,MATCH(U418,'状态价值'!$D$1:$K$1,0)))</f>
        <v/>
      </c>
      <c r="W418" s="15">
        <f>NORM.S.INV(RAND())</f>
        <v/>
      </c>
      <c r="X418" s="15">
        <f>IF('组合输入'!$C6="","",'组合输入'!$H6*$B418+SQRT(1-'组合输入'!$H6^2)*W418)</f>
        <v/>
      </c>
      <c r="Y418" s="7">
        <f>IF(X418="","",NORM.S.DIST(X418,TRUE))</f>
        <v/>
      </c>
      <c r="Z418" s="13">
        <f>IF(Y418="","",IF(Y418&lt;='组合输入'!$K6,"AAA",IF(Y418&lt;='组合输入'!$L6,"AA",IF(Y418&lt;='组合输入'!$M6,"A",IF(Y418&lt;='组合输入'!$N6,"BBB",IF(Y418&lt;='组合输入'!$O6,"BB",IF(Y418&lt;='组合输入'!$P6,"B",IF(Y418&lt;='组合输入'!$Q6,"CCC","D")))))))</f>
        <v/>
      </c>
      <c r="AA418" s="12">
        <f>IF(Z418="","",INDEX('状态价值'!$D6:$K6,MATCH(Z418,'状态价值'!$D$1:$K$1,0)))</f>
        <v/>
      </c>
      <c r="AB418" s="15">
        <f>NORM.S.INV(RAND())</f>
        <v/>
      </c>
      <c r="AC418" s="15">
        <f>IF('组合输入'!$C7="","",'组合输入'!$H7*$B418+SQRT(1-'组合输入'!$H7^2)*AB418)</f>
        <v/>
      </c>
      <c r="AD418" s="7">
        <f>IF(AC418="","",NORM.S.DIST(AC418,TRUE))</f>
        <v/>
      </c>
      <c r="AE418" s="13">
        <f>IF(AD418="","",IF(AD418&lt;='组合输入'!$K7,"AAA",IF(AD418&lt;='组合输入'!$L7,"AA",IF(AD418&lt;='组合输入'!$M7,"A",IF(AD418&lt;='组合输入'!$N7,"BBB",IF(AD418&lt;='组合输入'!$O7,"BB",IF(AD418&lt;='组合输入'!$P7,"B",IF(AD418&lt;='组合输入'!$Q7,"CCC","D")))))))</f>
        <v/>
      </c>
      <c r="AF418" s="12">
        <f>IF(AE418="","",INDEX('状态价值'!$D7:$K7,MATCH(AE418,'状态价值'!$D$1:$K$1,0)))</f>
        <v/>
      </c>
      <c r="AG418" s="15">
        <f>NORM.S.INV(RAND())</f>
        <v/>
      </c>
      <c r="AH418" s="15">
        <f>IF('组合输入'!$C8="","",'组合输入'!$H8*$B418+SQRT(1-'组合输入'!$H8^2)*AG418)</f>
        <v/>
      </c>
      <c r="AI418" s="7">
        <f>IF(AH418="","",NORM.S.DIST(AH418,TRUE))</f>
        <v/>
      </c>
      <c r="AJ418" s="13">
        <f>IF(AI418="","",IF(AI418&lt;='组合输入'!$K8,"AAA",IF(AI418&lt;='组合输入'!$L8,"AA",IF(AI418&lt;='组合输入'!$M8,"A",IF(AI418&lt;='组合输入'!$N8,"BBB",IF(AI418&lt;='组合输入'!$O8,"BB",IF(AI418&lt;='组合输入'!$P8,"B",IF(AI418&lt;='组合输入'!$Q8,"CCC","D")))))))</f>
        <v/>
      </c>
      <c r="AK418" s="12">
        <f>IF(AJ418="","",INDEX('状态价值'!$D8:$K8,MATCH(AJ418,'状态价值'!$D$1:$K$1,0)))</f>
        <v/>
      </c>
      <c r="AL418" s="15">
        <f>NORM.S.INV(RAND())</f>
        <v/>
      </c>
      <c r="AM418" s="15">
        <f>IF('组合输入'!$C9="","",'组合输入'!$H9*$B418+SQRT(1-'组合输入'!$H9^2)*AL418)</f>
        <v/>
      </c>
      <c r="AN418" s="7">
        <f>IF(AM418="","",NORM.S.DIST(AM418,TRUE))</f>
        <v/>
      </c>
      <c r="AO418" s="13">
        <f>IF(AN418="","",IF(AN418&lt;='组合输入'!$K9,"AAA",IF(AN418&lt;='组合输入'!$L9,"AA",IF(AN418&lt;='组合输入'!$M9,"A",IF(AN418&lt;='组合输入'!$N9,"BBB",IF(AN418&lt;='组合输入'!$O9,"BB",IF(AN418&lt;='组合输入'!$P9,"B",IF(AN418&lt;='组合输入'!$Q9,"CCC","D")))))))</f>
        <v/>
      </c>
      <c r="AP418" s="12">
        <f>IF(AO418="","",INDEX('状态价值'!$D9:$K9,MATCH(AO418,'状态价值'!$D$1:$K$1,0)))</f>
        <v/>
      </c>
      <c r="AQ418" s="15">
        <f>NORM.S.INV(RAND())</f>
        <v/>
      </c>
      <c r="AR418" s="15">
        <f>IF('组合输入'!$C10="","",'组合输入'!$H10*$B418+SQRT(1-'组合输入'!$H10^2)*AQ418)</f>
        <v/>
      </c>
      <c r="AS418" s="7">
        <f>IF(AR418="","",NORM.S.DIST(AR418,TRUE))</f>
        <v/>
      </c>
      <c r="AT418" s="13">
        <f>IF(AS418="","",IF(AS418&lt;='组合输入'!$K10,"AAA",IF(AS418&lt;='组合输入'!$L10,"AA",IF(AS418&lt;='组合输入'!$M10,"A",IF(AS418&lt;='组合输入'!$N10,"BBB",IF(AS418&lt;='组合输入'!$O10,"BB",IF(AS418&lt;='组合输入'!$P10,"B",IF(AS418&lt;='组合输入'!$Q10,"CCC","D")))))))</f>
        <v/>
      </c>
      <c r="AU418" s="12">
        <f>IF(AT418="","",INDEX('状态价值'!$D10:$K10,MATCH(AT418,'状态价值'!$D$1:$K$1,0)))</f>
        <v/>
      </c>
      <c r="AV418" s="15">
        <f>NORM.S.INV(RAND())</f>
        <v/>
      </c>
      <c r="AW418" s="15">
        <f>IF('组合输入'!$C11="","",'组合输入'!$H11*$B418+SQRT(1-'组合输入'!$H11^2)*AV418)</f>
        <v/>
      </c>
      <c r="AX418" s="7">
        <f>IF(AW418="","",NORM.S.DIST(AW418,TRUE))</f>
        <v/>
      </c>
      <c r="AY418" s="13">
        <f>IF(AX418="","",IF(AX418&lt;='组合输入'!$K11,"AAA",IF(AX418&lt;='组合输入'!$L11,"AA",IF(AX418&lt;='组合输入'!$M11,"A",IF(AX418&lt;='组合输入'!$N11,"BBB",IF(AX418&lt;='组合输入'!$O11,"BB",IF(AX418&lt;='组合输入'!$P11,"B",IF(AX418&lt;='组合输入'!$Q11,"CCC","D")))))))</f>
        <v/>
      </c>
      <c r="AZ418" s="12">
        <f>IF(AY418="","",INDEX('状态价值'!$D11:$K11,MATCH(AY418,'状态价值'!$D$1:$K$1,0)))</f>
        <v/>
      </c>
      <c r="BA418" s="12">
        <f>G418+L418+Q418+V418+AA418+AF418+AK418+AP418+AU418+AZ418</f>
        <v/>
      </c>
      <c r="BB418" s="12">
        <f>SUM('组合输入'!$J$2:$J$11)-BA418</f>
        <v/>
      </c>
    </row>
    <row r="419">
      <c r="A419" s="11" t="n">
        <v>418</v>
      </c>
      <c r="B419" s="14">
        <f>NORM.S.INV(RAND())</f>
        <v/>
      </c>
      <c r="C419" s="14">
        <f>NORM.S.INV(RAND())</f>
        <v/>
      </c>
      <c r="D419" s="15">
        <f>IF('组合输入'!$C2="","",'组合输入'!$H2*$B419+SQRT(1-'组合输入'!$H2^2)*C419)</f>
        <v/>
      </c>
      <c r="E419" s="7">
        <f>IF(D419="","",NORM.S.DIST(D419,TRUE))</f>
        <v/>
      </c>
      <c r="F419" s="13">
        <f>IF(E419="","",IF(E419&lt;='组合输入'!$K2,"AAA",IF(E419&lt;='组合输入'!$L2,"AA",IF(E419&lt;='组合输入'!$M2,"A",IF(E419&lt;='组合输入'!$N2,"BBB",IF(E419&lt;='组合输入'!$O2,"BB",IF(E419&lt;='组合输入'!$P2,"B",IF(E419&lt;='组合输入'!$Q2,"CCC","D")))))))</f>
        <v/>
      </c>
      <c r="G419" s="12">
        <f>IF(F419="","",INDEX('状态价值'!$D2:$K2,MATCH(F419,'状态价值'!$D$1:$K$1,0)))</f>
        <v/>
      </c>
      <c r="H419" s="15">
        <f>NORM.S.INV(RAND())</f>
        <v/>
      </c>
      <c r="I419" s="15">
        <f>IF('组合输入'!$C3="","",'组合输入'!$H3*$B419+SQRT(1-'组合输入'!$H3^2)*H419)</f>
        <v/>
      </c>
      <c r="J419" s="7">
        <f>IF(I419="","",NORM.S.DIST(I419,TRUE))</f>
        <v/>
      </c>
      <c r="K419" s="13">
        <f>IF(J419="","",IF(J419&lt;='组合输入'!$K3,"AAA",IF(J419&lt;='组合输入'!$L3,"AA",IF(J419&lt;='组合输入'!$M3,"A",IF(J419&lt;='组合输入'!$N3,"BBB",IF(J419&lt;='组合输入'!$O3,"BB",IF(J419&lt;='组合输入'!$P3,"B",IF(J419&lt;='组合输入'!$Q3,"CCC","D")))))))</f>
        <v/>
      </c>
      <c r="L419" s="12">
        <f>IF(K419="","",INDEX('状态价值'!$D3:$K3,MATCH(K419,'状态价值'!$D$1:$K$1,0)))</f>
        <v/>
      </c>
      <c r="M419" s="15">
        <f>NORM.S.INV(RAND())</f>
        <v/>
      </c>
      <c r="N419" s="15">
        <f>IF('组合输入'!$C4="","",'组合输入'!$H4*$B419+SQRT(1-'组合输入'!$H4^2)*M419)</f>
        <v/>
      </c>
      <c r="O419" s="7">
        <f>IF(N419="","",NORM.S.DIST(N419,TRUE))</f>
        <v/>
      </c>
      <c r="P419" s="13">
        <f>IF(O419="","",IF(O419&lt;='组合输入'!$K4,"AAA",IF(O419&lt;='组合输入'!$L4,"AA",IF(O419&lt;='组合输入'!$M4,"A",IF(O419&lt;='组合输入'!$N4,"BBB",IF(O419&lt;='组合输入'!$O4,"BB",IF(O419&lt;='组合输入'!$P4,"B",IF(O419&lt;='组合输入'!$Q4,"CCC","D")))))))</f>
        <v/>
      </c>
      <c r="Q419" s="12">
        <f>IF(P419="","",INDEX('状态价值'!$D4:$K4,MATCH(P419,'状态价值'!$D$1:$K$1,0)))</f>
        <v/>
      </c>
      <c r="R419" s="15">
        <f>NORM.S.INV(RAND())</f>
        <v/>
      </c>
      <c r="S419" s="15">
        <f>IF('组合输入'!$C5="","",'组合输入'!$H5*$B419+SQRT(1-'组合输入'!$H5^2)*R419)</f>
        <v/>
      </c>
      <c r="T419" s="7">
        <f>IF(S419="","",NORM.S.DIST(S419,TRUE))</f>
        <v/>
      </c>
      <c r="U419" s="13">
        <f>IF(T419="","",IF(T419&lt;='组合输入'!$K5,"AAA",IF(T419&lt;='组合输入'!$L5,"AA",IF(T419&lt;='组合输入'!$M5,"A",IF(T419&lt;='组合输入'!$N5,"BBB",IF(T419&lt;='组合输入'!$O5,"BB",IF(T419&lt;='组合输入'!$P5,"B",IF(T419&lt;='组合输入'!$Q5,"CCC","D")))))))</f>
        <v/>
      </c>
      <c r="V419" s="12">
        <f>IF(U419="","",INDEX('状态价值'!$D5:$K5,MATCH(U419,'状态价值'!$D$1:$K$1,0)))</f>
        <v/>
      </c>
      <c r="W419" s="15">
        <f>NORM.S.INV(RAND())</f>
        <v/>
      </c>
      <c r="X419" s="15">
        <f>IF('组合输入'!$C6="","",'组合输入'!$H6*$B419+SQRT(1-'组合输入'!$H6^2)*W419)</f>
        <v/>
      </c>
      <c r="Y419" s="7">
        <f>IF(X419="","",NORM.S.DIST(X419,TRUE))</f>
        <v/>
      </c>
      <c r="Z419" s="13">
        <f>IF(Y419="","",IF(Y419&lt;='组合输入'!$K6,"AAA",IF(Y419&lt;='组合输入'!$L6,"AA",IF(Y419&lt;='组合输入'!$M6,"A",IF(Y419&lt;='组合输入'!$N6,"BBB",IF(Y419&lt;='组合输入'!$O6,"BB",IF(Y419&lt;='组合输入'!$P6,"B",IF(Y419&lt;='组合输入'!$Q6,"CCC","D")))))))</f>
        <v/>
      </c>
      <c r="AA419" s="12">
        <f>IF(Z419="","",INDEX('状态价值'!$D6:$K6,MATCH(Z419,'状态价值'!$D$1:$K$1,0)))</f>
        <v/>
      </c>
      <c r="AB419" s="15">
        <f>NORM.S.INV(RAND())</f>
        <v/>
      </c>
      <c r="AC419" s="15">
        <f>IF('组合输入'!$C7="","",'组合输入'!$H7*$B419+SQRT(1-'组合输入'!$H7^2)*AB419)</f>
        <v/>
      </c>
      <c r="AD419" s="7">
        <f>IF(AC419="","",NORM.S.DIST(AC419,TRUE))</f>
        <v/>
      </c>
      <c r="AE419" s="13">
        <f>IF(AD419="","",IF(AD419&lt;='组合输入'!$K7,"AAA",IF(AD419&lt;='组合输入'!$L7,"AA",IF(AD419&lt;='组合输入'!$M7,"A",IF(AD419&lt;='组合输入'!$N7,"BBB",IF(AD419&lt;='组合输入'!$O7,"BB",IF(AD419&lt;='组合输入'!$P7,"B",IF(AD419&lt;='组合输入'!$Q7,"CCC","D")))))))</f>
        <v/>
      </c>
      <c r="AF419" s="12">
        <f>IF(AE419="","",INDEX('状态价值'!$D7:$K7,MATCH(AE419,'状态价值'!$D$1:$K$1,0)))</f>
        <v/>
      </c>
      <c r="AG419" s="15">
        <f>NORM.S.INV(RAND())</f>
        <v/>
      </c>
      <c r="AH419" s="15">
        <f>IF('组合输入'!$C8="","",'组合输入'!$H8*$B419+SQRT(1-'组合输入'!$H8^2)*AG419)</f>
        <v/>
      </c>
      <c r="AI419" s="7">
        <f>IF(AH419="","",NORM.S.DIST(AH419,TRUE))</f>
        <v/>
      </c>
      <c r="AJ419" s="13">
        <f>IF(AI419="","",IF(AI419&lt;='组合输入'!$K8,"AAA",IF(AI419&lt;='组合输入'!$L8,"AA",IF(AI419&lt;='组合输入'!$M8,"A",IF(AI419&lt;='组合输入'!$N8,"BBB",IF(AI419&lt;='组合输入'!$O8,"BB",IF(AI419&lt;='组合输入'!$P8,"B",IF(AI419&lt;='组合输入'!$Q8,"CCC","D")))))))</f>
        <v/>
      </c>
      <c r="AK419" s="12">
        <f>IF(AJ419="","",INDEX('状态价值'!$D8:$K8,MATCH(AJ419,'状态价值'!$D$1:$K$1,0)))</f>
        <v/>
      </c>
      <c r="AL419" s="15">
        <f>NORM.S.INV(RAND())</f>
        <v/>
      </c>
      <c r="AM419" s="15">
        <f>IF('组合输入'!$C9="","",'组合输入'!$H9*$B419+SQRT(1-'组合输入'!$H9^2)*AL419)</f>
        <v/>
      </c>
      <c r="AN419" s="7">
        <f>IF(AM419="","",NORM.S.DIST(AM419,TRUE))</f>
        <v/>
      </c>
      <c r="AO419" s="13">
        <f>IF(AN419="","",IF(AN419&lt;='组合输入'!$K9,"AAA",IF(AN419&lt;='组合输入'!$L9,"AA",IF(AN419&lt;='组合输入'!$M9,"A",IF(AN419&lt;='组合输入'!$N9,"BBB",IF(AN419&lt;='组合输入'!$O9,"BB",IF(AN419&lt;='组合输入'!$P9,"B",IF(AN419&lt;='组合输入'!$Q9,"CCC","D")))))))</f>
        <v/>
      </c>
      <c r="AP419" s="12">
        <f>IF(AO419="","",INDEX('状态价值'!$D9:$K9,MATCH(AO419,'状态价值'!$D$1:$K$1,0)))</f>
        <v/>
      </c>
      <c r="AQ419" s="15">
        <f>NORM.S.INV(RAND())</f>
        <v/>
      </c>
      <c r="AR419" s="15">
        <f>IF('组合输入'!$C10="","",'组合输入'!$H10*$B419+SQRT(1-'组合输入'!$H10^2)*AQ419)</f>
        <v/>
      </c>
      <c r="AS419" s="7">
        <f>IF(AR419="","",NORM.S.DIST(AR419,TRUE))</f>
        <v/>
      </c>
      <c r="AT419" s="13">
        <f>IF(AS419="","",IF(AS419&lt;='组合输入'!$K10,"AAA",IF(AS419&lt;='组合输入'!$L10,"AA",IF(AS419&lt;='组合输入'!$M10,"A",IF(AS419&lt;='组合输入'!$N10,"BBB",IF(AS419&lt;='组合输入'!$O10,"BB",IF(AS419&lt;='组合输入'!$P10,"B",IF(AS419&lt;='组合输入'!$Q10,"CCC","D")))))))</f>
        <v/>
      </c>
      <c r="AU419" s="12">
        <f>IF(AT419="","",INDEX('状态价值'!$D10:$K10,MATCH(AT419,'状态价值'!$D$1:$K$1,0)))</f>
        <v/>
      </c>
      <c r="AV419" s="15">
        <f>NORM.S.INV(RAND())</f>
        <v/>
      </c>
      <c r="AW419" s="15">
        <f>IF('组合输入'!$C11="","",'组合输入'!$H11*$B419+SQRT(1-'组合输入'!$H11^2)*AV419)</f>
        <v/>
      </c>
      <c r="AX419" s="7">
        <f>IF(AW419="","",NORM.S.DIST(AW419,TRUE))</f>
        <v/>
      </c>
      <c r="AY419" s="13">
        <f>IF(AX419="","",IF(AX419&lt;='组合输入'!$K11,"AAA",IF(AX419&lt;='组合输入'!$L11,"AA",IF(AX419&lt;='组合输入'!$M11,"A",IF(AX419&lt;='组合输入'!$N11,"BBB",IF(AX419&lt;='组合输入'!$O11,"BB",IF(AX419&lt;='组合输入'!$P11,"B",IF(AX419&lt;='组合输入'!$Q11,"CCC","D")))))))</f>
        <v/>
      </c>
      <c r="AZ419" s="12">
        <f>IF(AY419="","",INDEX('状态价值'!$D11:$K11,MATCH(AY419,'状态价值'!$D$1:$K$1,0)))</f>
        <v/>
      </c>
      <c r="BA419" s="12">
        <f>G419+L419+Q419+V419+AA419+AF419+AK419+AP419+AU419+AZ419</f>
        <v/>
      </c>
      <c r="BB419" s="12">
        <f>SUM('组合输入'!$J$2:$J$11)-BA419</f>
        <v/>
      </c>
    </row>
    <row r="420">
      <c r="A420" s="11" t="n">
        <v>419</v>
      </c>
      <c r="B420" s="14">
        <f>NORM.S.INV(RAND())</f>
        <v/>
      </c>
      <c r="C420" s="14">
        <f>NORM.S.INV(RAND())</f>
        <v/>
      </c>
      <c r="D420" s="15">
        <f>IF('组合输入'!$C2="","",'组合输入'!$H2*$B420+SQRT(1-'组合输入'!$H2^2)*C420)</f>
        <v/>
      </c>
      <c r="E420" s="7">
        <f>IF(D420="","",NORM.S.DIST(D420,TRUE))</f>
        <v/>
      </c>
      <c r="F420" s="13">
        <f>IF(E420="","",IF(E420&lt;='组合输入'!$K2,"AAA",IF(E420&lt;='组合输入'!$L2,"AA",IF(E420&lt;='组合输入'!$M2,"A",IF(E420&lt;='组合输入'!$N2,"BBB",IF(E420&lt;='组合输入'!$O2,"BB",IF(E420&lt;='组合输入'!$P2,"B",IF(E420&lt;='组合输入'!$Q2,"CCC","D")))))))</f>
        <v/>
      </c>
      <c r="G420" s="12">
        <f>IF(F420="","",INDEX('状态价值'!$D2:$K2,MATCH(F420,'状态价值'!$D$1:$K$1,0)))</f>
        <v/>
      </c>
      <c r="H420" s="15">
        <f>NORM.S.INV(RAND())</f>
        <v/>
      </c>
      <c r="I420" s="15">
        <f>IF('组合输入'!$C3="","",'组合输入'!$H3*$B420+SQRT(1-'组合输入'!$H3^2)*H420)</f>
        <v/>
      </c>
      <c r="J420" s="7">
        <f>IF(I420="","",NORM.S.DIST(I420,TRUE))</f>
        <v/>
      </c>
      <c r="K420" s="13">
        <f>IF(J420="","",IF(J420&lt;='组合输入'!$K3,"AAA",IF(J420&lt;='组合输入'!$L3,"AA",IF(J420&lt;='组合输入'!$M3,"A",IF(J420&lt;='组合输入'!$N3,"BBB",IF(J420&lt;='组合输入'!$O3,"BB",IF(J420&lt;='组合输入'!$P3,"B",IF(J420&lt;='组合输入'!$Q3,"CCC","D")))))))</f>
        <v/>
      </c>
      <c r="L420" s="12">
        <f>IF(K420="","",INDEX('状态价值'!$D3:$K3,MATCH(K420,'状态价值'!$D$1:$K$1,0)))</f>
        <v/>
      </c>
      <c r="M420" s="15">
        <f>NORM.S.INV(RAND())</f>
        <v/>
      </c>
      <c r="N420" s="15">
        <f>IF('组合输入'!$C4="","",'组合输入'!$H4*$B420+SQRT(1-'组合输入'!$H4^2)*M420)</f>
        <v/>
      </c>
      <c r="O420" s="7">
        <f>IF(N420="","",NORM.S.DIST(N420,TRUE))</f>
        <v/>
      </c>
      <c r="P420" s="13">
        <f>IF(O420="","",IF(O420&lt;='组合输入'!$K4,"AAA",IF(O420&lt;='组合输入'!$L4,"AA",IF(O420&lt;='组合输入'!$M4,"A",IF(O420&lt;='组合输入'!$N4,"BBB",IF(O420&lt;='组合输入'!$O4,"BB",IF(O420&lt;='组合输入'!$P4,"B",IF(O420&lt;='组合输入'!$Q4,"CCC","D")))))))</f>
        <v/>
      </c>
      <c r="Q420" s="12">
        <f>IF(P420="","",INDEX('状态价值'!$D4:$K4,MATCH(P420,'状态价值'!$D$1:$K$1,0)))</f>
        <v/>
      </c>
      <c r="R420" s="15">
        <f>NORM.S.INV(RAND())</f>
        <v/>
      </c>
      <c r="S420" s="15">
        <f>IF('组合输入'!$C5="","",'组合输入'!$H5*$B420+SQRT(1-'组合输入'!$H5^2)*R420)</f>
        <v/>
      </c>
      <c r="T420" s="7">
        <f>IF(S420="","",NORM.S.DIST(S420,TRUE))</f>
        <v/>
      </c>
      <c r="U420" s="13">
        <f>IF(T420="","",IF(T420&lt;='组合输入'!$K5,"AAA",IF(T420&lt;='组合输入'!$L5,"AA",IF(T420&lt;='组合输入'!$M5,"A",IF(T420&lt;='组合输入'!$N5,"BBB",IF(T420&lt;='组合输入'!$O5,"BB",IF(T420&lt;='组合输入'!$P5,"B",IF(T420&lt;='组合输入'!$Q5,"CCC","D")))))))</f>
        <v/>
      </c>
      <c r="V420" s="12">
        <f>IF(U420="","",INDEX('状态价值'!$D5:$K5,MATCH(U420,'状态价值'!$D$1:$K$1,0)))</f>
        <v/>
      </c>
      <c r="W420" s="15">
        <f>NORM.S.INV(RAND())</f>
        <v/>
      </c>
      <c r="X420" s="15">
        <f>IF('组合输入'!$C6="","",'组合输入'!$H6*$B420+SQRT(1-'组合输入'!$H6^2)*W420)</f>
        <v/>
      </c>
      <c r="Y420" s="7">
        <f>IF(X420="","",NORM.S.DIST(X420,TRUE))</f>
        <v/>
      </c>
      <c r="Z420" s="13">
        <f>IF(Y420="","",IF(Y420&lt;='组合输入'!$K6,"AAA",IF(Y420&lt;='组合输入'!$L6,"AA",IF(Y420&lt;='组合输入'!$M6,"A",IF(Y420&lt;='组合输入'!$N6,"BBB",IF(Y420&lt;='组合输入'!$O6,"BB",IF(Y420&lt;='组合输入'!$P6,"B",IF(Y420&lt;='组合输入'!$Q6,"CCC","D")))))))</f>
        <v/>
      </c>
      <c r="AA420" s="12">
        <f>IF(Z420="","",INDEX('状态价值'!$D6:$K6,MATCH(Z420,'状态价值'!$D$1:$K$1,0)))</f>
        <v/>
      </c>
      <c r="AB420" s="15">
        <f>NORM.S.INV(RAND())</f>
        <v/>
      </c>
      <c r="AC420" s="15">
        <f>IF('组合输入'!$C7="","",'组合输入'!$H7*$B420+SQRT(1-'组合输入'!$H7^2)*AB420)</f>
        <v/>
      </c>
      <c r="AD420" s="7">
        <f>IF(AC420="","",NORM.S.DIST(AC420,TRUE))</f>
        <v/>
      </c>
      <c r="AE420" s="13">
        <f>IF(AD420="","",IF(AD420&lt;='组合输入'!$K7,"AAA",IF(AD420&lt;='组合输入'!$L7,"AA",IF(AD420&lt;='组合输入'!$M7,"A",IF(AD420&lt;='组合输入'!$N7,"BBB",IF(AD420&lt;='组合输入'!$O7,"BB",IF(AD420&lt;='组合输入'!$P7,"B",IF(AD420&lt;='组合输入'!$Q7,"CCC","D")))))))</f>
        <v/>
      </c>
      <c r="AF420" s="12">
        <f>IF(AE420="","",INDEX('状态价值'!$D7:$K7,MATCH(AE420,'状态价值'!$D$1:$K$1,0)))</f>
        <v/>
      </c>
      <c r="AG420" s="15">
        <f>NORM.S.INV(RAND())</f>
        <v/>
      </c>
      <c r="AH420" s="15">
        <f>IF('组合输入'!$C8="","",'组合输入'!$H8*$B420+SQRT(1-'组合输入'!$H8^2)*AG420)</f>
        <v/>
      </c>
      <c r="AI420" s="7">
        <f>IF(AH420="","",NORM.S.DIST(AH420,TRUE))</f>
        <v/>
      </c>
      <c r="AJ420" s="13">
        <f>IF(AI420="","",IF(AI420&lt;='组合输入'!$K8,"AAA",IF(AI420&lt;='组合输入'!$L8,"AA",IF(AI420&lt;='组合输入'!$M8,"A",IF(AI420&lt;='组合输入'!$N8,"BBB",IF(AI420&lt;='组合输入'!$O8,"BB",IF(AI420&lt;='组合输入'!$P8,"B",IF(AI420&lt;='组合输入'!$Q8,"CCC","D")))))))</f>
        <v/>
      </c>
      <c r="AK420" s="12">
        <f>IF(AJ420="","",INDEX('状态价值'!$D8:$K8,MATCH(AJ420,'状态价值'!$D$1:$K$1,0)))</f>
        <v/>
      </c>
      <c r="AL420" s="15">
        <f>NORM.S.INV(RAND())</f>
        <v/>
      </c>
      <c r="AM420" s="15">
        <f>IF('组合输入'!$C9="","",'组合输入'!$H9*$B420+SQRT(1-'组合输入'!$H9^2)*AL420)</f>
        <v/>
      </c>
      <c r="AN420" s="7">
        <f>IF(AM420="","",NORM.S.DIST(AM420,TRUE))</f>
        <v/>
      </c>
      <c r="AO420" s="13">
        <f>IF(AN420="","",IF(AN420&lt;='组合输入'!$K9,"AAA",IF(AN420&lt;='组合输入'!$L9,"AA",IF(AN420&lt;='组合输入'!$M9,"A",IF(AN420&lt;='组合输入'!$N9,"BBB",IF(AN420&lt;='组合输入'!$O9,"BB",IF(AN420&lt;='组合输入'!$P9,"B",IF(AN420&lt;='组合输入'!$Q9,"CCC","D")))))))</f>
        <v/>
      </c>
      <c r="AP420" s="12">
        <f>IF(AO420="","",INDEX('状态价值'!$D9:$K9,MATCH(AO420,'状态价值'!$D$1:$K$1,0)))</f>
        <v/>
      </c>
      <c r="AQ420" s="15">
        <f>NORM.S.INV(RAND())</f>
        <v/>
      </c>
      <c r="AR420" s="15">
        <f>IF('组合输入'!$C10="","",'组合输入'!$H10*$B420+SQRT(1-'组合输入'!$H10^2)*AQ420)</f>
        <v/>
      </c>
      <c r="AS420" s="7">
        <f>IF(AR420="","",NORM.S.DIST(AR420,TRUE))</f>
        <v/>
      </c>
      <c r="AT420" s="13">
        <f>IF(AS420="","",IF(AS420&lt;='组合输入'!$K10,"AAA",IF(AS420&lt;='组合输入'!$L10,"AA",IF(AS420&lt;='组合输入'!$M10,"A",IF(AS420&lt;='组合输入'!$N10,"BBB",IF(AS420&lt;='组合输入'!$O10,"BB",IF(AS420&lt;='组合输入'!$P10,"B",IF(AS420&lt;='组合输入'!$Q10,"CCC","D")))))))</f>
        <v/>
      </c>
      <c r="AU420" s="12">
        <f>IF(AT420="","",INDEX('状态价值'!$D10:$K10,MATCH(AT420,'状态价值'!$D$1:$K$1,0)))</f>
        <v/>
      </c>
      <c r="AV420" s="15">
        <f>NORM.S.INV(RAND())</f>
        <v/>
      </c>
      <c r="AW420" s="15">
        <f>IF('组合输入'!$C11="","",'组合输入'!$H11*$B420+SQRT(1-'组合输入'!$H11^2)*AV420)</f>
        <v/>
      </c>
      <c r="AX420" s="7">
        <f>IF(AW420="","",NORM.S.DIST(AW420,TRUE))</f>
        <v/>
      </c>
      <c r="AY420" s="13">
        <f>IF(AX420="","",IF(AX420&lt;='组合输入'!$K11,"AAA",IF(AX420&lt;='组合输入'!$L11,"AA",IF(AX420&lt;='组合输入'!$M11,"A",IF(AX420&lt;='组合输入'!$N11,"BBB",IF(AX420&lt;='组合输入'!$O11,"BB",IF(AX420&lt;='组合输入'!$P11,"B",IF(AX420&lt;='组合输入'!$Q11,"CCC","D")))))))</f>
        <v/>
      </c>
      <c r="AZ420" s="12">
        <f>IF(AY420="","",INDEX('状态价值'!$D11:$K11,MATCH(AY420,'状态价值'!$D$1:$K$1,0)))</f>
        <v/>
      </c>
      <c r="BA420" s="12">
        <f>G420+L420+Q420+V420+AA420+AF420+AK420+AP420+AU420+AZ420</f>
        <v/>
      </c>
      <c r="BB420" s="12">
        <f>SUM('组合输入'!$J$2:$J$11)-BA420</f>
        <v/>
      </c>
    </row>
    <row r="421">
      <c r="A421" s="11" t="n">
        <v>420</v>
      </c>
      <c r="B421" s="14">
        <f>NORM.S.INV(RAND())</f>
        <v/>
      </c>
      <c r="C421" s="14">
        <f>NORM.S.INV(RAND())</f>
        <v/>
      </c>
      <c r="D421" s="15">
        <f>IF('组合输入'!$C2="","",'组合输入'!$H2*$B421+SQRT(1-'组合输入'!$H2^2)*C421)</f>
        <v/>
      </c>
      <c r="E421" s="7">
        <f>IF(D421="","",NORM.S.DIST(D421,TRUE))</f>
        <v/>
      </c>
      <c r="F421" s="13">
        <f>IF(E421="","",IF(E421&lt;='组合输入'!$K2,"AAA",IF(E421&lt;='组合输入'!$L2,"AA",IF(E421&lt;='组合输入'!$M2,"A",IF(E421&lt;='组合输入'!$N2,"BBB",IF(E421&lt;='组合输入'!$O2,"BB",IF(E421&lt;='组合输入'!$P2,"B",IF(E421&lt;='组合输入'!$Q2,"CCC","D")))))))</f>
        <v/>
      </c>
      <c r="G421" s="12">
        <f>IF(F421="","",INDEX('状态价值'!$D2:$K2,MATCH(F421,'状态价值'!$D$1:$K$1,0)))</f>
        <v/>
      </c>
      <c r="H421" s="15">
        <f>NORM.S.INV(RAND())</f>
        <v/>
      </c>
      <c r="I421" s="15">
        <f>IF('组合输入'!$C3="","",'组合输入'!$H3*$B421+SQRT(1-'组合输入'!$H3^2)*H421)</f>
        <v/>
      </c>
      <c r="J421" s="7">
        <f>IF(I421="","",NORM.S.DIST(I421,TRUE))</f>
        <v/>
      </c>
      <c r="K421" s="13">
        <f>IF(J421="","",IF(J421&lt;='组合输入'!$K3,"AAA",IF(J421&lt;='组合输入'!$L3,"AA",IF(J421&lt;='组合输入'!$M3,"A",IF(J421&lt;='组合输入'!$N3,"BBB",IF(J421&lt;='组合输入'!$O3,"BB",IF(J421&lt;='组合输入'!$P3,"B",IF(J421&lt;='组合输入'!$Q3,"CCC","D")))))))</f>
        <v/>
      </c>
      <c r="L421" s="12">
        <f>IF(K421="","",INDEX('状态价值'!$D3:$K3,MATCH(K421,'状态价值'!$D$1:$K$1,0)))</f>
        <v/>
      </c>
      <c r="M421" s="15">
        <f>NORM.S.INV(RAND())</f>
        <v/>
      </c>
      <c r="N421" s="15">
        <f>IF('组合输入'!$C4="","",'组合输入'!$H4*$B421+SQRT(1-'组合输入'!$H4^2)*M421)</f>
        <v/>
      </c>
      <c r="O421" s="7">
        <f>IF(N421="","",NORM.S.DIST(N421,TRUE))</f>
        <v/>
      </c>
      <c r="P421" s="13">
        <f>IF(O421="","",IF(O421&lt;='组合输入'!$K4,"AAA",IF(O421&lt;='组合输入'!$L4,"AA",IF(O421&lt;='组合输入'!$M4,"A",IF(O421&lt;='组合输入'!$N4,"BBB",IF(O421&lt;='组合输入'!$O4,"BB",IF(O421&lt;='组合输入'!$P4,"B",IF(O421&lt;='组合输入'!$Q4,"CCC","D")))))))</f>
        <v/>
      </c>
      <c r="Q421" s="12">
        <f>IF(P421="","",INDEX('状态价值'!$D4:$K4,MATCH(P421,'状态价值'!$D$1:$K$1,0)))</f>
        <v/>
      </c>
      <c r="R421" s="15">
        <f>NORM.S.INV(RAND())</f>
        <v/>
      </c>
      <c r="S421" s="15">
        <f>IF('组合输入'!$C5="","",'组合输入'!$H5*$B421+SQRT(1-'组合输入'!$H5^2)*R421)</f>
        <v/>
      </c>
      <c r="T421" s="7">
        <f>IF(S421="","",NORM.S.DIST(S421,TRUE))</f>
        <v/>
      </c>
      <c r="U421" s="13">
        <f>IF(T421="","",IF(T421&lt;='组合输入'!$K5,"AAA",IF(T421&lt;='组合输入'!$L5,"AA",IF(T421&lt;='组合输入'!$M5,"A",IF(T421&lt;='组合输入'!$N5,"BBB",IF(T421&lt;='组合输入'!$O5,"BB",IF(T421&lt;='组合输入'!$P5,"B",IF(T421&lt;='组合输入'!$Q5,"CCC","D")))))))</f>
        <v/>
      </c>
      <c r="V421" s="12">
        <f>IF(U421="","",INDEX('状态价值'!$D5:$K5,MATCH(U421,'状态价值'!$D$1:$K$1,0)))</f>
        <v/>
      </c>
      <c r="W421" s="15">
        <f>NORM.S.INV(RAND())</f>
        <v/>
      </c>
      <c r="X421" s="15">
        <f>IF('组合输入'!$C6="","",'组合输入'!$H6*$B421+SQRT(1-'组合输入'!$H6^2)*W421)</f>
        <v/>
      </c>
      <c r="Y421" s="7">
        <f>IF(X421="","",NORM.S.DIST(X421,TRUE))</f>
        <v/>
      </c>
      <c r="Z421" s="13">
        <f>IF(Y421="","",IF(Y421&lt;='组合输入'!$K6,"AAA",IF(Y421&lt;='组合输入'!$L6,"AA",IF(Y421&lt;='组合输入'!$M6,"A",IF(Y421&lt;='组合输入'!$N6,"BBB",IF(Y421&lt;='组合输入'!$O6,"BB",IF(Y421&lt;='组合输入'!$P6,"B",IF(Y421&lt;='组合输入'!$Q6,"CCC","D")))))))</f>
        <v/>
      </c>
      <c r="AA421" s="12">
        <f>IF(Z421="","",INDEX('状态价值'!$D6:$K6,MATCH(Z421,'状态价值'!$D$1:$K$1,0)))</f>
        <v/>
      </c>
      <c r="AB421" s="15">
        <f>NORM.S.INV(RAND())</f>
        <v/>
      </c>
      <c r="AC421" s="15">
        <f>IF('组合输入'!$C7="","",'组合输入'!$H7*$B421+SQRT(1-'组合输入'!$H7^2)*AB421)</f>
        <v/>
      </c>
      <c r="AD421" s="7">
        <f>IF(AC421="","",NORM.S.DIST(AC421,TRUE))</f>
        <v/>
      </c>
      <c r="AE421" s="13">
        <f>IF(AD421="","",IF(AD421&lt;='组合输入'!$K7,"AAA",IF(AD421&lt;='组合输入'!$L7,"AA",IF(AD421&lt;='组合输入'!$M7,"A",IF(AD421&lt;='组合输入'!$N7,"BBB",IF(AD421&lt;='组合输入'!$O7,"BB",IF(AD421&lt;='组合输入'!$P7,"B",IF(AD421&lt;='组合输入'!$Q7,"CCC","D")))))))</f>
        <v/>
      </c>
      <c r="AF421" s="12">
        <f>IF(AE421="","",INDEX('状态价值'!$D7:$K7,MATCH(AE421,'状态价值'!$D$1:$K$1,0)))</f>
        <v/>
      </c>
      <c r="AG421" s="15">
        <f>NORM.S.INV(RAND())</f>
        <v/>
      </c>
      <c r="AH421" s="15">
        <f>IF('组合输入'!$C8="","",'组合输入'!$H8*$B421+SQRT(1-'组合输入'!$H8^2)*AG421)</f>
        <v/>
      </c>
      <c r="AI421" s="7">
        <f>IF(AH421="","",NORM.S.DIST(AH421,TRUE))</f>
        <v/>
      </c>
      <c r="AJ421" s="13">
        <f>IF(AI421="","",IF(AI421&lt;='组合输入'!$K8,"AAA",IF(AI421&lt;='组合输入'!$L8,"AA",IF(AI421&lt;='组合输入'!$M8,"A",IF(AI421&lt;='组合输入'!$N8,"BBB",IF(AI421&lt;='组合输入'!$O8,"BB",IF(AI421&lt;='组合输入'!$P8,"B",IF(AI421&lt;='组合输入'!$Q8,"CCC","D")))))))</f>
        <v/>
      </c>
      <c r="AK421" s="12">
        <f>IF(AJ421="","",INDEX('状态价值'!$D8:$K8,MATCH(AJ421,'状态价值'!$D$1:$K$1,0)))</f>
        <v/>
      </c>
      <c r="AL421" s="15">
        <f>NORM.S.INV(RAND())</f>
        <v/>
      </c>
      <c r="AM421" s="15">
        <f>IF('组合输入'!$C9="","",'组合输入'!$H9*$B421+SQRT(1-'组合输入'!$H9^2)*AL421)</f>
        <v/>
      </c>
      <c r="AN421" s="7">
        <f>IF(AM421="","",NORM.S.DIST(AM421,TRUE))</f>
        <v/>
      </c>
      <c r="AO421" s="13">
        <f>IF(AN421="","",IF(AN421&lt;='组合输入'!$K9,"AAA",IF(AN421&lt;='组合输入'!$L9,"AA",IF(AN421&lt;='组合输入'!$M9,"A",IF(AN421&lt;='组合输入'!$N9,"BBB",IF(AN421&lt;='组合输入'!$O9,"BB",IF(AN421&lt;='组合输入'!$P9,"B",IF(AN421&lt;='组合输入'!$Q9,"CCC","D")))))))</f>
        <v/>
      </c>
      <c r="AP421" s="12">
        <f>IF(AO421="","",INDEX('状态价值'!$D9:$K9,MATCH(AO421,'状态价值'!$D$1:$K$1,0)))</f>
        <v/>
      </c>
      <c r="AQ421" s="15">
        <f>NORM.S.INV(RAND())</f>
        <v/>
      </c>
      <c r="AR421" s="15">
        <f>IF('组合输入'!$C10="","",'组合输入'!$H10*$B421+SQRT(1-'组合输入'!$H10^2)*AQ421)</f>
        <v/>
      </c>
      <c r="AS421" s="7">
        <f>IF(AR421="","",NORM.S.DIST(AR421,TRUE))</f>
        <v/>
      </c>
      <c r="AT421" s="13">
        <f>IF(AS421="","",IF(AS421&lt;='组合输入'!$K10,"AAA",IF(AS421&lt;='组合输入'!$L10,"AA",IF(AS421&lt;='组合输入'!$M10,"A",IF(AS421&lt;='组合输入'!$N10,"BBB",IF(AS421&lt;='组合输入'!$O10,"BB",IF(AS421&lt;='组合输入'!$P10,"B",IF(AS421&lt;='组合输入'!$Q10,"CCC","D")))))))</f>
        <v/>
      </c>
      <c r="AU421" s="12">
        <f>IF(AT421="","",INDEX('状态价值'!$D10:$K10,MATCH(AT421,'状态价值'!$D$1:$K$1,0)))</f>
        <v/>
      </c>
      <c r="AV421" s="15">
        <f>NORM.S.INV(RAND())</f>
        <v/>
      </c>
      <c r="AW421" s="15">
        <f>IF('组合输入'!$C11="","",'组合输入'!$H11*$B421+SQRT(1-'组合输入'!$H11^2)*AV421)</f>
        <v/>
      </c>
      <c r="AX421" s="7">
        <f>IF(AW421="","",NORM.S.DIST(AW421,TRUE))</f>
        <v/>
      </c>
      <c r="AY421" s="13">
        <f>IF(AX421="","",IF(AX421&lt;='组合输入'!$K11,"AAA",IF(AX421&lt;='组合输入'!$L11,"AA",IF(AX421&lt;='组合输入'!$M11,"A",IF(AX421&lt;='组合输入'!$N11,"BBB",IF(AX421&lt;='组合输入'!$O11,"BB",IF(AX421&lt;='组合输入'!$P11,"B",IF(AX421&lt;='组合输入'!$Q11,"CCC","D")))))))</f>
        <v/>
      </c>
      <c r="AZ421" s="12">
        <f>IF(AY421="","",INDEX('状态价值'!$D11:$K11,MATCH(AY421,'状态价值'!$D$1:$K$1,0)))</f>
        <v/>
      </c>
      <c r="BA421" s="12">
        <f>G421+L421+Q421+V421+AA421+AF421+AK421+AP421+AU421+AZ421</f>
        <v/>
      </c>
      <c r="BB421" s="12">
        <f>SUM('组合输入'!$J$2:$J$11)-BA421</f>
        <v/>
      </c>
    </row>
    <row r="422">
      <c r="A422" s="11" t="n">
        <v>421</v>
      </c>
      <c r="B422" s="14">
        <f>NORM.S.INV(RAND())</f>
        <v/>
      </c>
      <c r="C422" s="14">
        <f>NORM.S.INV(RAND())</f>
        <v/>
      </c>
      <c r="D422" s="15">
        <f>IF('组合输入'!$C2="","",'组合输入'!$H2*$B422+SQRT(1-'组合输入'!$H2^2)*C422)</f>
        <v/>
      </c>
      <c r="E422" s="7">
        <f>IF(D422="","",NORM.S.DIST(D422,TRUE))</f>
        <v/>
      </c>
      <c r="F422" s="13">
        <f>IF(E422="","",IF(E422&lt;='组合输入'!$K2,"AAA",IF(E422&lt;='组合输入'!$L2,"AA",IF(E422&lt;='组合输入'!$M2,"A",IF(E422&lt;='组合输入'!$N2,"BBB",IF(E422&lt;='组合输入'!$O2,"BB",IF(E422&lt;='组合输入'!$P2,"B",IF(E422&lt;='组合输入'!$Q2,"CCC","D")))))))</f>
        <v/>
      </c>
      <c r="G422" s="12">
        <f>IF(F422="","",INDEX('状态价值'!$D2:$K2,MATCH(F422,'状态价值'!$D$1:$K$1,0)))</f>
        <v/>
      </c>
      <c r="H422" s="15">
        <f>NORM.S.INV(RAND())</f>
        <v/>
      </c>
      <c r="I422" s="15">
        <f>IF('组合输入'!$C3="","",'组合输入'!$H3*$B422+SQRT(1-'组合输入'!$H3^2)*H422)</f>
        <v/>
      </c>
      <c r="J422" s="7">
        <f>IF(I422="","",NORM.S.DIST(I422,TRUE))</f>
        <v/>
      </c>
      <c r="K422" s="13">
        <f>IF(J422="","",IF(J422&lt;='组合输入'!$K3,"AAA",IF(J422&lt;='组合输入'!$L3,"AA",IF(J422&lt;='组合输入'!$M3,"A",IF(J422&lt;='组合输入'!$N3,"BBB",IF(J422&lt;='组合输入'!$O3,"BB",IF(J422&lt;='组合输入'!$P3,"B",IF(J422&lt;='组合输入'!$Q3,"CCC","D")))))))</f>
        <v/>
      </c>
      <c r="L422" s="12">
        <f>IF(K422="","",INDEX('状态价值'!$D3:$K3,MATCH(K422,'状态价值'!$D$1:$K$1,0)))</f>
        <v/>
      </c>
      <c r="M422" s="15">
        <f>NORM.S.INV(RAND())</f>
        <v/>
      </c>
      <c r="N422" s="15">
        <f>IF('组合输入'!$C4="","",'组合输入'!$H4*$B422+SQRT(1-'组合输入'!$H4^2)*M422)</f>
        <v/>
      </c>
      <c r="O422" s="7">
        <f>IF(N422="","",NORM.S.DIST(N422,TRUE))</f>
        <v/>
      </c>
      <c r="P422" s="13">
        <f>IF(O422="","",IF(O422&lt;='组合输入'!$K4,"AAA",IF(O422&lt;='组合输入'!$L4,"AA",IF(O422&lt;='组合输入'!$M4,"A",IF(O422&lt;='组合输入'!$N4,"BBB",IF(O422&lt;='组合输入'!$O4,"BB",IF(O422&lt;='组合输入'!$P4,"B",IF(O422&lt;='组合输入'!$Q4,"CCC","D")))))))</f>
        <v/>
      </c>
      <c r="Q422" s="12">
        <f>IF(P422="","",INDEX('状态价值'!$D4:$K4,MATCH(P422,'状态价值'!$D$1:$K$1,0)))</f>
        <v/>
      </c>
      <c r="R422" s="15">
        <f>NORM.S.INV(RAND())</f>
        <v/>
      </c>
      <c r="S422" s="15">
        <f>IF('组合输入'!$C5="","",'组合输入'!$H5*$B422+SQRT(1-'组合输入'!$H5^2)*R422)</f>
        <v/>
      </c>
      <c r="T422" s="7">
        <f>IF(S422="","",NORM.S.DIST(S422,TRUE))</f>
        <v/>
      </c>
      <c r="U422" s="13">
        <f>IF(T422="","",IF(T422&lt;='组合输入'!$K5,"AAA",IF(T422&lt;='组合输入'!$L5,"AA",IF(T422&lt;='组合输入'!$M5,"A",IF(T422&lt;='组合输入'!$N5,"BBB",IF(T422&lt;='组合输入'!$O5,"BB",IF(T422&lt;='组合输入'!$P5,"B",IF(T422&lt;='组合输入'!$Q5,"CCC","D")))))))</f>
        <v/>
      </c>
      <c r="V422" s="12">
        <f>IF(U422="","",INDEX('状态价值'!$D5:$K5,MATCH(U422,'状态价值'!$D$1:$K$1,0)))</f>
        <v/>
      </c>
      <c r="W422" s="15">
        <f>NORM.S.INV(RAND())</f>
        <v/>
      </c>
      <c r="X422" s="15">
        <f>IF('组合输入'!$C6="","",'组合输入'!$H6*$B422+SQRT(1-'组合输入'!$H6^2)*W422)</f>
        <v/>
      </c>
      <c r="Y422" s="7">
        <f>IF(X422="","",NORM.S.DIST(X422,TRUE))</f>
        <v/>
      </c>
      <c r="Z422" s="13">
        <f>IF(Y422="","",IF(Y422&lt;='组合输入'!$K6,"AAA",IF(Y422&lt;='组合输入'!$L6,"AA",IF(Y422&lt;='组合输入'!$M6,"A",IF(Y422&lt;='组合输入'!$N6,"BBB",IF(Y422&lt;='组合输入'!$O6,"BB",IF(Y422&lt;='组合输入'!$P6,"B",IF(Y422&lt;='组合输入'!$Q6,"CCC","D")))))))</f>
        <v/>
      </c>
      <c r="AA422" s="12">
        <f>IF(Z422="","",INDEX('状态价值'!$D6:$K6,MATCH(Z422,'状态价值'!$D$1:$K$1,0)))</f>
        <v/>
      </c>
      <c r="AB422" s="15">
        <f>NORM.S.INV(RAND())</f>
        <v/>
      </c>
      <c r="AC422" s="15">
        <f>IF('组合输入'!$C7="","",'组合输入'!$H7*$B422+SQRT(1-'组合输入'!$H7^2)*AB422)</f>
        <v/>
      </c>
      <c r="AD422" s="7">
        <f>IF(AC422="","",NORM.S.DIST(AC422,TRUE))</f>
        <v/>
      </c>
      <c r="AE422" s="13">
        <f>IF(AD422="","",IF(AD422&lt;='组合输入'!$K7,"AAA",IF(AD422&lt;='组合输入'!$L7,"AA",IF(AD422&lt;='组合输入'!$M7,"A",IF(AD422&lt;='组合输入'!$N7,"BBB",IF(AD422&lt;='组合输入'!$O7,"BB",IF(AD422&lt;='组合输入'!$P7,"B",IF(AD422&lt;='组合输入'!$Q7,"CCC","D")))))))</f>
        <v/>
      </c>
      <c r="AF422" s="12">
        <f>IF(AE422="","",INDEX('状态价值'!$D7:$K7,MATCH(AE422,'状态价值'!$D$1:$K$1,0)))</f>
        <v/>
      </c>
      <c r="AG422" s="15">
        <f>NORM.S.INV(RAND())</f>
        <v/>
      </c>
      <c r="AH422" s="15">
        <f>IF('组合输入'!$C8="","",'组合输入'!$H8*$B422+SQRT(1-'组合输入'!$H8^2)*AG422)</f>
        <v/>
      </c>
      <c r="AI422" s="7">
        <f>IF(AH422="","",NORM.S.DIST(AH422,TRUE))</f>
        <v/>
      </c>
      <c r="AJ422" s="13">
        <f>IF(AI422="","",IF(AI422&lt;='组合输入'!$K8,"AAA",IF(AI422&lt;='组合输入'!$L8,"AA",IF(AI422&lt;='组合输入'!$M8,"A",IF(AI422&lt;='组合输入'!$N8,"BBB",IF(AI422&lt;='组合输入'!$O8,"BB",IF(AI422&lt;='组合输入'!$P8,"B",IF(AI422&lt;='组合输入'!$Q8,"CCC","D")))))))</f>
        <v/>
      </c>
      <c r="AK422" s="12">
        <f>IF(AJ422="","",INDEX('状态价值'!$D8:$K8,MATCH(AJ422,'状态价值'!$D$1:$K$1,0)))</f>
        <v/>
      </c>
      <c r="AL422" s="15">
        <f>NORM.S.INV(RAND())</f>
        <v/>
      </c>
      <c r="AM422" s="15">
        <f>IF('组合输入'!$C9="","",'组合输入'!$H9*$B422+SQRT(1-'组合输入'!$H9^2)*AL422)</f>
        <v/>
      </c>
      <c r="AN422" s="7">
        <f>IF(AM422="","",NORM.S.DIST(AM422,TRUE))</f>
        <v/>
      </c>
      <c r="AO422" s="13">
        <f>IF(AN422="","",IF(AN422&lt;='组合输入'!$K9,"AAA",IF(AN422&lt;='组合输入'!$L9,"AA",IF(AN422&lt;='组合输入'!$M9,"A",IF(AN422&lt;='组合输入'!$N9,"BBB",IF(AN422&lt;='组合输入'!$O9,"BB",IF(AN422&lt;='组合输入'!$P9,"B",IF(AN422&lt;='组合输入'!$Q9,"CCC","D")))))))</f>
        <v/>
      </c>
      <c r="AP422" s="12">
        <f>IF(AO422="","",INDEX('状态价值'!$D9:$K9,MATCH(AO422,'状态价值'!$D$1:$K$1,0)))</f>
        <v/>
      </c>
      <c r="AQ422" s="15">
        <f>NORM.S.INV(RAND())</f>
        <v/>
      </c>
      <c r="AR422" s="15">
        <f>IF('组合输入'!$C10="","",'组合输入'!$H10*$B422+SQRT(1-'组合输入'!$H10^2)*AQ422)</f>
        <v/>
      </c>
      <c r="AS422" s="7">
        <f>IF(AR422="","",NORM.S.DIST(AR422,TRUE))</f>
        <v/>
      </c>
      <c r="AT422" s="13">
        <f>IF(AS422="","",IF(AS422&lt;='组合输入'!$K10,"AAA",IF(AS422&lt;='组合输入'!$L10,"AA",IF(AS422&lt;='组合输入'!$M10,"A",IF(AS422&lt;='组合输入'!$N10,"BBB",IF(AS422&lt;='组合输入'!$O10,"BB",IF(AS422&lt;='组合输入'!$P10,"B",IF(AS422&lt;='组合输入'!$Q10,"CCC","D")))))))</f>
        <v/>
      </c>
      <c r="AU422" s="12">
        <f>IF(AT422="","",INDEX('状态价值'!$D10:$K10,MATCH(AT422,'状态价值'!$D$1:$K$1,0)))</f>
        <v/>
      </c>
      <c r="AV422" s="15">
        <f>NORM.S.INV(RAND())</f>
        <v/>
      </c>
      <c r="AW422" s="15">
        <f>IF('组合输入'!$C11="","",'组合输入'!$H11*$B422+SQRT(1-'组合输入'!$H11^2)*AV422)</f>
        <v/>
      </c>
      <c r="AX422" s="7">
        <f>IF(AW422="","",NORM.S.DIST(AW422,TRUE))</f>
        <v/>
      </c>
      <c r="AY422" s="13">
        <f>IF(AX422="","",IF(AX422&lt;='组合输入'!$K11,"AAA",IF(AX422&lt;='组合输入'!$L11,"AA",IF(AX422&lt;='组合输入'!$M11,"A",IF(AX422&lt;='组合输入'!$N11,"BBB",IF(AX422&lt;='组合输入'!$O11,"BB",IF(AX422&lt;='组合输入'!$P11,"B",IF(AX422&lt;='组合输入'!$Q11,"CCC","D")))))))</f>
        <v/>
      </c>
      <c r="AZ422" s="12">
        <f>IF(AY422="","",INDEX('状态价值'!$D11:$K11,MATCH(AY422,'状态价值'!$D$1:$K$1,0)))</f>
        <v/>
      </c>
      <c r="BA422" s="12">
        <f>G422+L422+Q422+V422+AA422+AF422+AK422+AP422+AU422+AZ422</f>
        <v/>
      </c>
      <c r="BB422" s="12">
        <f>SUM('组合输入'!$J$2:$J$11)-BA422</f>
        <v/>
      </c>
    </row>
    <row r="423">
      <c r="A423" s="11" t="n">
        <v>422</v>
      </c>
      <c r="B423" s="14">
        <f>NORM.S.INV(RAND())</f>
        <v/>
      </c>
      <c r="C423" s="14">
        <f>NORM.S.INV(RAND())</f>
        <v/>
      </c>
      <c r="D423" s="15">
        <f>IF('组合输入'!$C2="","",'组合输入'!$H2*$B423+SQRT(1-'组合输入'!$H2^2)*C423)</f>
        <v/>
      </c>
      <c r="E423" s="7">
        <f>IF(D423="","",NORM.S.DIST(D423,TRUE))</f>
        <v/>
      </c>
      <c r="F423" s="13">
        <f>IF(E423="","",IF(E423&lt;='组合输入'!$K2,"AAA",IF(E423&lt;='组合输入'!$L2,"AA",IF(E423&lt;='组合输入'!$M2,"A",IF(E423&lt;='组合输入'!$N2,"BBB",IF(E423&lt;='组合输入'!$O2,"BB",IF(E423&lt;='组合输入'!$P2,"B",IF(E423&lt;='组合输入'!$Q2,"CCC","D")))))))</f>
        <v/>
      </c>
      <c r="G423" s="12">
        <f>IF(F423="","",INDEX('状态价值'!$D2:$K2,MATCH(F423,'状态价值'!$D$1:$K$1,0)))</f>
        <v/>
      </c>
      <c r="H423" s="15">
        <f>NORM.S.INV(RAND())</f>
        <v/>
      </c>
      <c r="I423" s="15">
        <f>IF('组合输入'!$C3="","",'组合输入'!$H3*$B423+SQRT(1-'组合输入'!$H3^2)*H423)</f>
        <v/>
      </c>
      <c r="J423" s="7">
        <f>IF(I423="","",NORM.S.DIST(I423,TRUE))</f>
        <v/>
      </c>
      <c r="K423" s="13">
        <f>IF(J423="","",IF(J423&lt;='组合输入'!$K3,"AAA",IF(J423&lt;='组合输入'!$L3,"AA",IF(J423&lt;='组合输入'!$M3,"A",IF(J423&lt;='组合输入'!$N3,"BBB",IF(J423&lt;='组合输入'!$O3,"BB",IF(J423&lt;='组合输入'!$P3,"B",IF(J423&lt;='组合输入'!$Q3,"CCC","D")))))))</f>
        <v/>
      </c>
      <c r="L423" s="12">
        <f>IF(K423="","",INDEX('状态价值'!$D3:$K3,MATCH(K423,'状态价值'!$D$1:$K$1,0)))</f>
        <v/>
      </c>
      <c r="M423" s="15">
        <f>NORM.S.INV(RAND())</f>
        <v/>
      </c>
      <c r="N423" s="15">
        <f>IF('组合输入'!$C4="","",'组合输入'!$H4*$B423+SQRT(1-'组合输入'!$H4^2)*M423)</f>
        <v/>
      </c>
      <c r="O423" s="7">
        <f>IF(N423="","",NORM.S.DIST(N423,TRUE))</f>
        <v/>
      </c>
      <c r="P423" s="13">
        <f>IF(O423="","",IF(O423&lt;='组合输入'!$K4,"AAA",IF(O423&lt;='组合输入'!$L4,"AA",IF(O423&lt;='组合输入'!$M4,"A",IF(O423&lt;='组合输入'!$N4,"BBB",IF(O423&lt;='组合输入'!$O4,"BB",IF(O423&lt;='组合输入'!$P4,"B",IF(O423&lt;='组合输入'!$Q4,"CCC","D")))))))</f>
        <v/>
      </c>
      <c r="Q423" s="12">
        <f>IF(P423="","",INDEX('状态价值'!$D4:$K4,MATCH(P423,'状态价值'!$D$1:$K$1,0)))</f>
        <v/>
      </c>
      <c r="R423" s="15">
        <f>NORM.S.INV(RAND())</f>
        <v/>
      </c>
      <c r="S423" s="15">
        <f>IF('组合输入'!$C5="","",'组合输入'!$H5*$B423+SQRT(1-'组合输入'!$H5^2)*R423)</f>
        <v/>
      </c>
      <c r="T423" s="7">
        <f>IF(S423="","",NORM.S.DIST(S423,TRUE))</f>
        <v/>
      </c>
      <c r="U423" s="13">
        <f>IF(T423="","",IF(T423&lt;='组合输入'!$K5,"AAA",IF(T423&lt;='组合输入'!$L5,"AA",IF(T423&lt;='组合输入'!$M5,"A",IF(T423&lt;='组合输入'!$N5,"BBB",IF(T423&lt;='组合输入'!$O5,"BB",IF(T423&lt;='组合输入'!$P5,"B",IF(T423&lt;='组合输入'!$Q5,"CCC","D")))))))</f>
        <v/>
      </c>
      <c r="V423" s="12">
        <f>IF(U423="","",INDEX('状态价值'!$D5:$K5,MATCH(U423,'状态价值'!$D$1:$K$1,0)))</f>
        <v/>
      </c>
      <c r="W423" s="15">
        <f>NORM.S.INV(RAND())</f>
        <v/>
      </c>
      <c r="X423" s="15">
        <f>IF('组合输入'!$C6="","",'组合输入'!$H6*$B423+SQRT(1-'组合输入'!$H6^2)*W423)</f>
        <v/>
      </c>
      <c r="Y423" s="7">
        <f>IF(X423="","",NORM.S.DIST(X423,TRUE))</f>
        <v/>
      </c>
      <c r="Z423" s="13">
        <f>IF(Y423="","",IF(Y423&lt;='组合输入'!$K6,"AAA",IF(Y423&lt;='组合输入'!$L6,"AA",IF(Y423&lt;='组合输入'!$M6,"A",IF(Y423&lt;='组合输入'!$N6,"BBB",IF(Y423&lt;='组合输入'!$O6,"BB",IF(Y423&lt;='组合输入'!$P6,"B",IF(Y423&lt;='组合输入'!$Q6,"CCC","D")))))))</f>
        <v/>
      </c>
      <c r="AA423" s="12">
        <f>IF(Z423="","",INDEX('状态价值'!$D6:$K6,MATCH(Z423,'状态价值'!$D$1:$K$1,0)))</f>
        <v/>
      </c>
      <c r="AB423" s="15">
        <f>NORM.S.INV(RAND())</f>
        <v/>
      </c>
      <c r="AC423" s="15">
        <f>IF('组合输入'!$C7="","",'组合输入'!$H7*$B423+SQRT(1-'组合输入'!$H7^2)*AB423)</f>
        <v/>
      </c>
      <c r="AD423" s="7">
        <f>IF(AC423="","",NORM.S.DIST(AC423,TRUE))</f>
        <v/>
      </c>
      <c r="AE423" s="13">
        <f>IF(AD423="","",IF(AD423&lt;='组合输入'!$K7,"AAA",IF(AD423&lt;='组合输入'!$L7,"AA",IF(AD423&lt;='组合输入'!$M7,"A",IF(AD423&lt;='组合输入'!$N7,"BBB",IF(AD423&lt;='组合输入'!$O7,"BB",IF(AD423&lt;='组合输入'!$P7,"B",IF(AD423&lt;='组合输入'!$Q7,"CCC","D")))))))</f>
        <v/>
      </c>
      <c r="AF423" s="12">
        <f>IF(AE423="","",INDEX('状态价值'!$D7:$K7,MATCH(AE423,'状态价值'!$D$1:$K$1,0)))</f>
        <v/>
      </c>
      <c r="AG423" s="15">
        <f>NORM.S.INV(RAND())</f>
        <v/>
      </c>
      <c r="AH423" s="15">
        <f>IF('组合输入'!$C8="","",'组合输入'!$H8*$B423+SQRT(1-'组合输入'!$H8^2)*AG423)</f>
        <v/>
      </c>
      <c r="AI423" s="7">
        <f>IF(AH423="","",NORM.S.DIST(AH423,TRUE))</f>
        <v/>
      </c>
      <c r="AJ423" s="13">
        <f>IF(AI423="","",IF(AI423&lt;='组合输入'!$K8,"AAA",IF(AI423&lt;='组合输入'!$L8,"AA",IF(AI423&lt;='组合输入'!$M8,"A",IF(AI423&lt;='组合输入'!$N8,"BBB",IF(AI423&lt;='组合输入'!$O8,"BB",IF(AI423&lt;='组合输入'!$P8,"B",IF(AI423&lt;='组合输入'!$Q8,"CCC","D")))))))</f>
        <v/>
      </c>
      <c r="AK423" s="12">
        <f>IF(AJ423="","",INDEX('状态价值'!$D8:$K8,MATCH(AJ423,'状态价值'!$D$1:$K$1,0)))</f>
        <v/>
      </c>
      <c r="AL423" s="15">
        <f>NORM.S.INV(RAND())</f>
        <v/>
      </c>
      <c r="AM423" s="15">
        <f>IF('组合输入'!$C9="","",'组合输入'!$H9*$B423+SQRT(1-'组合输入'!$H9^2)*AL423)</f>
        <v/>
      </c>
      <c r="AN423" s="7">
        <f>IF(AM423="","",NORM.S.DIST(AM423,TRUE))</f>
        <v/>
      </c>
      <c r="AO423" s="13">
        <f>IF(AN423="","",IF(AN423&lt;='组合输入'!$K9,"AAA",IF(AN423&lt;='组合输入'!$L9,"AA",IF(AN423&lt;='组合输入'!$M9,"A",IF(AN423&lt;='组合输入'!$N9,"BBB",IF(AN423&lt;='组合输入'!$O9,"BB",IF(AN423&lt;='组合输入'!$P9,"B",IF(AN423&lt;='组合输入'!$Q9,"CCC","D")))))))</f>
        <v/>
      </c>
      <c r="AP423" s="12">
        <f>IF(AO423="","",INDEX('状态价值'!$D9:$K9,MATCH(AO423,'状态价值'!$D$1:$K$1,0)))</f>
        <v/>
      </c>
      <c r="AQ423" s="15">
        <f>NORM.S.INV(RAND())</f>
        <v/>
      </c>
      <c r="AR423" s="15">
        <f>IF('组合输入'!$C10="","",'组合输入'!$H10*$B423+SQRT(1-'组合输入'!$H10^2)*AQ423)</f>
        <v/>
      </c>
      <c r="AS423" s="7">
        <f>IF(AR423="","",NORM.S.DIST(AR423,TRUE))</f>
        <v/>
      </c>
      <c r="AT423" s="13">
        <f>IF(AS423="","",IF(AS423&lt;='组合输入'!$K10,"AAA",IF(AS423&lt;='组合输入'!$L10,"AA",IF(AS423&lt;='组合输入'!$M10,"A",IF(AS423&lt;='组合输入'!$N10,"BBB",IF(AS423&lt;='组合输入'!$O10,"BB",IF(AS423&lt;='组合输入'!$P10,"B",IF(AS423&lt;='组合输入'!$Q10,"CCC","D")))))))</f>
        <v/>
      </c>
      <c r="AU423" s="12">
        <f>IF(AT423="","",INDEX('状态价值'!$D10:$K10,MATCH(AT423,'状态价值'!$D$1:$K$1,0)))</f>
        <v/>
      </c>
      <c r="AV423" s="15">
        <f>NORM.S.INV(RAND())</f>
        <v/>
      </c>
      <c r="AW423" s="15">
        <f>IF('组合输入'!$C11="","",'组合输入'!$H11*$B423+SQRT(1-'组合输入'!$H11^2)*AV423)</f>
        <v/>
      </c>
      <c r="AX423" s="7">
        <f>IF(AW423="","",NORM.S.DIST(AW423,TRUE))</f>
        <v/>
      </c>
      <c r="AY423" s="13">
        <f>IF(AX423="","",IF(AX423&lt;='组合输入'!$K11,"AAA",IF(AX423&lt;='组合输入'!$L11,"AA",IF(AX423&lt;='组合输入'!$M11,"A",IF(AX423&lt;='组合输入'!$N11,"BBB",IF(AX423&lt;='组合输入'!$O11,"BB",IF(AX423&lt;='组合输入'!$P11,"B",IF(AX423&lt;='组合输入'!$Q11,"CCC","D")))))))</f>
        <v/>
      </c>
      <c r="AZ423" s="12">
        <f>IF(AY423="","",INDEX('状态价值'!$D11:$K11,MATCH(AY423,'状态价值'!$D$1:$K$1,0)))</f>
        <v/>
      </c>
      <c r="BA423" s="12">
        <f>G423+L423+Q423+V423+AA423+AF423+AK423+AP423+AU423+AZ423</f>
        <v/>
      </c>
      <c r="BB423" s="12">
        <f>SUM('组合输入'!$J$2:$J$11)-BA423</f>
        <v/>
      </c>
    </row>
    <row r="424">
      <c r="A424" s="11" t="n">
        <v>423</v>
      </c>
      <c r="B424" s="14">
        <f>NORM.S.INV(RAND())</f>
        <v/>
      </c>
      <c r="C424" s="14">
        <f>NORM.S.INV(RAND())</f>
        <v/>
      </c>
      <c r="D424" s="15">
        <f>IF('组合输入'!$C2="","",'组合输入'!$H2*$B424+SQRT(1-'组合输入'!$H2^2)*C424)</f>
        <v/>
      </c>
      <c r="E424" s="7">
        <f>IF(D424="","",NORM.S.DIST(D424,TRUE))</f>
        <v/>
      </c>
      <c r="F424" s="13">
        <f>IF(E424="","",IF(E424&lt;='组合输入'!$K2,"AAA",IF(E424&lt;='组合输入'!$L2,"AA",IF(E424&lt;='组合输入'!$M2,"A",IF(E424&lt;='组合输入'!$N2,"BBB",IF(E424&lt;='组合输入'!$O2,"BB",IF(E424&lt;='组合输入'!$P2,"B",IF(E424&lt;='组合输入'!$Q2,"CCC","D")))))))</f>
        <v/>
      </c>
      <c r="G424" s="12">
        <f>IF(F424="","",INDEX('状态价值'!$D2:$K2,MATCH(F424,'状态价值'!$D$1:$K$1,0)))</f>
        <v/>
      </c>
      <c r="H424" s="15">
        <f>NORM.S.INV(RAND())</f>
        <v/>
      </c>
      <c r="I424" s="15">
        <f>IF('组合输入'!$C3="","",'组合输入'!$H3*$B424+SQRT(1-'组合输入'!$H3^2)*H424)</f>
        <v/>
      </c>
      <c r="J424" s="7">
        <f>IF(I424="","",NORM.S.DIST(I424,TRUE))</f>
        <v/>
      </c>
      <c r="K424" s="13">
        <f>IF(J424="","",IF(J424&lt;='组合输入'!$K3,"AAA",IF(J424&lt;='组合输入'!$L3,"AA",IF(J424&lt;='组合输入'!$M3,"A",IF(J424&lt;='组合输入'!$N3,"BBB",IF(J424&lt;='组合输入'!$O3,"BB",IF(J424&lt;='组合输入'!$P3,"B",IF(J424&lt;='组合输入'!$Q3,"CCC","D")))))))</f>
        <v/>
      </c>
      <c r="L424" s="12">
        <f>IF(K424="","",INDEX('状态价值'!$D3:$K3,MATCH(K424,'状态价值'!$D$1:$K$1,0)))</f>
        <v/>
      </c>
      <c r="M424" s="15">
        <f>NORM.S.INV(RAND())</f>
        <v/>
      </c>
      <c r="N424" s="15">
        <f>IF('组合输入'!$C4="","",'组合输入'!$H4*$B424+SQRT(1-'组合输入'!$H4^2)*M424)</f>
        <v/>
      </c>
      <c r="O424" s="7">
        <f>IF(N424="","",NORM.S.DIST(N424,TRUE))</f>
        <v/>
      </c>
      <c r="P424" s="13">
        <f>IF(O424="","",IF(O424&lt;='组合输入'!$K4,"AAA",IF(O424&lt;='组合输入'!$L4,"AA",IF(O424&lt;='组合输入'!$M4,"A",IF(O424&lt;='组合输入'!$N4,"BBB",IF(O424&lt;='组合输入'!$O4,"BB",IF(O424&lt;='组合输入'!$P4,"B",IF(O424&lt;='组合输入'!$Q4,"CCC","D")))))))</f>
        <v/>
      </c>
      <c r="Q424" s="12">
        <f>IF(P424="","",INDEX('状态价值'!$D4:$K4,MATCH(P424,'状态价值'!$D$1:$K$1,0)))</f>
        <v/>
      </c>
      <c r="R424" s="15">
        <f>NORM.S.INV(RAND())</f>
        <v/>
      </c>
      <c r="S424" s="15">
        <f>IF('组合输入'!$C5="","",'组合输入'!$H5*$B424+SQRT(1-'组合输入'!$H5^2)*R424)</f>
        <v/>
      </c>
      <c r="T424" s="7">
        <f>IF(S424="","",NORM.S.DIST(S424,TRUE))</f>
        <v/>
      </c>
      <c r="U424" s="13">
        <f>IF(T424="","",IF(T424&lt;='组合输入'!$K5,"AAA",IF(T424&lt;='组合输入'!$L5,"AA",IF(T424&lt;='组合输入'!$M5,"A",IF(T424&lt;='组合输入'!$N5,"BBB",IF(T424&lt;='组合输入'!$O5,"BB",IF(T424&lt;='组合输入'!$P5,"B",IF(T424&lt;='组合输入'!$Q5,"CCC","D")))))))</f>
        <v/>
      </c>
      <c r="V424" s="12">
        <f>IF(U424="","",INDEX('状态价值'!$D5:$K5,MATCH(U424,'状态价值'!$D$1:$K$1,0)))</f>
        <v/>
      </c>
      <c r="W424" s="15">
        <f>NORM.S.INV(RAND())</f>
        <v/>
      </c>
      <c r="X424" s="15">
        <f>IF('组合输入'!$C6="","",'组合输入'!$H6*$B424+SQRT(1-'组合输入'!$H6^2)*W424)</f>
        <v/>
      </c>
      <c r="Y424" s="7">
        <f>IF(X424="","",NORM.S.DIST(X424,TRUE))</f>
        <v/>
      </c>
      <c r="Z424" s="13">
        <f>IF(Y424="","",IF(Y424&lt;='组合输入'!$K6,"AAA",IF(Y424&lt;='组合输入'!$L6,"AA",IF(Y424&lt;='组合输入'!$M6,"A",IF(Y424&lt;='组合输入'!$N6,"BBB",IF(Y424&lt;='组合输入'!$O6,"BB",IF(Y424&lt;='组合输入'!$P6,"B",IF(Y424&lt;='组合输入'!$Q6,"CCC","D")))))))</f>
        <v/>
      </c>
      <c r="AA424" s="12">
        <f>IF(Z424="","",INDEX('状态价值'!$D6:$K6,MATCH(Z424,'状态价值'!$D$1:$K$1,0)))</f>
        <v/>
      </c>
      <c r="AB424" s="15">
        <f>NORM.S.INV(RAND())</f>
        <v/>
      </c>
      <c r="AC424" s="15">
        <f>IF('组合输入'!$C7="","",'组合输入'!$H7*$B424+SQRT(1-'组合输入'!$H7^2)*AB424)</f>
        <v/>
      </c>
      <c r="AD424" s="7">
        <f>IF(AC424="","",NORM.S.DIST(AC424,TRUE))</f>
        <v/>
      </c>
      <c r="AE424" s="13">
        <f>IF(AD424="","",IF(AD424&lt;='组合输入'!$K7,"AAA",IF(AD424&lt;='组合输入'!$L7,"AA",IF(AD424&lt;='组合输入'!$M7,"A",IF(AD424&lt;='组合输入'!$N7,"BBB",IF(AD424&lt;='组合输入'!$O7,"BB",IF(AD424&lt;='组合输入'!$P7,"B",IF(AD424&lt;='组合输入'!$Q7,"CCC","D")))))))</f>
        <v/>
      </c>
      <c r="AF424" s="12">
        <f>IF(AE424="","",INDEX('状态价值'!$D7:$K7,MATCH(AE424,'状态价值'!$D$1:$K$1,0)))</f>
        <v/>
      </c>
      <c r="AG424" s="15">
        <f>NORM.S.INV(RAND())</f>
        <v/>
      </c>
      <c r="AH424" s="15">
        <f>IF('组合输入'!$C8="","",'组合输入'!$H8*$B424+SQRT(1-'组合输入'!$H8^2)*AG424)</f>
        <v/>
      </c>
      <c r="AI424" s="7">
        <f>IF(AH424="","",NORM.S.DIST(AH424,TRUE))</f>
        <v/>
      </c>
      <c r="AJ424" s="13">
        <f>IF(AI424="","",IF(AI424&lt;='组合输入'!$K8,"AAA",IF(AI424&lt;='组合输入'!$L8,"AA",IF(AI424&lt;='组合输入'!$M8,"A",IF(AI424&lt;='组合输入'!$N8,"BBB",IF(AI424&lt;='组合输入'!$O8,"BB",IF(AI424&lt;='组合输入'!$P8,"B",IF(AI424&lt;='组合输入'!$Q8,"CCC","D")))))))</f>
        <v/>
      </c>
      <c r="AK424" s="12">
        <f>IF(AJ424="","",INDEX('状态价值'!$D8:$K8,MATCH(AJ424,'状态价值'!$D$1:$K$1,0)))</f>
        <v/>
      </c>
      <c r="AL424" s="15">
        <f>NORM.S.INV(RAND())</f>
        <v/>
      </c>
      <c r="AM424" s="15">
        <f>IF('组合输入'!$C9="","",'组合输入'!$H9*$B424+SQRT(1-'组合输入'!$H9^2)*AL424)</f>
        <v/>
      </c>
      <c r="AN424" s="7">
        <f>IF(AM424="","",NORM.S.DIST(AM424,TRUE))</f>
        <v/>
      </c>
      <c r="AO424" s="13">
        <f>IF(AN424="","",IF(AN424&lt;='组合输入'!$K9,"AAA",IF(AN424&lt;='组合输入'!$L9,"AA",IF(AN424&lt;='组合输入'!$M9,"A",IF(AN424&lt;='组合输入'!$N9,"BBB",IF(AN424&lt;='组合输入'!$O9,"BB",IF(AN424&lt;='组合输入'!$P9,"B",IF(AN424&lt;='组合输入'!$Q9,"CCC","D")))))))</f>
        <v/>
      </c>
      <c r="AP424" s="12">
        <f>IF(AO424="","",INDEX('状态价值'!$D9:$K9,MATCH(AO424,'状态价值'!$D$1:$K$1,0)))</f>
        <v/>
      </c>
      <c r="AQ424" s="15">
        <f>NORM.S.INV(RAND())</f>
        <v/>
      </c>
      <c r="AR424" s="15">
        <f>IF('组合输入'!$C10="","",'组合输入'!$H10*$B424+SQRT(1-'组合输入'!$H10^2)*AQ424)</f>
        <v/>
      </c>
      <c r="AS424" s="7">
        <f>IF(AR424="","",NORM.S.DIST(AR424,TRUE))</f>
        <v/>
      </c>
      <c r="AT424" s="13">
        <f>IF(AS424="","",IF(AS424&lt;='组合输入'!$K10,"AAA",IF(AS424&lt;='组合输入'!$L10,"AA",IF(AS424&lt;='组合输入'!$M10,"A",IF(AS424&lt;='组合输入'!$N10,"BBB",IF(AS424&lt;='组合输入'!$O10,"BB",IF(AS424&lt;='组合输入'!$P10,"B",IF(AS424&lt;='组合输入'!$Q10,"CCC","D")))))))</f>
        <v/>
      </c>
      <c r="AU424" s="12">
        <f>IF(AT424="","",INDEX('状态价值'!$D10:$K10,MATCH(AT424,'状态价值'!$D$1:$K$1,0)))</f>
        <v/>
      </c>
      <c r="AV424" s="15">
        <f>NORM.S.INV(RAND())</f>
        <v/>
      </c>
      <c r="AW424" s="15">
        <f>IF('组合输入'!$C11="","",'组合输入'!$H11*$B424+SQRT(1-'组合输入'!$H11^2)*AV424)</f>
        <v/>
      </c>
      <c r="AX424" s="7">
        <f>IF(AW424="","",NORM.S.DIST(AW424,TRUE))</f>
        <v/>
      </c>
      <c r="AY424" s="13">
        <f>IF(AX424="","",IF(AX424&lt;='组合输入'!$K11,"AAA",IF(AX424&lt;='组合输入'!$L11,"AA",IF(AX424&lt;='组合输入'!$M11,"A",IF(AX424&lt;='组合输入'!$N11,"BBB",IF(AX424&lt;='组合输入'!$O11,"BB",IF(AX424&lt;='组合输入'!$P11,"B",IF(AX424&lt;='组合输入'!$Q11,"CCC","D")))))))</f>
        <v/>
      </c>
      <c r="AZ424" s="12">
        <f>IF(AY424="","",INDEX('状态价值'!$D11:$K11,MATCH(AY424,'状态价值'!$D$1:$K$1,0)))</f>
        <v/>
      </c>
      <c r="BA424" s="12">
        <f>G424+L424+Q424+V424+AA424+AF424+AK424+AP424+AU424+AZ424</f>
        <v/>
      </c>
      <c r="BB424" s="12">
        <f>SUM('组合输入'!$J$2:$J$11)-BA424</f>
        <v/>
      </c>
    </row>
    <row r="425">
      <c r="A425" s="11" t="n">
        <v>424</v>
      </c>
      <c r="B425" s="14">
        <f>NORM.S.INV(RAND())</f>
        <v/>
      </c>
      <c r="C425" s="14">
        <f>NORM.S.INV(RAND())</f>
        <v/>
      </c>
      <c r="D425" s="15">
        <f>IF('组合输入'!$C2="","",'组合输入'!$H2*$B425+SQRT(1-'组合输入'!$H2^2)*C425)</f>
        <v/>
      </c>
      <c r="E425" s="7">
        <f>IF(D425="","",NORM.S.DIST(D425,TRUE))</f>
        <v/>
      </c>
      <c r="F425" s="13">
        <f>IF(E425="","",IF(E425&lt;='组合输入'!$K2,"AAA",IF(E425&lt;='组合输入'!$L2,"AA",IF(E425&lt;='组合输入'!$M2,"A",IF(E425&lt;='组合输入'!$N2,"BBB",IF(E425&lt;='组合输入'!$O2,"BB",IF(E425&lt;='组合输入'!$P2,"B",IF(E425&lt;='组合输入'!$Q2,"CCC","D")))))))</f>
        <v/>
      </c>
      <c r="G425" s="12">
        <f>IF(F425="","",INDEX('状态价值'!$D2:$K2,MATCH(F425,'状态价值'!$D$1:$K$1,0)))</f>
        <v/>
      </c>
      <c r="H425" s="15">
        <f>NORM.S.INV(RAND())</f>
        <v/>
      </c>
      <c r="I425" s="15">
        <f>IF('组合输入'!$C3="","",'组合输入'!$H3*$B425+SQRT(1-'组合输入'!$H3^2)*H425)</f>
        <v/>
      </c>
      <c r="J425" s="7">
        <f>IF(I425="","",NORM.S.DIST(I425,TRUE))</f>
        <v/>
      </c>
      <c r="K425" s="13">
        <f>IF(J425="","",IF(J425&lt;='组合输入'!$K3,"AAA",IF(J425&lt;='组合输入'!$L3,"AA",IF(J425&lt;='组合输入'!$M3,"A",IF(J425&lt;='组合输入'!$N3,"BBB",IF(J425&lt;='组合输入'!$O3,"BB",IF(J425&lt;='组合输入'!$P3,"B",IF(J425&lt;='组合输入'!$Q3,"CCC","D")))))))</f>
        <v/>
      </c>
      <c r="L425" s="12">
        <f>IF(K425="","",INDEX('状态价值'!$D3:$K3,MATCH(K425,'状态价值'!$D$1:$K$1,0)))</f>
        <v/>
      </c>
      <c r="M425" s="15">
        <f>NORM.S.INV(RAND())</f>
        <v/>
      </c>
      <c r="N425" s="15">
        <f>IF('组合输入'!$C4="","",'组合输入'!$H4*$B425+SQRT(1-'组合输入'!$H4^2)*M425)</f>
        <v/>
      </c>
      <c r="O425" s="7">
        <f>IF(N425="","",NORM.S.DIST(N425,TRUE))</f>
        <v/>
      </c>
      <c r="P425" s="13">
        <f>IF(O425="","",IF(O425&lt;='组合输入'!$K4,"AAA",IF(O425&lt;='组合输入'!$L4,"AA",IF(O425&lt;='组合输入'!$M4,"A",IF(O425&lt;='组合输入'!$N4,"BBB",IF(O425&lt;='组合输入'!$O4,"BB",IF(O425&lt;='组合输入'!$P4,"B",IF(O425&lt;='组合输入'!$Q4,"CCC","D")))))))</f>
        <v/>
      </c>
      <c r="Q425" s="12">
        <f>IF(P425="","",INDEX('状态价值'!$D4:$K4,MATCH(P425,'状态价值'!$D$1:$K$1,0)))</f>
        <v/>
      </c>
      <c r="R425" s="15">
        <f>NORM.S.INV(RAND())</f>
        <v/>
      </c>
      <c r="S425" s="15">
        <f>IF('组合输入'!$C5="","",'组合输入'!$H5*$B425+SQRT(1-'组合输入'!$H5^2)*R425)</f>
        <v/>
      </c>
      <c r="T425" s="7">
        <f>IF(S425="","",NORM.S.DIST(S425,TRUE))</f>
        <v/>
      </c>
      <c r="U425" s="13">
        <f>IF(T425="","",IF(T425&lt;='组合输入'!$K5,"AAA",IF(T425&lt;='组合输入'!$L5,"AA",IF(T425&lt;='组合输入'!$M5,"A",IF(T425&lt;='组合输入'!$N5,"BBB",IF(T425&lt;='组合输入'!$O5,"BB",IF(T425&lt;='组合输入'!$P5,"B",IF(T425&lt;='组合输入'!$Q5,"CCC","D")))))))</f>
        <v/>
      </c>
      <c r="V425" s="12">
        <f>IF(U425="","",INDEX('状态价值'!$D5:$K5,MATCH(U425,'状态价值'!$D$1:$K$1,0)))</f>
        <v/>
      </c>
      <c r="W425" s="15">
        <f>NORM.S.INV(RAND())</f>
        <v/>
      </c>
      <c r="X425" s="15">
        <f>IF('组合输入'!$C6="","",'组合输入'!$H6*$B425+SQRT(1-'组合输入'!$H6^2)*W425)</f>
        <v/>
      </c>
      <c r="Y425" s="7">
        <f>IF(X425="","",NORM.S.DIST(X425,TRUE))</f>
        <v/>
      </c>
      <c r="Z425" s="13">
        <f>IF(Y425="","",IF(Y425&lt;='组合输入'!$K6,"AAA",IF(Y425&lt;='组合输入'!$L6,"AA",IF(Y425&lt;='组合输入'!$M6,"A",IF(Y425&lt;='组合输入'!$N6,"BBB",IF(Y425&lt;='组合输入'!$O6,"BB",IF(Y425&lt;='组合输入'!$P6,"B",IF(Y425&lt;='组合输入'!$Q6,"CCC","D")))))))</f>
        <v/>
      </c>
      <c r="AA425" s="12">
        <f>IF(Z425="","",INDEX('状态价值'!$D6:$K6,MATCH(Z425,'状态价值'!$D$1:$K$1,0)))</f>
        <v/>
      </c>
      <c r="AB425" s="15">
        <f>NORM.S.INV(RAND())</f>
        <v/>
      </c>
      <c r="AC425" s="15">
        <f>IF('组合输入'!$C7="","",'组合输入'!$H7*$B425+SQRT(1-'组合输入'!$H7^2)*AB425)</f>
        <v/>
      </c>
      <c r="AD425" s="7">
        <f>IF(AC425="","",NORM.S.DIST(AC425,TRUE))</f>
        <v/>
      </c>
      <c r="AE425" s="13">
        <f>IF(AD425="","",IF(AD425&lt;='组合输入'!$K7,"AAA",IF(AD425&lt;='组合输入'!$L7,"AA",IF(AD425&lt;='组合输入'!$M7,"A",IF(AD425&lt;='组合输入'!$N7,"BBB",IF(AD425&lt;='组合输入'!$O7,"BB",IF(AD425&lt;='组合输入'!$P7,"B",IF(AD425&lt;='组合输入'!$Q7,"CCC","D")))))))</f>
        <v/>
      </c>
      <c r="AF425" s="12">
        <f>IF(AE425="","",INDEX('状态价值'!$D7:$K7,MATCH(AE425,'状态价值'!$D$1:$K$1,0)))</f>
        <v/>
      </c>
      <c r="AG425" s="15">
        <f>NORM.S.INV(RAND())</f>
        <v/>
      </c>
      <c r="AH425" s="15">
        <f>IF('组合输入'!$C8="","",'组合输入'!$H8*$B425+SQRT(1-'组合输入'!$H8^2)*AG425)</f>
        <v/>
      </c>
      <c r="AI425" s="7">
        <f>IF(AH425="","",NORM.S.DIST(AH425,TRUE))</f>
        <v/>
      </c>
      <c r="AJ425" s="13">
        <f>IF(AI425="","",IF(AI425&lt;='组合输入'!$K8,"AAA",IF(AI425&lt;='组合输入'!$L8,"AA",IF(AI425&lt;='组合输入'!$M8,"A",IF(AI425&lt;='组合输入'!$N8,"BBB",IF(AI425&lt;='组合输入'!$O8,"BB",IF(AI425&lt;='组合输入'!$P8,"B",IF(AI425&lt;='组合输入'!$Q8,"CCC","D")))))))</f>
        <v/>
      </c>
      <c r="AK425" s="12">
        <f>IF(AJ425="","",INDEX('状态价值'!$D8:$K8,MATCH(AJ425,'状态价值'!$D$1:$K$1,0)))</f>
        <v/>
      </c>
      <c r="AL425" s="15">
        <f>NORM.S.INV(RAND())</f>
        <v/>
      </c>
      <c r="AM425" s="15">
        <f>IF('组合输入'!$C9="","",'组合输入'!$H9*$B425+SQRT(1-'组合输入'!$H9^2)*AL425)</f>
        <v/>
      </c>
      <c r="AN425" s="7">
        <f>IF(AM425="","",NORM.S.DIST(AM425,TRUE))</f>
        <v/>
      </c>
      <c r="AO425" s="13">
        <f>IF(AN425="","",IF(AN425&lt;='组合输入'!$K9,"AAA",IF(AN425&lt;='组合输入'!$L9,"AA",IF(AN425&lt;='组合输入'!$M9,"A",IF(AN425&lt;='组合输入'!$N9,"BBB",IF(AN425&lt;='组合输入'!$O9,"BB",IF(AN425&lt;='组合输入'!$P9,"B",IF(AN425&lt;='组合输入'!$Q9,"CCC","D")))))))</f>
        <v/>
      </c>
      <c r="AP425" s="12">
        <f>IF(AO425="","",INDEX('状态价值'!$D9:$K9,MATCH(AO425,'状态价值'!$D$1:$K$1,0)))</f>
        <v/>
      </c>
      <c r="AQ425" s="15">
        <f>NORM.S.INV(RAND())</f>
        <v/>
      </c>
      <c r="AR425" s="15">
        <f>IF('组合输入'!$C10="","",'组合输入'!$H10*$B425+SQRT(1-'组合输入'!$H10^2)*AQ425)</f>
        <v/>
      </c>
      <c r="AS425" s="7">
        <f>IF(AR425="","",NORM.S.DIST(AR425,TRUE))</f>
        <v/>
      </c>
      <c r="AT425" s="13">
        <f>IF(AS425="","",IF(AS425&lt;='组合输入'!$K10,"AAA",IF(AS425&lt;='组合输入'!$L10,"AA",IF(AS425&lt;='组合输入'!$M10,"A",IF(AS425&lt;='组合输入'!$N10,"BBB",IF(AS425&lt;='组合输入'!$O10,"BB",IF(AS425&lt;='组合输入'!$P10,"B",IF(AS425&lt;='组合输入'!$Q10,"CCC","D")))))))</f>
        <v/>
      </c>
      <c r="AU425" s="12">
        <f>IF(AT425="","",INDEX('状态价值'!$D10:$K10,MATCH(AT425,'状态价值'!$D$1:$K$1,0)))</f>
        <v/>
      </c>
      <c r="AV425" s="15">
        <f>NORM.S.INV(RAND())</f>
        <v/>
      </c>
      <c r="AW425" s="15">
        <f>IF('组合输入'!$C11="","",'组合输入'!$H11*$B425+SQRT(1-'组合输入'!$H11^2)*AV425)</f>
        <v/>
      </c>
      <c r="AX425" s="7">
        <f>IF(AW425="","",NORM.S.DIST(AW425,TRUE))</f>
        <v/>
      </c>
      <c r="AY425" s="13">
        <f>IF(AX425="","",IF(AX425&lt;='组合输入'!$K11,"AAA",IF(AX425&lt;='组合输入'!$L11,"AA",IF(AX425&lt;='组合输入'!$M11,"A",IF(AX425&lt;='组合输入'!$N11,"BBB",IF(AX425&lt;='组合输入'!$O11,"BB",IF(AX425&lt;='组合输入'!$P11,"B",IF(AX425&lt;='组合输入'!$Q11,"CCC","D")))))))</f>
        <v/>
      </c>
      <c r="AZ425" s="12">
        <f>IF(AY425="","",INDEX('状态价值'!$D11:$K11,MATCH(AY425,'状态价值'!$D$1:$K$1,0)))</f>
        <v/>
      </c>
      <c r="BA425" s="12">
        <f>G425+L425+Q425+V425+AA425+AF425+AK425+AP425+AU425+AZ425</f>
        <v/>
      </c>
      <c r="BB425" s="12">
        <f>SUM('组合输入'!$J$2:$J$11)-BA425</f>
        <v/>
      </c>
    </row>
    <row r="426">
      <c r="A426" s="11" t="n">
        <v>425</v>
      </c>
      <c r="B426" s="14">
        <f>NORM.S.INV(RAND())</f>
        <v/>
      </c>
      <c r="C426" s="14">
        <f>NORM.S.INV(RAND())</f>
        <v/>
      </c>
      <c r="D426" s="15">
        <f>IF('组合输入'!$C2="","",'组合输入'!$H2*$B426+SQRT(1-'组合输入'!$H2^2)*C426)</f>
        <v/>
      </c>
      <c r="E426" s="7">
        <f>IF(D426="","",NORM.S.DIST(D426,TRUE))</f>
        <v/>
      </c>
      <c r="F426" s="13">
        <f>IF(E426="","",IF(E426&lt;='组合输入'!$K2,"AAA",IF(E426&lt;='组合输入'!$L2,"AA",IF(E426&lt;='组合输入'!$M2,"A",IF(E426&lt;='组合输入'!$N2,"BBB",IF(E426&lt;='组合输入'!$O2,"BB",IF(E426&lt;='组合输入'!$P2,"B",IF(E426&lt;='组合输入'!$Q2,"CCC","D")))))))</f>
        <v/>
      </c>
      <c r="G426" s="12">
        <f>IF(F426="","",INDEX('状态价值'!$D2:$K2,MATCH(F426,'状态价值'!$D$1:$K$1,0)))</f>
        <v/>
      </c>
      <c r="H426" s="15">
        <f>NORM.S.INV(RAND())</f>
        <v/>
      </c>
      <c r="I426" s="15">
        <f>IF('组合输入'!$C3="","",'组合输入'!$H3*$B426+SQRT(1-'组合输入'!$H3^2)*H426)</f>
        <v/>
      </c>
      <c r="J426" s="7">
        <f>IF(I426="","",NORM.S.DIST(I426,TRUE))</f>
        <v/>
      </c>
      <c r="K426" s="13">
        <f>IF(J426="","",IF(J426&lt;='组合输入'!$K3,"AAA",IF(J426&lt;='组合输入'!$L3,"AA",IF(J426&lt;='组合输入'!$M3,"A",IF(J426&lt;='组合输入'!$N3,"BBB",IF(J426&lt;='组合输入'!$O3,"BB",IF(J426&lt;='组合输入'!$P3,"B",IF(J426&lt;='组合输入'!$Q3,"CCC","D")))))))</f>
        <v/>
      </c>
      <c r="L426" s="12">
        <f>IF(K426="","",INDEX('状态价值'!$D3:$K3,MATCH(K426,'状态价值'!$D$1:$K$1,0)))</f>
        <v/>
      </c>
      <c r="M426" s="15">
        <f>NORM.S.INV(RAND())</f>
        <v/>
      </c>
      <c r="N426" s="15">
        <f>IF('组合输入'!$C4="","",'组合输入'!$H4*$B426+SQRT(1-'组合输入'!$H4^2)*M426)</f>
        <v/>
      </c>
      <c r="O426" s="7">
        <f>IF(N426="","",NORM.S.DIST(N426,TRUE))</f>
        <v/>
      </c>
      <c r="P426" s="13">
        <f>IF(O426="","",IF(O426&lt;='组合输入'!$K4,"AAA",IF(O426&lt;='组合输入'!$L4,"AA",IF(O426&lt;='组合输入'!$M4,"A",IF(O426&lt;='组合输入'!$N4,"BBB",IF(O426&lt;='组合输入'!$O4,"BB",IF(O426&lt;='组合输入'!$P4,"B",IF(O426&lt;='组合输入'!$Q4,"CCC","D")))))))</f>
        <v/>
      </c>
      <c r="Q426" s="12">
        <f>IF(P426="","",INDEX('状态价值'!$D4:$K4,MATCH(P426,'状态价值'!$D$1:$K$1,0)))</f>
        <v/>
      </c>
      <c r="R426" s="15">
        <f>NORM.S.INV(RAND())</f>
        <v/>
      </c>
      <c r="S426" s="15">
        <f>IF('组合输入'!$C5="","",'组合输入'!$H5*$B426+SQRT(1-'组合输入'!$H5^2)*R426)</f>
        <v/>
      </c>
      <c r="T426" s="7">
        <f>IF(S426="","",NORM.S.DIST(S426,TRUE))</f>
        <v/>
      </c>
      <c r="U426" s="13">
        <f>IF(T426="","",IF(T426&lt;='组合输入'!$K5,"AAA",IF(T426&lt;='组合输入'!$L5,"AA",IF(T426&lt;='组合输入'!$M5,"A",IF(T426&lt;='组合输入'!$N5,"BBB",IF(T426&lt;='组合输入'!$O5,"BB",IF(T426&lt;='组合输入'!$P5,"B",IF(T426&lt;='组合输入'!$Q5,"CCC","D")))))))</f>
        <v/>
      </c>
      <c r="V426" s="12">
        <f>IF(U426="","",INDEX('状态价值'!$D5:$K5,MATCH(U426,'状态价值'!$D$1:$K$1,0)))</f>
        <v/>
      </c>
      <c r="W426" s="15">
        <f>NORM.S.INV(RAND())</f>
        <v/>
      </c>
      <c r="X426" s="15">
        <f>IF('组合输入'!$C6="","",'组合输入'!$H6*$B426+SQRT(1-'组合输入'!$H6^2)*W426)</f>
        <v/>
      </c>
      <c r="Y426" s="7">
        <f>IF(X426="","",NORM.S.DIST(X426,TRUE))</f>
        <v/>
      </c>
      <c r="Z426" s="13">
        <f>IF(Y426="","",IF(Y426&lt;='组合输入'!$K6,"AAA",IF(Y426&lt;='组合输入'!$L6,"AA",IF(Y426&lt;='组合输入'!$M6,"A",IF(Y426&lt;='组合输入'!$N6,"BBB",IF(Y426&lt;='组合输入'!$O6,"BB",IF(Y426&lt;='组合输入'!$P6,"B",IF(Y426&lt;='组合输入'!$Q6,"CCC","D")))))))</f>
        <v/>
      </c>
      <c r="AA426" s="12">
        <f>IF(Z426="","",INDEX('状态价值'!$D6:$K6,MATCH(Z426,'状态价值'!$D$1:$K$1,0)))</f>
        <v/>
      </c>
      <c r="AB426" s="15">
        <f>NORM.S.INV(RAND())</f>
        <v/>
      </c>
      <c r="AC426" s="15">
        <f>IF('组合输入'!$C7="","",'组合输入'!$H7*$B426+SQRT(1-'组合输入'!$H7^2)*AB426)</f>
        <v/>
      </c>
      <c r="AD426" s="7">
        <f>IF(AC426="","",NORM.S.DIST(AC426,TRUE))</f>
        <v/>
      </c>
      <c r="AE426" s="13">
        <f>IF(AD426="","",IF(AD426&lt;='组合输入'!$K7,"AAA",IF(AD426&lt;='组合输入'!$L7,"AA",IF(AD426&lt;='组合输入'!$M7,"A",IF(AD426&lt;='组合输入'!$N7,"BBB",IF(AD426&lt;='组合输入'!$O7,"BB",IF(AD426&lt;='组合输入'!$P7,"B",IF(AD426&lt;='组合输入'!$Q7,"CCC","D")))))))</f>
        <v/>
      </c>
      <c r="AF426" s="12">
        <f>IF(AE426="","",INDEX('状态价值'!$D7:$K7,MATCH(AE426,'状态价值'!$D$1:$K$1,0)))</f>
        <v/>
      </c>
      <c r="AG426" s="15">
        <f>NORM.S.INV(RAND())</f>
        <v/>
      </c>
      <c r="AH426" s="15">
        <f>IF('组合输入'!$C8="","",'组合输入'!$H8*$B426+SQRT(1-'组合输入'!$H8^2)*AG426)</f>
        <v/>
      </c>
      <c r="AI426" s="7">
        <f>IF(AH426="","",NORM.S.DIST(AH426,TRUE))</f>
        <v/>
      </c>
      <c r="AJ426" s="13">
        <f>IF(AI426="","",IF(AI426&lt;='组合输入'!$K8,"AAA",IF(AI426&lt;='组合输入'!$L8,"AA",IF(AI426&lt;='组合输入'!$M8,"A",IF(AI426&lt;='组合输入'!$N8,"BBB",IF(AI426&lt;='组合输入'!$O8,"BB",IF(AI426&lt;='组合输入'!$P8,"B",IF(AI426&lt;='组合输入'!$Q8,"CCC","D")))))))</f>
        <v/>
      </c>
      <c r="AK426" s="12">
        <f>IF(AJ426="","",INDEX('状态价值'!$D8:$K8,MATCH(AJ426,'状态价值'!$D$1:$K$1,0)))</f>
        <v/>
      </c>
      <c r="AL426" s="15">
        <f>NORM.S.INV(RAND())</f>
        <v/>
      </c>
      <c r="AM426" s="15">
        <f>IF('组合输入'!$C9="","",'组合输入'!$H9*$B426+SQRT(1-'组合输入'!$H9^2)*AL426)</f>
        <v/>
      </c>
      <c r="AN426" s="7">
        <f>IF(AM426="","",NORM.S.DIST(AM426,TRUE))</f>
        <v/>
      </c>
      <c r="AO426" s="13">
        <f>IF(AN426="","",IF(AN426&lt;='组合输入'!$K9,"AAA",IF(AN426&lt;='组合输入'!$L9,"AA",IF(AN426&lt;='组合输入'!$M9,"A",IF(AN426&lt;='组合输入'!$N9,"BBB",IF(AN426&lt;='组合输入'!$O9,"BB",IF(AN426&lt;='组合输入'!$P9,"B",IF(AN426&lt;='组合输入'!$Q9,"CCC","D")))))))</f>
        <v/>
      </c>
      <c r="AP426" s="12">
        <f>IF(AO426="","",INDEX('状态价值'!$D9:$K9,MATCH(AO426,'状态价值'!$D$1:$K$1,0)))</f>
        <v/>
      </c>
      <c r="AQ426" s="15">
        <f>NORM.S.INV(RAND())</f>
        <v/>
      </c>
      <c r="AR426" s="15">
        <f>IF('组合输入'!$C10="","",'组合输入'!$H10*$B426+SQRT(1-'组合输入'!$H10^2)*AQ426)</f>
        <v/>
      </c>
      <c r="AS426" s="7">
        <f>IF(AR426="","",NORM.S.DIST(AR426,TRUE))</f>
        <v/>
      </c>
      <c r="AT426" s="13">
        <f>IF(AS426="","",IF(AS426&lt;='组合输入'!$K10,"AAA",IF(AS426&lt;='组合输入'!$L10,"AA",IF(AS426&lt;='组合输入'!$M10,"A",IF(AS426&lt;='组合输入'!$N10,"BBB",IF(AS426&lt;='组合输入'!$O10,"BB",IF(AS426&lt;='组合输入'!$P10,"B",IF(AS426&lt;='组合输入'!$Q10,"CCC","D")))))))</f>
        <v/>
      </c>
      <c r="AU426" s="12">
        <f>IF(AT426="","",INDEX('状态价值'!$D10:$K10,MATCH(AT426,'状态价值'!$D$1:$K$1,0)))</f>
        <v/>
      </c>
      <c r="AV426" s="15">
        <f>NORM.S.INV(RAND())</f>
        <v/>
      </c>
      <c r="AW426" s="15">
        <f>IF('组合输入'!$C11="","",'组合输入'!$H11*$B426+SQRT(1-'组合输入'!$H11^2)*AV426)</f>
        <v/>
      </c>
      <c r="AX426" s="7">
        <f>IF(AW426="","",NORM.S.DIST(AW426,TRUE))</f>
        <v/>
      </c>
      <c r="AY426" s="13">
        <f>IF(AX426="","",IF(AX426&lt;='组合输入'!$K11,"AAA",IF(AX426&lt;='组合输入'!$L11,"AA",IF(AX426&lt;='组合输入'!$M11,"A",IF(AX426&lt;='组合输入'!$N11,"BBB",IF(AX426&lt;='组合输入'!$O11,"BB",IF(AX426&lt;='组合输入'!$P11,"B",IF(AX426&lt;='组合输入'!$Q11,"CCC","D")))))))</f>
        <v/>
      </c>
      <c r="AZ426" s="12">
        <f>IF(AY426="","",INDEX('状态价值'!$D11:$K11,MATCH(AY426,'状态价值'!$D$1:$K$1,0)))</f>
        <v/>
      </c>
      <c r="BA426" s="12">
        <f>G426+L426+Q426+V426+AA426+AF426+AK426+AP426+AU426+AZ426</f>
        <v/>
      </c>
      <c r="BB426" s="12">
        <f>SUM('组合输入'!$J$2:$J$11)-BA426</f>
        <v/>
      </c>
    </row>
    <row r="427">
      <c r="A427" s="11" t="n">
        <v>426</v>
      </c>
      <c r="B427" s="14">
        <f>NORM.S.INV(RAND())</f>
        <v/>
      </c>
      <c r="C427" s="14">
        <f>NORM.S.INV(RAND())</f>
        <v/>
      </c>
      <c r="D427" s="15">
        <f>IF('组合输入'!$C2="","",'组合输入'!$H2*$B427+SQRT(1-'组合输入'!$H2^2)*C427)</f>
        <v/>
      </c>
      <c r="E427" s="7">
        <f>IF(D427="","",NORM.S.DIST(D427,TRUE))</f>
        <v/>
      </c>
      <c r="F427" s="13">
        <f>IF(E427="","",IF(E427&lt;='组合输入'!$K2,"AAA",IF(E427&lt;='组合输入'!$L2,"AA",IF(E427&lt;='组合输入'!$M2,"A",IF(E427&lt;='组合输入'!$N2,"BBB",IF(E427&lt;='组合输入'!$O2,"BB",IF(E427&lt;='组合输入'!$P2,"B",IF(E427&lt;='组合输入'!$Q2,"CCC","D")))))))</f>
        <v/>
      </c>
      <c r="G427" s="12">
        <f>IF(F427="","",INDEX('状态价值'!$D2:$K2,MATCH(F427,'状态价值'!$D$1:$K$1,0)))</f>
        <v/>
      </c>
      <c r="H427" s="15">
        <f>NORM.S.INV(RAND())</f>
        <v/>
      </c>
      <c r="I427" s="15">
        <f>IF('组合输入'!$C3="","",'组合输入'!$H3*$B427+SQRT(1-'组合输入'!$H3^2)*H427)</f>
        <v/>
      </c>
      <c r="J427" s="7">
        <f>IF(I427="","",NORM.S.DIST(I427,TRUE))</f>
        <v/>
      </c>
      <c r="K427" s="13">
        <f>IF(J427="","",IF(J427&lt;='组合输入'!$K3,"AAA",IF(J427&lt;='组合输入'!$L3,"AA",IF(J427&lt;='组合输入'!$M3,"A",IF(J427&lt;='组合输入'!$N3,"BBB",IF(J427&lt;='组合输入'!$O3,"BB",IF(J427&lt;='组合输入'!$P3,"B",IF(J427&lt;='组合输入'!$Q3,"CCC","D")))))))</f>
        <v/>
      </c>
      <c r="L427" s="12">
        <f>IF(K427="","",INDEX('状态价值'!$D3:$K3,MATCH(K427,'状态价值'!$D$1:$K$1,0)))</f>
        <v/>
      </c>
      <c r="M427" s="15">
        <f>NORM.S.INV(RAND())</f>
        <v/>
      </c>
      <c r="N427" s="15">
        <f>IF('组合输入'!$C4="","",'组合输入'!$H4*$B427+SQRT(1-'组合输入'!$H4^2)*M427)</f>
        <v/>
      </c>
      <c r="O427" s="7">
        <f>IF(N427="","",NORM.S.DIST(N427,TRUE))</f>
        <v/>
      </c>
      <c r="P427" s="13">
        <f>IF(O427="","",IF(O427&lt;='组合输入'!$K4,"AAA",IF(O427&lt;='组合输入'!$L4,"AA",IF(O427&lt;='组合输入'!$M4,"A",IF(O427&lt;='组合输入'!$N4,"BBB",IF(O427&lt;='组合输入'!$O4,"BB",IF(O427&lt;='组合输入'!$P4,"B",IF(O427&lt;='组合输入'!$Q4,"CCC","D")))))))</f>
        <v/>
      </c>
      <c r="Q427" s="12">
        <f>IF(P427="","",INDEX('状态价值'!$D4:$K4,MATCH(P427,'状态价值'!$D$1:$K$1,0)))</f>
        <v/>
      </c>
      <c r="R427" s="15">
        <f>NORM.S.INV(RAND())</f>
        <v/>
      </c>
      <c r="S427" s="15">
        <f>IF('组合输入'!$C5="","",'组合输入'!$H5*$B427+SQRT(1-'组合输入'!$H5^2)*R427)</f>
        <v/>
      </c>
      <c r="T427" s="7">
        <f>IF(S427="","",NORM.S.DIST(S427,TRUE))</f>
        <v/>
      </c>
      <c r="U427" s="13">
        <f>IF(T427="","",IF(T427&lt;='组合输入'!$K5,"AAA",IF(T427&lt;='组合输入'!$L5,"AA",IF(T427&lt;='组合输入'!$M5,"A",IF(T427&lt;='组合输入'!$N5,"BBB",IF(T427&lt;='组合输入'!$O5,"BB",IF(T427&lt;='组合输入'!$P5,"B",IF(T427&lt;='组合输入'!$Q5,"CCC","D")))))))</f>
        <v/>
      </c>
      <c r="V427" s="12">
        <f>IF(U427="","",INDEX('状态价值'!$D5:$K5,MATCH(U427,'状态价值'!$D$1:$K$1,0)))</f>
        <v/>
      </c>
      <c r="W427" s="15">
        <f>NORM.S.INV(RAND())</f>
        <v/>
      </c>
      <c r="X427" s="15">
        <f>IF('组合输入'!$C6="","",'组合输入'!$H6*$B427+SQRT(1-'组合输入'!$H6^2)*W427)</f>
        <v/>
      </c>
      <c r="Y427" s="7">
        <f>IF(X427="","",NORM.S.DIST(X427,TRUE))</f>
        <v/>
      </c>
      <c r="Z427" s="13">
        <f>IF(Y427="","",IF(Y427&lt;='组合输入'!$K6,"AAA",IF(Y427&lt;='组合输入'!$L6,"AA",IF(Y427&lt;='组合输入'!$M6,"A",IF(Y427&lt;='组合输入'!$N6,"BBB",IF(Y427&lt;='组合输入'!$O6,"BB",IF(Y427&lt;='组合输入'!$P6,"B",IF(Y427&lt;='组合输入'!$Q6,"CCC","D")))))))</f>
        <v/>
      </c>
      <c r="AA427" s="12">
        <f>IF(Z427="","",INDEX('状态价值'!$D6:$K6,MATCH(Z427,'状态价值'!$D$1:$K$1,0)))</f>
        <v/>
      </c>
      <c r="AB427" s="15">
        <f>NORM.S.INV(RAND())</f>
        <v/>
      </c>
      <c r="AC427" s="15">
        <f>IF('组合输入'!$C7="","",'组合输入'!$H7*$B427+SQRT(1-'组合输入'!$H7^2)*AB427)</f>
        <v/>
      </c>
      <c r="AD427" s="7">
        <f>IF(AC427="","",NORM.S.DIST(AC427,TRUE))</f>
        <v/>
      </c>
      <c r="AE427" s="13">
        <f>IF(AD427="","",IF(AD427&lt;='组合输入'!$K7,"AAA",IF(AD427&lt;='组合输入'!$L7,"AA",IF(AD427&lt;='组合输入'!$M7,"A",IF(AD427&lt;='组合输入'!$N7,"BBB",IF(AD427&lt;='组合输入'!$O7,"BB",IF(AD427&lt;='组合输入'!$P7,"B",IF(AD427&lt;='组合输入'!$Q7,"CCC","D")))))))</f>
        <v/>
      </c>
      <c r="AF427" s="12">
        <f>IF(AE427="","",INDEX('状态价值'!$D7:$K7,MATCH(AE427,'状态价值'!$D$1:$K$1,0)))</f>
        <v/>
      </c>
      <c r="AG427" s="15">
        <f>NORM.S.INV(RAND())</f>
        <v/>
      </c>
      <c r="AH427" s="15">
        <f>IF('组合输入'!$C8="","",'组合输入'!$H8*$B427+SQRT(1-'组合输入'!$H8^2)*AG427)</f>
        <v/>
      </c>
      <c r="AI427" s="7">
        <f>IF(AH427="","",NORM.S.DIST(AH427,TRUE))</f>
        <v/>
      </c>
      <c r="AJ427" s="13">
        <f>IF(AI427="","",IF(AI427&lt;='组合输入'!$K8,"AAA",IF(AI427&lt;='组合输入'!$L8,"AA",IF(AI427&lt;='组合输入'!$M8,"A",IF(AI427&lt;='组合输入'!$N8,"BBB",IF(AI427&lt;='组合输入'!$O8,"BB",IF(AI427&lt;='组合输入'!$P8,"B",IF(AI427&lt;='组合输入'!$Q8,"CCC","D")))))))</f>
        <v/>
      </c>
      <c r="AK427" s="12">
        <f>IF(AJ427="","",INDEX('状态价值'!$D8:$K8,MATCH(AJ427,'状态价值'!$D$1:$K$1,0)))</f>
        <v/>
      </c>
      <c r="AL427" s="15">
        <f>NORM.S.INV(RAND())</f>
        <v/>
      </c>
      <c r="AM427" s="15">
        <f>IF('组合输入'!$C9="","",'组合输入'!$H9*$B427+SQRT(1-'组合输入'!$H9^2)*AL427)</f>
        <v/>
      </c>
      <c r="AN427" s="7">
        <f>IF(AM427="","",NORM.S.DIST(AM427,TRUE))</f>
        <v/>
      </c>
      <c r="AO427" s="13">
        <f>IF(AN427="","",IF(AN427&lt;='组合输入'!$K9,"AAA",IF(AN427&lt;='组合输入'!$L9,"AA",IF(AN427&lt;='组合输入'!$M9,"A",IF(AN427&lt;='组合输入'!$N9,"BBB",IF(AN427&lt;='组合输入'!$O9,"BB",IF(AN427&lt;='组合输入'!$P9,"B",IF(AN427&lt;='组合输入'!$Q9,"CCC","D")))))))</f>
        <v/>
      </c>
      <c r="AP427" s="12">
        <f>IF(AO427="","",INDEX('状态价值'!$D9:$K9,MATCH(AO427,'状态价值'!$D$1:$K$1,0)))</f>
        <v/>
      </c>
      <c r="AQ427" s="15">
        <f>NORM.S.INV(RAND())</f>
        <v/>
      </c>
      <c r="AR427" s="15">
        <f>IF('组合输入'!$C10="","",'组合输入'!$H10*$B427+SQRT(1-'组合输入'!$H10^2)*AQ427)</f>
        <v/>
      </c>
      <c r="AS427" s="7">
        <f>IF(AR427="","",NORM.S.DIST(AR427,TRUE))</f>
        <v/>
      </c>
      <c r="AT427" s="13">
        <f>IF(AS427="","",IF(AS427&lt;='组合输入'!$K10,"AAA",IF(AS427&lt;='组合输入'!$L10,"AA",IF(AS427&lt;='组合输入'!$M10,"A",IF(AS427&lt;='组合输入'!$N10,"BBB",IF(AS427&lt;='组合输入'!$O10,"BB",IF(AS427&lt;='组合输入'!$P10,"B",IF(AS427&lt;='组合输入'!$Q10,"CCC","D")))))))</f>
        <v/>
      </c>
      <c r="AU427" s="12">
        <f>IF(AT427="","",INDEX('状态价值'!$D10:$K10,MATCH(AT427,'状态价值'!$D$1:$K$1,0)))</f>
        <v/>
      </c>
      <c r="AV427" s="15">
        <f>NORM.S.INV(RAND())</f>
        <v/>
      </c>
      <c r="AW427" s="15">
        <f>IF('组合输入'!$C11="","",'组合输入'!$H11*$B427+SQRT(1-'组合输入'!$H11^2)*AV427)</f>
        <v/>
      </c>
      <c r="AX427" s="7">
        <f>IF(AW427="","",NORM.S.DIST(AW427,TRUE))</f>
        <v/>
      </c>
      <c r="AY427" s="13">
        <f>IF(AX427="","",IF(AX427&lt;='组合输入'!$K11,"AAA",IF(AX427&lt;='组合输入'!$L11,"AA",IF(AX427&lt;='组合输入'!$M11,"A",IF(AX427&lt;='组合输入'!$N11,"BBB",IF(AX427&lt;='组合输入'!$O11,"BB",IF(AX427&lt;='组合输入'!$P11,"B",IF(AX427&lt;='组合输入'!$Q11,"CCC","D")))))))</f>
        <v/>
      </c>
      <c r="AZ427" s="12">
        <f>IF(AY427="","",INDEX('状态价值'!$D11:$K11,MATCH(AY427,'状态价值'!$D$1:$K$1,0)))</f>
        <v/>
      </c>
      <c r="BA427" s="12">
        <f>G427+L427+Q427+V427+AA427+AF427+AK427+AP427+AU427+AZ427</f>
        <v/>
      </c>
      <c r="BB427" s="12">
        <f>SUM('组合输入'!$J$2:$J$11)-BA427</f>
        <v/>
      </c>
    </row>
    <row r="428">
      <c r="A428" s="11" t="n">
        <v>427</v>
      </c>
      <c r="B428" s="14">
        <f>NORM.S.INV(RAND())</f>
        <v/>
      </c>
      <c r="C428" s="14">
        <f>NORM.S.INV(RAND())</f>
        <v/>
      </c>
      <c r="D428" s="15">
        <f>IF('组合输入'!$C2="","",'组合输入'!$H2*$B428+SQRT(1-'组合输入'!$H2^2)*C428)</f>
        <v/>
      </c>
      <c r="E428" s="7">
        <f>IF(D428="","",NORM.S.DIST(D428,TRUE))</f>
        <v/>
      </c>
      <c r="F428" s="13">
        <f>IF(E428="","",IF(E428&lt;='组合输入'!$K2,"AAA",IF(E428&lt;='组合输入'!$L2,"AA",IF(E428&lt;='组合输入'!$M2,"A",IF(E428&lt;='组合输入'!$N2,"BBB",IF(E428&lt;='组合输入'!$O2,"BB",IF(E428&lt;='组合输入'!$P2,"B",IF(E428&lt;='组合输入'!$Q2,"CCC","D")))))))</f>
        <v/>
      </c>
      <c r="G428" s="12">
        <f>IF(F428="","",INDEX('状态价值'!$D2:$K2,MATCH(F428,'状态价值'!$D$1:$K$1,0)))</f>
        <v/>
      </c>
      <c r="H428" s="15">
        <f>NORM.S.INV(RAND())</f>
        <v/>
      </c>
      <c r="I428" s="15">
        <f>IF('组合输入'!$C3="","",'组合输入'!$H3*$B428+SQRT(1-'组合输入'!$H3^2)*H428)</f>
        <v/>
      </c>
      <c r="J428" s="7">
        <f>IF(I428="","",NORM.S.DIST(I428,TRUE))</f>
        <v/>
      </c>
      <c r="K428" s="13">
        <f>IF(J428="","",IF(J428&lt;='组合输入'!$K3,"AAA",IF(J428&lt;='组合输入'!$L3,"AA",IF(J428&lt;='组合输入'!$M3,"A",IF(J428&lt;='组合输入'!$N3,"BBB",IF(J428&lt;='组合输入'!$O3,"BB",IF(J428&lt;='组合输入'!$P3,"B",IF(J428&lt;='组合输入'!$Q3,"CCC","D")))))))</f>
        <v/>
      </c>
      <c r="L428" s="12">
        <f>IF(K428="","",INDEX('状态价值'!$D3:$K3,MATCH(K428,'状态价值'!$D$1:$K$1,0)))</f>
        <v/>
      </c>
      <c r="M428" s="15">
        <f>NORM.S.INV(RAND())</f>
        <v/>
      </c>
      <c r="N428" s="15">
        <f>IF('组合输入'!$C4="","",'组合输入'!$H4*$B428+SQRT(1-'组合输入'!$H4^2)*M428)</f>
        <v/>
      </c>
      <c r="O428" s="7">
        <f>IF(N428="","",NORM.S.DIST(N428,TRUE))</f>
        <v/>
      </c>
      <c r="P428" s="13">
        <f>IF(O428="","",IF(O428&lt;='组合输入'!$K4,"AAA",IF(O428&lt;='组合输入'!$L4,"AA",IF(O428&lt;='组合输入'!$M4,"A",IF(O428&lt;='组合输入'!$N4,"BBB",IF(O428&lt;='组合输入'!$O4,"BB",IF(O428&lt;='组合输入'!$P4,"B",IF(O428&lt;='组合输入'!$Q4,"CCC","D")))))))</f>
        <v/>
      </c>
      <c r="Q428" s="12">
        <f>IF(P428="","",INDEX('状态价值'!$D4:$K4,MATCH(P428,'状态价值'!$D$1:$K$1,0)))</f>
        <v/>
      </c>
      <c r="R428" s="15">
        <f>NORM.S.INV(RAND())</f>
        <v/>
      </c>
      <c r="S428" s="15">
        <f>IF('组合输入'!$C5="","",'组合输入'!$H5*$B428+SQRT(1-'组合输入'!$H5^2)*R428)</f>
        <v/>
      </c>
      <c r="T428" s="7">
        <f>IF(S428="","",NORM.S.DIST(S428,TRUE))</f>
        <v/>
      </c>
      <c r="U428" s="13">
        <f>IF(T428="","",IF(T428&lt;='组合输入'!$K5,"AAA",IF(T428&lt;='组合输入'!$L5,"AA",IF(T428&lt;='组合输入'!$M5,"A",IF(T428&lt;='组合输入'!$N5,"BBB",IF(T428&lt;='组合输入'!$O5,"BB",IF(T428&lt;='组合输入'!$P5,"B",IF(T428&lt;='组合输入'!$Q5,"CCC","D")))))))</f>
        <v/>
      </c>
      <c r="V428" s="12">
        <f>IF(U428="","",INDEX('状态价值'!$D5:$K5,MATCH(U428,'状态价值'!$D$1:$K$1,0)))</f>
        <v/>
      </c>
      <c r="W428" s="15">
        <f>NORM.S.INV(RAND())</f>
        <v/>
      </c>
      <c r="X428" s="15">
        <f>IF('组合输入'!$C6="","",'组合输入'!$H6*$B428+SQRT(1-'组合输入'!$H6^2)*W428)</f>
        <v/>
      </c>
      <c r="Y428" s="7">
        <f>IF(X428="","",NORM.S.DIST(X428,TRUE))</f>
        <v/>
      </c>
      <c r="Z428" s="13">
        <f>IF(Y428="","",IF(Y428&lt;='组合输入'!$K6,"AAA",IF(Y428&lt;='组合输入'!$L6,"AA",IF(Y428&lt;='组合输入'!$M6,"A",IF(Y428&lt;='组合输入'!$N6,"BBB",IF(Y428&lt;='组合输入'!$O6,"BB",IF(Y428&lt;='组合输入'!$P6,"B",IF(Y428&lt;='组合输入'!$Q6,"CCC","D")))))))</f>
        <v/>
      </c>
      <c r="AA428" s="12">
        <f>IF(Z428="","",INDEX('状态价值'!$D6:$K6,MATCH(Z428,'状态价值'!$D$1:$K$1,0)))</f>
        <v/>
      </c>
      <c r="AB428" s="15">
        <f>NORM.S.INV(RAND())</f>
        <v/>
      </c>
      <c r="AC428" s="15">
        <f>IF('组合输入'!$C7="","",'组合输入'!$H7*$B428+SQRT(1-'组合输入'!$H7^2)*AB428)</f>
        <v/>
      </c>
      <c r="AD428" s="7">
        <f>IF(AC428="","",NORM.S.DIST(AC428,TRUE))</f>
        <v/>
      </c>
      <c r="AE428" s="13">
        <f>IF(AD428="","",IF(AD428&lt;='组合输入'!$K7,"AAA",IF(AD428&lt;='组合输入'!$L7,"AA",IF(AD428&lt;='组合输入'!$M7,"A",IF(AD428&lt;='组合输入'!$N7,"BBB",IF(AD428&lt;='组合输入'!$O7,"BB",IF(AD428&lt;='组合输入'!$P7,"B",IF(AD428&lt;='组合输入'!$Q7,"CCC","D")))))))</f>
        <v/>
      </c>
      <c r="AF428" s="12">
        <f>IF(AE428="","",INDEX('状态价值'!$D7:$K7,MATCH(AE428,'状态价值'!$D$1:$K$1,0)))</f>
        <v/>
      </c>
      <c r="AG428" s="15">
        <f>NORM.S.INV(RAND())</f>
        <v/>
      </c>
      <c r="AH428" s="15">
        <f>IF('组合输入'!$C8="","",'组合输入'!$H8*$B428+SQRT(1-'组合输入'!$H8^2)*AG428)</f>
        <v/>
      </c>
      <c r="AI428" s="7">
        <f>IF(AH428="","",NORM.S.DIST(AH428,TRUE))</f>
        <v/>
      </c>
      <c r="AJ428" s="13">
        <f>IF(AI428="","",IF(AI428&lt;='组合输入'!$K8,"AAA",IF(AI428&lt;='组合输入'!$L8,"AA",IF(AI428&lt;='组合输入'!$M8,"A",IF(AI428&lt;='组合输入'!$N8,"BBB",IF(AI428&lt;='组合输入'!$O8,"BB",IF(AI428&lt;='组合输入'!$P8,"B",IF(AI428&lt;='组合输入'!$Q8,"CCC","D")))))))</f>
        <v/>
      </c>
      <c r="AK428" s="12">
        <f>IF(AJ428="","",INDEX('状态价值'!$D8:$K8,MATCH(AJ428,'状态价值'!$D$1:$K$1,0)))</f>
        <v/>
      </c>
      <c r="AL428" s="15">
        <f>NORM.S.INV(RAND())</f>
        <v/>
      </c>
      <c r="AM428" s="15">
        <f>IF('组合输入'!$C9="","",'组合输入'!$H9*$B428+SQRT(1-'组合输入'!$H9^2)*AL428)</f>
        <v/>
      </c>
      <c r="AN428" s="7">
        <f>IF(AM428="","",NORM.S.DIST(AM428,TRUE))</f>
        <v/>
      </c>
      <c r="AO428" s="13">
        <f>IF(AN428="","",IF(AN428&lt;='组合输入'!$K9,"AAA",IF(AN428&lt;='组合输入'!$L9,"AA",IF(AN428&lt;='组合输入'!$M9,"A",IF(AN428&lt;='组合输入'!$N9,"BBB",IF(AN428&lt;='组合输入'!$O9,"BB",IF(AN428&lt;='组合输入'!$P9,"B",IF(AN428&lt;='组合输入'!$Q9,"CCC","D")))))))</f>
        <v/>
      </c>
      <c r="AP428" s="12">
        <f>IF(AO428="","",INDEX('状态价值'!$D9:$K9,MATCH(AO428,'状态价值'!$D$1:$K$1,0)))</f>
        <v/>
      </c>
      <c r="AQ428" s="15">
        <f>NORM.S.INV(RAND())</f>
        <v/>
      </c>
      <c r="AR428" s="15">
        <f>IF('组合输入'!$C10="","",'组合输入'!$H10*$B428+SQRT(1-'组合输入'!$H10^2)*AQ428)</f>
        <v/>
      </c>
      <c r="AS428" s="7">
        <f>IF(AR428="","",NORM.S.DIST(AR428,TRUE))</f>
        <v/>
      </c>
      <c r="AT428" s="13">
        <f>IF(AS428="","",IF(AS428&lt;='组合输入'!$K10,"AAA",IF(AS428&lt;='组合输入'!$L10,"AA",IF(AS428&lt;='组合输入'!$M10,"A",IF(AS428&lt;='组合输入'!$N10,"BBB",IF(AS428&lt;='组合输入'!$O10,"BB",IF(AS428&lt;='组合输入'!$P10,"B",IF(AS428&lt;='组合输入'!$Q10,"CCC","D")))))))</f>
        <v/>
      </c>
      <c r="AU428" s="12">
        <f>IF(AT428="","",INDEX('状态价值'!$D10:$K10,MATCH(AT428,'状态价值'!$D$1:$K$1,0)))</f>
        <v/>
      </c>
      <c r="AV428" s="15">
        <f>NORM.S.INV(RAND())</f>
        <v/>
      </c>
      <c r="AW428" s="15">
        <f>IF('组合输入'!$C11="","",'组合输入'!$H11*$B428+SQRT(1-'组合输入'!$H11^2)*AV428)</f>
        <v/>
      </c>
      <c r="AX428" s="7">
        <f>IF(AW428="","",NORM.S.DIST(AW428,TRUE))</f>
        <v/>
      </c>
      <c r="AY428" s="13">
        <f>IF(AX428="","",IF(AX428&lt;='组合输入'!$K11,"AAA",IF(AX428&lt;='组合输入'!$L11,"AA",IF(AX428&lt;='组合输入'!$M11,"A",IF(AX428&lt;='组合输入'!$N11,"BBB",IF(AX428&lt;='组合输入'!$O11,"BB",IF(AX428&lt;='组合输入'!$P11,"B",IF(AX428&lt;='组合输入'!$Q11,"CCC","D")))))))</f>
        <v/>
      </c>
      <c r="AZ428" s="12">
        <f>IF(AY428="","",INDEX('状态价值'!$D11:$K11,MATCH(AY428,'状态价值'!$D$1:$K$1,0)))</f>
        <v/>
      </c>
      <c r="BA428" s="12">
        <f>G428+L428+Q428+V428+AA428+AF428+AK428+AP428+AU428+AZ428</f>
        <v/>
      </c>
      <c r="BB428" s="12">
        <f>SUM('组合输入'!$J$2:$J$11)-BA428</f>
        <v/>
      </c>
    </row>
    <row r="429">
      <c r="A429" s="11" t="n">
        <v>428</v>
      </c>
      <c r="B429" s="14">
        <f>NORM.S.INV(RAND())</f>
        <v/>
      </c>
      <c r="C429" s="14">
        <f>NORM.S.INV(RAND())</f>
        <v/>
      </c>
      <c r="D429" s="15">
        <f>IF('组合输入'!$C2="","",'组合输入'!$H2*$B429+SQRT(1-'组合输入'!$H2^2)*C429)</f>
        <v/>
      </c>
      <c r="E429" s="7">
        <f>IF(D429="","",NORM.S.DIST(D429,TRUE))</f>
        <v/>
      </c>
      <c r="F429" s="13">
        <f>IF(E429="","",IF(E429&lt;='组合输入'!$K2,"AAA",IF(E429&lt;='组合输入'!$L2,"AA",IF(E429&lt;='组合输入'!$M2,"A",IF(E429&lt;='组合输入'!$N2,"BBB",IF(E429&lt;='组合输入'!$O2,"BB",IF(E429&lt;='组合输入'!$P2,"B",IF(E429&lt;='组合输入'!$Q2,"CCC","D")))))))</f>
        <v/>
      </c>
      <c r="G429" s="12">
        <f>IF(F429="","",INDEX('状态价值'!$D2:$K2,MATCH(F429,'状态价值'!$D$1:$K$1,0)))</f>
        <v/>
      </c>
      <c r="H429" s="15">
        <f>NORM.S.INV(RAND())</f>
        <v/>
      </c>
      <c r="I429" s="15">
        <f>IF('组合输入'!$C3="","",'组合输入'!$H3*$B429+SQRT(1-'组合输入'!$H3^2)*H429)</f>
        <v/>
      </c>
      <c r="J429" s="7">
        <f>IF(I429="","",NORM.S.DIST(I429,TRUE))</f>
        <v/>
      </c>
      <c r="K429" s="13">
        <f>IF(J429="","",IF(J429&lt;='组合输入'!$K3,"AAA",IF(J429&lt;='组合输入'!$L3,"AA",IF(J429&lt;='组合输入'!$M3,"A",IF(J429&lt;='组合输入'!$N3,"BBB",IF(J429&lt;='组合输入'!$O3,"BB",IF(J429&lt;='组合输入'!$P3,"B",IF(J429&lt;='组合输入'!$Q3,"CCC","D")))))))</f>
        <v/>
      </c>
      <c r="L429" s="12">
        <f>IF(K429="","",INDEX('状态价值'!$D3:$K3,MATCH(K429,'状态价值'!$D$1:$K$1,0)))</f>
        <v/>
      </c>
      <c r="M429" s="15">
        <f>NORM.S.INV(RAND())</f>
        <v/>
      </c>
      <c r="N429" s="15">
        <f>IF('组合输入'!$C4="","",'组合输入'!$H4*$B429+SQRT(1-'组合输入'!$H4^2)*M429)</f>
        <v/>
      </c>
      <c r="O429" s="7">
        <f>IF(N429="","",NORM.S.DIST(N429,TRUE))</f>
        <v/>
      </c>
      <c r="P429" s="13">
        <f>IF(O429="","",IF(O429&lt;='组合输入'!$K4,"AAA",IF(O429&lt;='组合输入'!$L4,"AA",IF(O429&lt;='组合输入'!$M4,"A",IF(O429&lt;='组合输入'!$N4,"BBB",IF(O429&lt;='组合输入'!$O4,"BB",IF(O429&lt;='组合输入'!$P4,"B",IF(O429&lt;='组合输入'!$Q4,"CCC","D")))))))</f>
        <v/>
      </c>
      <c r="Q429" s="12">
        <f>IF(P429="","",INDEX('状态价值'!$D4:$K4,MATCH(P429,'状态价值'!$D$1:$K$1,0)))</f>
        <v/>
      </c>
      <c r="R429" s="15">
        <f>NORM.S.INV(RAND())</f>
        <v/>
      </c>
      <c r="S429" s="15">
        <f>IF('组合输入'!$C5="","",'组合输入'!$H5*$B429+SQRT(1-'组合输入'!$H5^2)*R429)</f>
        <v/>
      </c>
      <c r="T429" s="7">
        <f>IF(S429="","",NORM.S.DIST(S429,TRUE))</f>
        <v/>
      </c>
      <c r="U429" s="13">
        <f>IF(T429="","",IF(T429&lt;='组合输入'!$K5,"AAA",IF(T429&lt;='组合输入'!$L5,"AA",IF(T429&lt;='组合输入'!$M5,"A",IF(T429&lt;='组合输入'!$N5,"BBB",IF(T429&lt;='组合输入'!$O5,"BB",IF(T429&lt;='组合输入'!$P5,"B",IF(T429&lt;='组合输入'!$Q5,"CCC","D")))))))</f>
        <v/>
      </c>
      <c r="V429" s="12">
        <f>IF(U429="","",INDEX('状态价值'!$D5:$K5,MATCH(U429,'状态价值'!$D$1:$K$1,0)))</f>
        <v/>
      </c>
      <c r="W429" s="15">
        <f>NORM.S.INV(RAND())</f>
        <v/>
      </c>
      <c r="X429" s="15">
        <f>IF('组合输入'!$C6="","",'组合输入'!$H6*$B429+SQRT(1-'组合输入'!$H6^2)*W429)</f>
        <v/>
      </c>
      <c r="Y429" s="7">
        <f>IF(X429="","",NORM.S.DIST(X429,TRUE))</f>
        <v/>
      </c>
      <c r="Z429" s="13">
        <f>IF(Y429="","",IF(Y429&lt;='组合输入'!$K6,"AAA",IF(Y429&lt;='组合输入'!$L6,"AA",IF(Y429&lt;='组合输入'!$M6,"A",IF(Y429&lt;='组合输入'!$N6,"BBB",IF(Y429&lt;='组合输入'!$O6,"BB",IF(Y429&lt;='组合输入'!$P6,"B",IF(Y429&lt;='组合输入'!$Q6,"CCC","D")))))))</f>
        <v/>
      </c>
      <c r="AA429" s="12">
        <f>IF(Z429="","",INDEX('状态价值'!$D6:$K6,MATCH(Z429,'状态价值'!$D$1:$K$1,0)))</f>
        <v/>
      </c>
      <c r="AB429" s="15">
        <f>NORM.S.INV(RAND())</f>
        <v/>
      </c>
      <c r="AC429" s="15">
        <f>IF('组合输入'!$C7="","",'组合输入'!$H7*$B429+SQRT(1-'组合输入'!$H7^2)*AB429)</f>
        <v/>
      </c>
      <c r="AD429" s="7">
        <f>IF(AC429="","",NORM.S.DIST(AC429,TRUE))</f>
        <v/>
      </c>
      <c r="AE429" s="13">
        <f>IF(AD429="","",IF(AD429&lt;='组合输入'!$K7,"AAA",IF(AD429&lt;='组合输入'!$L7,"AA",IF(AD429&lt;='组合输入'!$M7,"A",IF(AD429&lt;='组合输入'!$N7,"BBB",IF(AD429&lt;='组合输入'!$O7,"BB",IF(AD429&lt;='组合输入'!$P7,"B",IF(AD429&lt;='组合输入'!$Q7,"CCC","D")))))))</f>
        <v/>
      </c>
      <c r="AF429" s="12">
        <f>IF(AE429="","",INDEX('状态价值'!$D7:$K7,MATCH(AE429,'状态价值'!$D$1:$K$1,0)))</f>
        <v/>
      </c>
      <c r="AG429" s="15">
        <f>NORM.S.INV(RAND())</f>
        <v/>
      </c>
      <c r="AH429" s="15">
        <f>IF('组合输入'!$C8="","",'组合输入'!$H8*$B429+SQRT(1-'组合输入'!$H8^2)*AG429)</f>
        <v/>
      </c>
      <c r="AI429" s="7">
        <f>IF(AH429="","",NORM.S.DIST(AH429,TRUE))</f>
        <v/>
      </c>
      <c r="AJ429" s="13">
        <f>IF(AI429="","",IF(AI429&lt;='组合输入'!$K8,"AAA",IF(AI429&lt;='组合输入'!$L8,"AA",IF(AI429&lt;='组合输入'!$M8,"A",IF(AI429&lt;='组合输入'!$N8,"BBB",IF(AI429&lt;='组合输入'!$O8,"BB",IF(AI429&lt;='组合输入'!$P8,"B",IF(AI429&lt;='组合输入'!$Q8,"CCC","D")))))))</f>
        <v/>
      </c>
      <c r="AK429" s="12">
        <f>IF(AJ429="","",INDEX('状态价值'!$D8:$K8,MATCH(AJ429,'状态价值'!$D$1:$K$1,0)))</f>
        <v/>
      </c>
      <c r="AL429" s="15">
        <f>NORM.S.INV(RAND())</f>
        <v/>
      </c>
      <c r="AM429" s="15">
        <f>IF('组合输入'!$C9="","",'组合输入'!$H9*$B429+SQRT(1-'组合输入'!$H9^2)*AL429)</f>
        <v/>
      </c>
      <c r="AN429" s="7">
        <f>IF(AM429="","",NORM.S.DIST(AM429,TRUE))</f>
        <v/>
      </c>
      <c r="AO429" s="13">
        <f>IF(AN429="","",IF(AN429&lt;='组合输入'!$K9,"AAA",IF(AN429&lt;='组合输入'!$L9,"AA",IF(AN429&lt;='组合输入'!$M9,"A",IF(AN429&lt;='组合输入'!$N9,"BBB",IF(AN429&lt;='组合输入'!$O9,"BB",IF(AN429&lt;='组合输入'!$P9,"B",IF(AN429&lt;='组合输入'!$Q9,"CCC","D")))))))</f>
        <v/>
      </c>
      <c r="AP429" s="12">
        <f>IF(AO429="","",INDEX('状态价值'!$D9:$K9,MATCH(AO429,'状态价值'!$D$1:$K$1,0)))</f>
        <v/>
      </c>
      <c r="AQ429" s="15">
        <f>NORM.S.INV(RAND())</f>
        <v/>
      </c>
      <c r="AR429" s="15">
        <f>IF('组合输入'!$C10="","",'组合输入'!$H10*$B429+SQRT(1-'组合输入'!$H10^2)*AQ429)</f>
        <v/>
      </c>
      <c r="AS429" s="7">
        <f>IF(AR429="","",NORM.S.DIST(AR429,TRUE))</f>
        <v/>
      </c>
      <c r="AT429" s="13">
        <f>IF(AS429="","",IF(AS429&lt;='组合输入'!$K10,"AAA",IF(AS429&lt;='组合输入'!$L10,"AA",IF(AS429&lt;='组合输入'!$M10,"A",IF(AS429&lt;='组合输入'!$N10,"BBB",IF(AS429&lt;='组合输入'!$O10,"BB",IF(AS429&lt;='组合输入'!$P10,"B",IF(AS429&lt;='组合输入'!$Q10,"CCC","D")))))))</f>
        <v/>
      </c>
      <c r="AU429" s="12">
        <f>IF(AT429="","",INDEX('状态价值'!$D10:$K10,MATCH(AT429,'状态价值'!$D$1:$K$1,0)))</f>
        <v/>
      </c>
      <c r="AV429" s="15">
        <f>NORM.S.INV(RAND())</f>
        <v/>
      </c>
      <c r="AW429" s="15">
        <f>IF('组合输入'!$C11="","",'组合输入'!$H11*$B429+SQRT(1-'组合输入'!$H11^2)*AV429)</f>
        <v/>
      </c>
      <c r="AX429" s="7">
        <f>IF(AW429="","",NORM.S.DIST(AW429,TRUE))</f>
        <v/>
      </c>
      <c r="AY429" s="13">
        <f>IF(AX429="","",IF(AX429&lt;='组合输入'!$K11,"AAA",IF(AX429&lt;='组合输入'!$L11,"AA",IF(AX429&lt;='组合输入'!$M11,"A",IF(AX429&lt;='组合输入'!$N11,"BBB",IF(AX429&lt;='组合输入'!$O11,"BB",IF(AX429&lt;='组合输入'!$P11,"B",IF(AX429&lt;='组合输入'!$Q11,"CCC","D")))))))</f>
        <v/>
      </c>
      <c r="AZ429" s="12">
        <f>IF(AY429="","",INDEX('状态价值'!$D11:$K11,MATCH(AY429,'状态价值'!$D$1:$K$1,0)))</f>
        <v/>
      </c>
      <c r="BA429" s="12">
        <f>G429+L429+Q429+V429+AA429+AF429+AK429+AP429+AU429+AZ429</f>
        <v/>
      </c>
      <c r="BB429" s="12">
        <f>SUM('组合输入'!$J$2:$J$11)-BA429</f>
        <v/>
      </c>
    </row>
    <row r="430">
      <c r="A430" s="11" t="n">
        <v>429</v>
      </c>
      <c r="B430" s="14">
        <f>NORM.S.INV(RAND())</f>
        <v/>
      </c>
      <c r="C430" s="14">
        <f>NORM.S.INV(RAND())</f>
        <v/>
      </c>
      <c r="D430" s="15">
        <f>IF('组合输入'!$C2="","",'组合输入'!$H2*$B430+SQRT(1-'组合输入'!$H2^2)*C430)</f>
        <v/>
      </c>
      <c r="E430" s="7">
        <f>IF(D430="","",NORM.S.DIST(D430,TRUE))</f>
        <v/>
      </c>
      <c r="F430" s="13">
        <f>IF(E430="","",IF(E430&lt;='组合输入'!$K2,"AAA",IF(E430&lt;='组合输入'!$L2,"AA",IF(E430&lt;='组合输入'!$M2,"A",IF(E430&lt;='组合输入'!$N2,"BBB",IF(E430&lt;='组合输入'!$O2,"BB",IF(E430&lt;='组合输入'!$P2,"B",IF(E430&lt;='组合输入'!$Q2,"CCC","D")))))))</f>
        <v/>
      </c>
      <c r="G430" s="12">
        <f>IF(F430="","",INDEX('状态价值'!$D2:$K2,MATCH(F430,'状态价值'!$D$1:$K$1,0)))</f>
        <v/>
      </c>
      <c r="H430" s="15">
        <f>NORM.S.INV(RAND())</f>
        <v/>
      </c>
      <c r="I430" s="15">
        <f>IF('组合输入'!$C3="","",'组合输入'!$H3*$B430+SQRT(1-'组合输入'!$H3^2)*H430)</f>
        <v/>
      </c>
      <c r="J430" s="7">
        <f>IF(I430="","",NORM.S.DIST(I430,TRUE))</f>
        <v/>
      </c>
      <c r="K430" s="13">
        <f>IF(J430="","",IF(J430&lt;='组合输入'!$K3,"AAA",IF(J430&lt;='组合输入'!$L3,"AA",IF(J430&lt;='组合输入'!$M3,"A",IF(J430&lt;='组合输入'!$N3,"BBB",IF(J430&lt;='组合输入'!$O3,"BB",IF(J430&lt;='组合输入'!$P3,"B",IF(J430&lt;='组合输入'!$Q3,"CCC","D")))))))</f>
        <v/>
      </c>
      <c r="L430" s="12">
        <f>IF(K430="","",INDEX('状态价值'!$D3:$K3,MATCH(K430,'状态价值'!$D$1:$K$1,0)))</f>
        <v/>
      </c>
      <c r="M430" s="15">
        <f>NORM.S.INV(RAND())</f>
        <v/>
      </c>
      <c r="N430" s="15">
        <f>IF('组合输入'!$C4="","",'组合输入'!$H4*$B430+SQRT(1-'组合输入'!$H4^2)*M430)</f>
        <v/>
      </c>
      <c r="O430" s="7">
        <f>IF(N430="","",NORM.S.DIST(N430,TRUE))</f>
        <v/>
      </c>
      <c r="P430" s="13">
        <f>IF(O430="","",IF(O430&lt;='组合输入'!$K4,"AAA",IF(O430&lt;='组合输入'!$L4,"AA",IF(O430&lt;='组合输入'!$M4,"A",IF(O430&lt;='组合输入'!$N4,"BBB",IF(O430&lt;='组合输入'!$O4,"BB",IF(O430&lt;='组合输入'!$P4,"B",IF(O430&lt;='组合输入'!$Q4,"CCC","D")))))))</f>
        <v/>
      </c>
      <c r="Q430" s="12">
        <f>IF(P430="","",INDEX('状态价值'!$D4:$K4,MATCH(P430,'状态价值'!$D$1:$K$1,0)))</f>
        <v/>
      </c>
      <c r="R430" s="15">
        <f>NORM.S.INV(RAND())</f>
        <v/>
      </c>
      <c r="S430" s="15">
        <f>IF('组合输入'!$C5="","",'组合输入'!$H5*$B430+SQRT(1-'组合输入'!$H5^2)*R430)</f>
        <v/>
      </c>
      <c r="T430" s="7">
        <f>IF(S430="","",NORM.S.DIST(S430,TRUE))</f>
        <v/>
      </c>
      <c r="U430" s="13">
        <f>IF(T430="","",IF(T430&lt;='组合输入'!$K5,"AAA",IF(T430&lt;='组合输入'!$L5,"AA",IF(T430&lt;='组合输入'!$M5,"A",IF(T430&lt;='组合输入'!$N5,"BBB",IF(T430&lt;='组合输入'!$O5,"BB",IF(T430&lt;='组合输入'!$P5,"B",IF(T430&lt;='组合输入'!$Q5,"CCC","D")))))))</f>
        <v/>
      </c>
      <c r="V430" s="12">
        <f>IF(U430="","",INDEX('状态价值'!$D5:$K5,MATCH(U430,'状态价值'!$D$1:$K$1,0)))</f>
        <v/>
      </c>
      <c r="W430" s="15">
        <f>NORM.S.INV(RAND())</f>
        <v/>
      </c>
      <c r="X430" s="15">
        <f>IF('组合输入'!$C6="","",'组合输入'!$H6*$B430+SQRT(1-'组合输入'!$H6^2)*W430)</f>
        <v/>
      </c>
      <c r="Y430" s="7">
        <f>IF(X430="","",NORM.S.DIST(X430,TRUE))</f>
        <v/>
      </c>
      <c r="Z430" s="13">
        <f>IF(Y430="","",IF(Y430&lt;='组合输入'!$K6,"AAA",IF(Y430&lt;='组合输入'!$L6,"AA",IF(Y430&lt;='组合输入'!$M6,"A",IF(Y430&lt;='组合输入'!$N6,"BBB",IF(Y430&lt;='组合输入'!$O6,"BB",IF(Y430&lt;='组合输入'!$P6,"B",IF(Y430&lt;='组合输入'!$Q6,"CCC","D")))))))</f>
        <v/>
      </c>
      <c r="AA430" s="12">
        <f>IF(Z430="","",INDEX('状态价值'!$D6:$K6,MATCH(Z430,'状态价值'!$D$1:$K$1,0)))</f>
        <v/>
      </c>
      <c r="AB430" s="15">
        <f>NORM.S.INV(RAND())</f>
        <v/>
      </c>
      <c r="AC430" s="15">
        <f>IF('组合输入'!$C7="","",'组合输入'!$H7*$B430+SQRT(1-'组合输入'!$H7^2)*AB430)</f>
        <v/>
      </c>
      <c r="AD430" s="7">
        <f>IF(AC430="","",NORM.S.DIST(AC430,TRUE))</f>
        <v/>
      </c>
      <c r="AE430" s="13">
        <f>IF(AD430="","",IF(AD430&lt;='组合输入'!$K7,"AAA",IF(AD430&lt;='组合输入'!$L7,"AA",IF(AD430&lt;='组合输入'!$M7,"A",IF(AD430&lt;='组合输入'!$N7,"BBB",IF(AD430&lt;='组合输入'!$O7,"BB",IF(AD430&lt;='组合输入'!$P7,"B",IF(AD430&lt;='组合输入'!$Q7,"CCC","D")))))))</f>
        <v/>
      </c>
      <c r="AF430" s="12">
        <f>IF(AE430="","",INDEX('状态价值'!$D7:$K7,MATCH(AE430,'状态价值'!$D$1:$K$1,0)))</f>
        <v/>
      </c>
      <c r="AG430" s="15">
        <f>NORM.S.INV(RAND())</f>
        <v/>
      </c>
      <c r="AH430" s="15">
        <f>IF('组合输入'!$C8="","",'组合输入'!$H8*$B430+SQRT(1-'组合输入'!$H8^2)*AG430)</f>
        <v/>
      </c>
      <c r="AI430" s="7">
        <f>IF(AH430="","",NORM.S.DIST(AH430,TRUE))</f>
        <v/>
      </c>
      <c r="AJ430" s="13">
        <f>IF(AI430="","",IF(AI430&lt;='组合输入'!$K8,"AAA",IF(AI430&lt;='组合输入'!$L8,"AA",IF(AI430&lt;='组合输入'!$M8,"A",IF(AI430&lt;='组合输入'!$N8,"BBB",IF(AI430&lt;='组合输入'!$O8,"BB",IF(AI430&lt;='组合输入'!$P8,"B",IF(AI430&lt;='组合输入'!$Q8,"CCC","D")))))))</f>
        <v/>
      </c>
      <c r="AK430" s="12">
        <f>IF(AJ430="","",INDEX('状态价值'!$D8:$K8,MATCH(AJ430,'状态价值'!$D$1:$K$1,0)))</f>
        <v/>
      </c>
      <c r="AL430" s="15">
        <f>NORM.S.INV(RAND())</f>
        <v/>
      </c>
      <c r="AM430" s="15">
        <f>IF('组合输入'!$C9="","",'组合输入'!$H9*$B430+SQRT(1-'组合输入'!$H9^2)*AL430)</f>
        <v/>
      </c>
      <c r="AN430" s="7">
        <f>IF(AM430="","",NORM.S.DIST(AM430,TRUE))</f>
        <v/>
      </c>
      <c r="AO430" s="13">
        <f>IF(AN430="","",IF(AN430&lt;='组合输入'!$K9,"AAA",IF(AN430&lt;='组合输入'!$L9,"AA",IF(AN430&lt;='组合输入'!$M9,"A",IF(AN430&lt;='组合输入'!$N9,"BBB",IF(AN430&lt;='组合输入'!$O9,"BB",IF(AN430&lt;='组合输入'!$P9,"B",IF(AN430&lt;='组合输入'!$Q9,"CCC","D")))))))</f>
        <v/>
      </c>
      <c r="AP430" s="12">
        <f>IF(AO430="","",INDEX('状态价值'!$D9:$K9,MATCH(AO430,'状态价值'!$D$1:$K$1,0)))</f>
        <v/>
      </c>
      <c r="AQ430" s="15">
        <f>NORM.S.INV(RAND())</f>
        <v/>
      </c>
      <c r="AR430" s="15">
        <f>IF('组合输入'!$C10="","",'组合输入'!$H10*$B430+SQRT(1-'组合输入'!$H10^2)*AQ430)</f>
        <v/>
      </c>
      <c r="AS430" s="7">
        <f>IF(AR430="","",NORM.S.DIST(AR430,TRUE))</f>
        <v/>
      </c>
      <c r="AT430" s="13">
        <f>IF(AS430="","",IF(AS430&lt;='组合输入'!$K10,"AAA",IF(AS430&lt;='组合输入'!$L10,"AA",IF(AS430&lt;='组合输入'!$M10,"A",IF(AS430&lt;='组合输入'!$N10,"BBB",IF(AS430&lt;='组合输入'!$O10,"BB",IF(AS430&lt;='组合输入'!$P10,"B",IF(AS430&lt;='组合输入'!$Q10,"CCC","D")))))))</f>
        <v/>
      </c>
      <c r="AU430" s="12">
        <f>IF(AT430="","",INDEX('状态价值'!$D10:$K10,MATCH(AT430,'状态价值'!$D$1:$K$1,0)))</f>
        <v/>
      </c>
      <c r="AV430" s="15">
        <f>NORM.S.INV(RAND())</f>
        <v/>
      </c>
      <c r="AW430" s="15">
        <f>IF('组合输入'!$C11="","",'组合输入'!$H11*$B430+SQRT(1-'组合输入'!$H11^2)*AV430)</f>
        <v/>
      </c>
      <c r="AX430" s="7">
        <f>IF(AW430="","",NORM.S.DIST(AW430,TRUE))</f>
        <v/>
      </c>
      <c r="AY430" s="13">
        <f>IF(AX430="","",IF(AX430&lt;='组合输入'!$K11,"AAA",IF(AX430&lt;='组合输入'!$L11,"AA",IF(AX430&lt;='组合输入'!$M11,"A",IF(AX430&lt;='组合输入'!$N11,"BBB",IF(AX430&lt;='组合输入'!$O11,"BB",IF(AX430&lt;='组合输入'!$P11,"B",IF(AX430&lt;='组合输入'!$Q11,"CCC","D")))))))</f>
        <v/>
      </c>
      <c r="AZ430" s="12">
        <f>IF(AY430="","",INDEX('状态价值'!$D11:$K11,MATCH(AY430,'状态价值'!$D$1:$K$1,0)))</f>
        <v/>
      </c>
      <c r="BA430" s="12">
        <f>G430+L430+Q430+V430+AA430+AF430+AK430+AP430+AU430+AZ430</f>
        <v/>
      </c>
      <c r="BB430" s="12">
        <f>SUM('组合输入'!$J$2:$J$11)-BA430</f>
        <v/>
      </c>
    </row>
    <row r="431">
      <c r="A431" s="11" t="n">
        <v>430</v>
      </c>
      <c r="B431" s="14">
        <f>NORM.S.INV(RAND())</f>
        <v/>
      </c>
      <c r="C431" s="14">
        <f>NORM.S.INV(RAND())</f>
        <v/>
      </c>
      <c r="D431" s="15">
        <f>IF('组合输入'!$C2="","",'组合输入'!$H2*$B431+SQRT(1-'组合输入'!$H2^2)*C431)</f>
        <v/>
      </c>
      <c r="E431" s="7">
        <f>IF(D431="","",NORM.S.DIST(D431,TRUE))</f>
        <v/>
      </c>
      <c r="F431" s="13">
        <f>IF(E431="","",IF(E431&lt;='组合输入'!$K2,"AAA",IF(E431&lt;='组合输入'!$L2,"AA",IF(E431&lt;='组合输入'!$M2,"A",IF(E431&lt;='组合输入'!$N2,"BBB",IF(E431&lt;='组合输入'!$O2,"BB",IF(E431&lt;='组合输入'!$P2,"B",IF(E431&lt;='组合输入'!$Q2,"CCC","D")))))))</f>
        <v/>
      </c>
      <c r="G431" s="12">
        <f>IF(F431="","",INDEX('状态价值'!$D2:$K2,MATCH(F431,'状态价值'!$D$1:$K$1,0)))</f>
        <v/>
      </c>
      <c r="H431" s="15">
        <f>NORM.S.INV(RAND())</f>
        <v/>
      </c>
      <c r="I431" s="15">
        <f>IF('组合输入'!$C3="","",'组合输入'!$H3*$B431+SQRT(1-'组合输入'!$H3^2)*H431)</f>
        <v/>
      </c>
      <c r="J431" s="7">
        <f>IF(I431="","",NORM.S.DIST(I431,TRUE))</f>
        <v/>
      </c>
      <c r="K431" s="13">
        <f>IF(J431="","",IF(J431&lt;='组合输入'!$K3,"AAA",IF(J431&lt;='组合输入'!$L3,"AA",IF(J431&lt;='组合输入'!$M3,"A",IF(J431&lt;='组合输入'!$N3,"BBB",IF(J431&lt;='组合输入'!$O3,"BB",IF(J431&lt;='组合输入'!$P3,"B",IF(J431&lt;='组合输入'!$Q3,"CCC","D")))))))</f>
        <v/>
      </c>
      <c r="L431" s="12">
        <f>IF(K431="","",INDEX('状态价值'!$D3:$K3,MATCH(K431,'状态价值'!$D$1:$K$1,0)))</f>
        <v/>
      </c>
      <c r="M431" s="15">
        <f>NORM.S.INV(RAND())</f>
        <v/>
      </c>
      <c r="N431" s="15">
        <f>IF('组合输入'!$C4="","",'组合输入'!$H4*$B431+SQRT(1-'组合输入'!$H4^2)*M431)</f>
        <v/>
      </c>
      <c r="O431" s="7">
        <f>IF(N431="","",NORM.S.DIST(N431,TRUE))</f>
        <v/>
      </c>
      <c r="P431" s="13">
        <f>IF(O431="","",IF(O431&lt;='组合输入'!$K4,"AAA",IF(O431&lt;='组合输入'!$L4,"AA",IF(O431&lt;='组合输入'!$M4,"A",IF(O431&lt;='组合输入'!$N4,"BBB",IF(O431&lt;='组合输入'!$O4,"BB",IF(O431&lt;='组合输入'!$P4,"B",IF(O431&lt;='组合输入'!$Q4,"CCC","D")))))))</f>
        <v/>
      </c>
      <c r="Q431" s="12">
        <f>IF(P431="","",INDEX('状态价值'!$D4:$K4,MATCH(P431,'状态价值'!$D$1:$K$1,0)))</f>
        <v/>
      </c>
      <c r="R431" s="15">
        <f>NORM.S.INV(RAND())</f>
        <v/>
      </c>
      <c r="S431" s="15">
        <f>IF('组合输入'!$C5="","",'组合输入'!$H5*$B431+SQRT(1-'组合输入'!$H5^2)*R431)</f>
        <v/>
      </c>
      <c r="T431" s="7">
        <f>IF(S431="","",NORM.S.DIST(S431,TRUE))</f>
        <v/>
      </c>
      <c r="U431" s="13">
        <f>IF(T431="","",IF(T431&lt;='组合输入'!$K5,"AAA",IF(T431&lt;='组合输入'!$L5,"AA",IF(T431&lt;='组合输入'!$M5,"A",IF(T431&lt;='组合输入'!$N5,"BBB",IF(T431&lt;='组合输入'!$O5,"BB",IF(T431&lt;='组合输入'!$P5,"B",IF(T431&lt;='组合输入'!$Q5,"CCC","D")))))))</f>
        <v/>
      </c>
      <c r="V431" s="12">
        <f>IF(U431="","",INDEX('状态价值'!$D5:$K5,MATCH(U431,'状态价值'!$D$1:$K$1,0)))</f>
        <v/>
      </c>
      <c r="W431" s="15">
        <f>NORM.S.INV(RAND())</f>
        <v/>
      </c>
      <c r="X431" s="15">
        <f>IF('组合输入'!$C6="","",'组合输入'!$H6*$B431+SQRT(1-'组合输入'!$H6^2)*W431)</f>
        <v/>
      </c>
      <c r="Y431" s="7">
        <f>IF(X431="","",NORM.S.DIST(X431,TRUE))</f>
        <v/>
      </c>
      <c r="Z431" s="13">
        <f>IF(Y431="","",IF(Y431&lt;='组合输入'!$K6,"AAA",IF(Y431&lt;='组合输入'!$L6,"AA",IF(Y431&lt;='组合输入'!$M6,"A",IF(Y431&lt;='组合输入'!$N6,"BBB",IF(Y431&lt;='组合输入'!$O6,"BB",IF(Y431&lt;='组合输入'!$P6,"B",IF(Y431&lt;='组合输入'!$Q6,"CCC","D")))))))</f>
        <v/>
      </c>
      <c r="AA431" s="12">
        <f>IF(Z431="","",INDEX('状态价值'!$D6:$K6,MATCH(Z431,'状态价值'!$D$1:$K$1,0)))</f>
        <v/>
      </c>
      <c r="AB431" s="15">
        <f>NORM.S.INV(RAND())</f>
        <v/>
      </c>
      <c r="AC431" s="15">
        <f>IF('组合输入'!$C7="","",'组合输入'!$H7*$B431+SQRT(1-'组合输入'!$H7^2)*AB431)</f>
        <v/>
      </c>
      <c r="AD431" s="7">
        <f>IF(AC431="","",NORM.S.DIST(AC431,TRUE))</f>
        <v/>
      </c>
      <c r="AE431" s="13">
        <f>IF(AD431="","",IF(AD431&lt;='组合输入'!$K7,"AAA",IF(AD431&lt;='组合输入'!$L7,"AA",IF(AD431&lt;='组合输入'!$M7,"A",IF(AD431&lt;='组合输入'!$N7,"BBB",IF(AD431&lt;='组合输入'!$O7,"BB",IF(AD431&lt;='组合输入'!$P7,"B",IF(AD431&lt;='组合输入'!$Q7,"CCC","D")))))))</f>
        <v/>
      </c>
      <c r="AF431" s="12">
        <f>IF(AE431="","",INDEX('状态价值'!$D7:$K7,MATCH(AE431,'状态价值'!$D$1:$K$1,0)))</f>
        <v/>
      </c>
      <c r="AG431" s="15">
        <f>NORM.S.INV(RAND())</f>
        <v/>
      </c>
      <c r="AH431" s="15">
        <f>IF('组合输入'!$C8="","",'组合输入'!$H8*$B431+SQRT(1-'组合输入'!$H8^2)*AG431)</f>
        <v/>
      </c>
      <c r="AI431" s="7">
        <f>IF(AH431="","",NORM.S.DIST(AH431,TRUE))</f>
        <v/>
      </c>
      <c r="AJ431" s="13">
        <f>IF(AI431="","",IF(AI431&lt;='组合输入'!$K8,"AAA",IF(AI431&lt;='组合输入'!$L8,"AA",IF(AI431&lt;='组合输入'!$M8,"A",IF(AI431&lt;='组合输入'!$N8,"BBB",IF(AI431&lt;='组合输入'!$O8,"BB",IF(AI431&lt;='组合输入'!$P8,"B",IF(AI431&lt;='组合输入'!$Q8,"CCC","D")))))))</f>
        <v/>
      </c>
      <c r="AK431" s="12">
        <f>IF(AJ431="","",INDEX('状态价值'!$D8:$K8,MATCH(AJ431,'状态价值'!$D$1:$K$1,0)))</f>
        <v/>
      </c>
      <c r="AL431" s="15">
        <f>NORM.S.INV(RAND())</f>
        <v/>
      </c>
      <c r="AM431" s="15">
        <f>IF('组合输入'!$C9="","",'组合输入'!$H9*$B431+SQRT(1-'组合输入'!$H9^2)*AL431)</f>
        <v/>
      </c>
      <c r="AN431" s="7">
        <f>IF(AM431="","",NORM.S.DIST(AM431,TRUE))</f>
        <v/>
      </c>
      <c r="AO431" s="13">
        <f>IF(AN431="","",IF(AN431&lt;='组合输入'!$K9,"AAA",IF(AN431&lt;='组合输入'!$L9,"AA",IF(AN431&lt;='组合输入'!$M9,"A",IF(AN431&lt;='组合输入'!$N9,"BBB",IF(AN431&lt;='组合输入'!$O9,"BB",IF(AN431&lt;='组合输入'!$P9,"B",IF(AN431&lt;='组合输入'!$Q9,"CCC","D")))))))</f>
        <v/>
      </c>
      <c r="AP431" s="12">
        <f>IF(AO431="","",INDEX('状态价值'!$D9:$K9,MATCH(AO431,'状态价值'!$D$1:$K$1,0)))</f>
        <v/>
      </c>
      <c r="AQ431" s="15">
        <f>NORM.S.INV(RAND())</f>
        <v/>
      </c>
      <c r="AR431" s="15">
        <f>IF('组合输入'!$C10="","",'组合输入'!$H10*$B431+SQRT(1-'组合输入'!$H10^2)*AQ431)</f>
        <v/>
      </c>
      <c r="AS431" s="7">
        <f>IF(AR431="","",NORM.S.DIST(AR431,TRUE))</f>
        <v/>
      </c>
      <c r="AT431" s="13">
        <f>IF(AS431="","",IF(AS431&lt;='组合输入'!$K10,"AAA",IF(AS431&lt;='组合输入'!$L10,"AA",IF(AS431&lt;='组合输入'!$M10,"A",IF(AS431&lt;='组合输入'!$N10,"BBB",IF(AS431&lt;='组合输入'!$O10,"BB",IF(AS431&lt;='组合输入'!$P10,"B",IF(AS431&lt;='组合输入'!$Q10,"CCC","D")))))))</f>
        <v/>
      </c>
      <c r="AU431" s="12">
        <f>IF(AT431="","",INDEX('状态价值'!$D10:$K10,MATCH(AT431,'状态价值'!$D$1:$K$1,0)))</f>
        <v/>
      </c>
      <c r="AV431" s="15">
        <f>NORM.S.INV(RAND())</f>
        <v/>
      </c>
      <c r="AW431" s="15">
        <f>IF('组合输入'!$C11="","",'组合输入'!$H11*$B431+SQRT(1-'组合输入'!$H11^2)*AV431)</f>
        <v/>
      </c>
      <c r="AX431" s="7">
        <f>IF(AW431="","",NORM.S.DIST(AW431,TRUE))</f>
        <v/>
      </c>
      <c r="AY431" s="13">
        <f>IF(AX431="","",IF(AX431&lt;='组合输入'!$K11,"AAA",IF(AX431&lt;='组合输入'!$L11,"AA",IF(AX431&lt;='组合输入'!$M11,"A",IF(AX431&lt;='组合输入'!$N11,"BBB",IF(AX431&lt;='组合输入'!$O11,"BB",IF(AX431&lt;='组合输入'!$P11,"B",IF(AX431&lt;='组合输入'!$Q11,"CCC","D")))))))</f>
        <v/>
      </c>
      <c r="AZ431" s="12">
        <f>IF(AY431="","",INDEX('状态价值'!$D11:$K11,MATCH(AY431,'状态价值'!$D$1:$K$1,0)))</f>
        <v/>
      </c>
      <c r="BA431" s="12">
        <f>G431+L431+Q431+V431+AA431+AF431+AK431+AP431+AU431+AZ431</f>
        <v/>
      </c>
      <c r="BB431" s="12">
        <f>SUM('组合输入'!$J$2:$J$11)-BA431</f>
        <v/>
      </c>
    </row>
    <row r="432">
      <c r="A432" s="11" t="n">
        <v>431</v>
      </c>
      <c r="B432" s="14">
        <f>NORM.S.INV(RAND())</f>
        <v/>
      </c>
      <c r="C432" s="14">
        <f>NORM.S.INV(RAND())</f>
        <v/>
      </c>
      <c r="D432" s="15">
        <f>IF('组合输入'!$C2="","",'组合输入'!$H2*$B432+SQRT(1-'组合输入'!$H2^2)*C432)</f>
        <v/>
      </c>
      <c r="E432" s="7">
        <f>IF(D432="","",NORM.S.DIST(D432,TRUE))</f>
        <v/>
      </c>
      <c r="F432" s="13">
        <f>IF(E432="","",IF(E432&lt;='组合输入'!$K2,"AAA",IF(E432&lt;='组合输入'!$L2,"AA",IF(E432&lt;='组合输入'!$M2,"A",IF(E432&lt;='组合输入'!$N2,"BBB",IF(E432&lt;='组合输入'!$O2,"BB",IF(E432&lt;='组合输入'!$P2,"B",IF(E432&lt;='组合输入'!$Q2,"CCC","D")))))))</f>
        <v/>
      </c>
      <c r="G432" s="12">
        <f>IF(F432="","",INDEX('状态价值'!$D2:$K2,MATCH(F432,'状态价值'!$D$1:$K$1,0)))</f>
        <v/>
      </c>
      <c r="H432" s="15">
        <f>NORM.S.INV(RAND())</f>
        <v/>
      </c>
      <c r="I432" s="15">
        <f>IF('组合输入'!$C3="","",'组合输入'!$H3*$B432+SQRT(1-'组合输入'!$H3^2)*H432)</f>
        <v/>
      </c>
      <c r="J432" s="7">
        <f>IF(I432="","",NORM.S.DIST(I432,TRUE))</f>
        <v/>
      </c>
      <c r="K432" s="13">
        <f>IF(J432="","",IF(J432&lt;='组合输入'!$K3,"AAA",IF(J432&lt;='组合输入'!$L3,"AA",IF(J432&lt;='组合输入'!$M3,"A",IF(J432&lt;='组合输入'!$N3,"BBB",IF(J432&lt;='组合输入'!$O3,"BB",IF(J432&lt;='组合输入'!$P3,"B",IF(J432&lt;='组合输入'!$Q3,"CCC","D")))))))</f>
        <v/>
      </c>
      <c r="L432" s="12">
        <f>IF(K432="","",INDEX('状态价值'!$D3:$K3,MATCH(K432,'状态价值'!$D$1:$K$1,0)))</f>
        <v/>
      </c>
      <c r="M432" s="15">
        <f>NORM.S.INV(RAND())</f>
        <v/>
      </c>
      <c r="N432" s="15">
        <f>IF('组合输入'!$C4="","",'组合输入'!$H4*$B432+SQRT(1-'组合输入'!$H4^2)*M432)</f>
        <v/>
      </c>
      <c r="O432" s="7">
        <f>IF(N432="","",NORM.S.DIST(N432,TRUE))</f>
        <v/>
      </c>
      <c r="P432" s="13">
        <f>IF(O432="","",IF(O432&lt;='组合输入'!$K4,"AAA",IF(O432&lt;='组合输入'!$L4,"AA",IF(O432&lt;='组合输入'!$M4,"A",IF(O432&lt;='组合输入'!$N4,"BBB",IF(O432&lt;='组合输入'!$O4,"BB",IF(O432&lt;='组合输入'!$P4,"B",IF(O432&lt;='组合输入'!$Q4,"CCC","D")))))))</f>
        <v/>
      </c>
      <c r="Q432" s="12">
        <f>IF(P432="","",INDEX('状态价值'!$D4:$K4,MATCH(P432,'状态价值'!$D$1:$K$1,0)))</f>
        <v/>
      </c>
      <c r="R432" s="15">
        <f>NORM.S.INV(RAND())</f>
        <v/>
      </c>
      <c r="S432" s="15">
        <f>IF('组合输入'!$C5="","",'组合输入'!$H5*$B432+SQRT(1-'组合输入'!$H5^2)*R432)</f>
        <v/>
      </c>
      <c r="T432" s="7">
        <f>IF(S432="","",NORM.S.DIST(S432,TRUE))</f>
        <v/>
      </c>
      <c r="U432" s="13">
        <f>IF(T432="","",IF(T432&lt;='组合输入'!$K5,"AAA",IF(T432&lt;='组合输入'!$L5,"AA",IF(T432&lt;='组合输入'!$M5,"A",IF(T432&lt;='组合输入'!$N5,"BBB",IF(T432&lt;='组合输入'!$O5,"BB",IF(T432&lt;='组合输入'!$P5,"B",IF(T432&lt;='组合输入'!$Q5,"CCC","D")))))))</f>
        <v/>
      </c>
      <c r="V432" s="12">
        <f>IF(U432="","",INDEX('状态价值'!$D5:$K5,MATCH(U432,'状态价值'!$D$1:$K$1,0)))</f>
        <v/>
      </c>
      <c r="W432" s="15">
        <f>NORM.S.INV(RAND())</f>
        <v/>
      </c>
      <c r="X432" s="15">
        <f>IF('组合输入'!$C6="","",'组合输入'!$H6*$B432+SQRT(1-'组合输入'!$H6^2)*W432)</f>
        <v/>
      </c>
      <c r="Y432" s="7">
        <f>IF(X432="","",NORM.S.DIST(X432,TRUE))</f>
        <v/>
      </c>
      <c r="Z432" s="13">
        <f>IF(Y432="","",IF(Y432&lt;='组合输入'!$K6,"AAA",IF(Y432&lt;='组合输入'!$L6,"AA",IF(Y432&lt;='组合输入'!$M6,"A",IF(Y432&lt;='组合输入'!$N6,"BBB",IF(Y432&lt;='组合输入'!$O6,"BB",IF(Y432&lt;='组合输入'!$P6,"B",IF(Y432&lt;='组合输入'!$Q6,"CCC","D")))))))</f>
        <v/>
      </c>
      <c r="AA432" s="12">
        <f>IF(Z432="","",INDEX('状态价值'!$D6:$K6,MATCH(Z432,'状态价值'!$D$1:$K$1,0)))</f>
        <v/>
      </c>
      <c r="AB432" s="15">
        <f>NORM.S.INV(RAND())</f>
        <v/>
      </c>
      <c r="AC432" s="15">
        <f>IF('组合输入'!$C7="","",'组合输入'!$H7*$B432+SQRT(1-'组合输入'!$H7^2)*AB432)</f>
        <v/>
      </c>
      <c r="AD432" s="7">
        <f>IF(AC432="","",NORM.S.DIST(AC432,TRUE))</f>
        <v/>
      </c>
      <c r="AE432" s="13">
        <f>IF(AD432="","",IF(AD432&lt;='组合输入'!$K7,"AAA",IF(AD432&lt;='组合输入'!$L7,"AA",IF(AD432&lt;='组合输入'!$M7,"A",IF(AD432&lt;='组合输入'!$N7,"BBB",IF(AD432&lt;='组合输入'!$O7,"BB",IF(AD432&lt;='组合输入'!$P7,"B",IF(AD432&lt;='组合输入'!$Q7,"CCC","D")))))))</f>
        <v/>
      </c>
      <c r="AF432" s="12">
        <f>IF(AE432="","",INDEX('状态价值'!$D7:$K7,MATCH(AE432,'状态价值'!$D$1:$K$1,0)))</f>
        <v/>
      </c>
      <c r="AG432" s="15">
        <f>NORM.S.INV(RAND())</f>
        <v/>
      </c>
      <c r="AH432" s="15">
        <f>IF('组合输入'!$C8="","",'组合输入'!$H8*$B432+SQRT(1-'组合输入'!$H8^2)*AG432)</f>
        <v/>
      </c>
      <c r="AI432" s="7">
        <f>IF(AH432="","",NORM.S.DIST(AH432,TRUE))</f>
        <v/>
      </c>
      <c r="AJ432" s="13">
        <f>IF(AI432="","",IF(AI432&lt;='组合输入'!$K8,"AAA",IF(AI432&lt;='组合输入'!$L8,"AA",IF(AI432&lt;='组合输入'!$M8,"A",IF(AI432&lt;='组合输入'!$N8,"BBB",IF(AI432&lt;='组合输入'!$O8,"BB",IF(AI432&lt;='组合输入'!$P8,"B",IF(AI432&lt;='组合输入'!$Q8,"CCC","D")))))))</f>
        <v/>
      </c>
      <c r="AK432" s="12">
        <f>IF(AJ432="","",INDEX('状态价值'!$D8:$K8,MATCH(AJ432,'状态价值'!$D$1:$K$1,0)))</f>
        <v/>
      </c>
      <c r="AL432" s="15">
        <f>NORM.S.INV(RAND())</f>
        <v/>
      </c>
      <c r="AM432" s="15">
        <f>IF('组合输入'!$C9="","",'组合输入'!$H9*$B432+SQRT(1-'组合输入'!$H9^2)*AL432)</f>
        <v/>
      </c>
      <c r="AN432" s="7">
        <f>IF(AM432="","",NORM.S.DIST(AM432,TRUE))</f>
        <v/>
      </c>
      <c r="AO432" s="13">
        <f>IF(AN432="","",IF(AN432&lt;='组合输入'!$K9,"AAA",IF(AN432&lt;='组合输入'!$L9,"AA",IF(AN432&lt;='组合输入'!$M9,"A",IF(AN432&lt;='组合输入'!$N9,"BBB",IF(AN432&lt;='组合输入'!$O9,"BB",IF(AN432&lt;='组合输入'!$P9,"B",IF(AN432&lt;='组合输入'!$Q9,"CCC","D")))))))</f>
        <v/>
      </c>
      <c r="AP432" s="12">
        <f>IF(AO432="","",INDEX('状态价值'!$D9:$K9,MATCH(AO432,'状态价值'!$D$1:$K$1,0)))</f>
        <v/>
      </c>
      <c r="AQ432" s="15">
        <f>NORM.S.INV(RAND())</f>
        <v/>
      </c>
      <c r="AR432" s="15">
        <f>IF('组合输入'!$C10="","",'组合输入'!$H10*$B432+SQRT(1-'组合输入'!$H10^2)*AQ432)</f>
        <v/>
      </c>
      <c r="AS432" s="7">
        <f>IF(AR432="","",NORM.S.DIST(AR432,TRUE))</f>
        <v/>
      </c>
      <c r="AT432" s="13">
        <f>IF(AS432="","",IF(AS432&lt;='组合输入'!$K10,"AAA",IF(AS432&lt;='组合输入'!$L10,"AA",IF(AS432&lt;='组合输入'!$M10,"A",IF(AS432&lt;='组合输入'!$N10,"BBB",IF(AS432&lt;='组合输入'!$O10,"BB",IF(AS432&lt;='组合输入'!$P10,"B",IF(AS432&lt;='组合输入'!$Q10,"CCC","D")))))))</f>
        <v/>
      </c>
      <c r="AU432" s="12">
        <f>IF(AT432="","",INDEX('状态价值'!$D10:$K10,MATCH(AT432,'状态价值'!$D$1:$K$1,0)))</f>
        <v/>
      </c>
      <c r="AV432" s="15">
        <f>NORM.S.INV(RAND())</f>
        <v/>
      </c>
      <c r="AW432" s="15">
        <f>IF('组合输入'!$C11="","",'组合输入'!$H11*$B432+SQRT(1-'组合输入'!$H11^2)*AV432)</f>
        <v/>
      </c>
      <c r="AX432" s="7">
        <f>IF(AW432="","",NORM.S.DIST(AW432,TRUE))</f>
        <v/>
      </c>
      <c r="AY432" s="13">
        <f>IF(AX432="","",IF(AX432&lt;='组合输入'!$K11,"AAA",IF(AX432&lt;='组合输入'!$L11,"AA",IF(AX432&lt;='组合输入'!$M11,"A",IF(AX432&lt;='组合输入'!$N11,"BBB",IF(AX432&lt;='组合输入'!$O11,"BB",IF(AX432&lt;='组合输入'!$P11,"B",IF(AX432&lt;='组合输入'!$Q11,"CCC","D")))))))</f>
        <v/>
      </c>
      <c r="AZ432" s="12">
        <f>IF(AY432="","",INDEX('状态价值'!$D11:$K11,MATCH(AY432,'状态价值'!$D$1:$K$1,0)))</f>
        <v/>
      </c>
      <c r="BA432" s="12">
        <f>G432+L432+Q432+V432+AA432+AF432+AK432+AP432+AU432+AZ432</f>
        <v/>
      </c>
      <c r="BB432" s="12">
        <f>SUM('组合输入'!$J$2:$J$11)-BA432</f>
        <v/>
      </c>
    </row>
    <row r="433">
      <c r="A433" s="11" t="n">
        <v>432</v>
      </c>
      <c r="B433" s="14">
        <f>NORM.S.INV(RAND())</f>
        <v/>
      </c>
      <c r="C433" s="14">
        <f>NORM.S.INV(RAND())</f>
        <v/>
      </c>
      <c r="D433" s="15">
        <f>IF('组合输入'!$C2="","",'组合输入'!$H2*$B433+SQRT(1-'组合输入'!$H2^2)*C433)</f>
        <v/>
      </c>
      <c r="E433" s="7">
        <f>IF(D433="","",NORM.S.DIST(D433,TRUE))</f>
        <v/>
      </c>
      <c r="F433" s="13">
        <f>IF(E433="","",IF(E433&lt;='组合输入'!$K2,"AAA",IF(E433&lt;='组合输入'!$L2,"AA",IF(E433&lt;='组合输入'!$M2,"A",IF(E433&lt;='组合输入'!$N2,"BBB",IF(E433&lt;='组合输入'!$O2,"BB",IF(E433&lt;='组合输入'!$P2,"B",IF(E433&lt;='组合输入'!$Q2,"CCC","D")))))))</f>
        <v/>
      </c>
      <c r="G433" s="12">
        <f>IF(F433="","",INDEX('状态价值'!$D2:$K2,MATCH(F433,'状态价值'!$D$1:$K$1,0)))</f>
        <v/>
      </c>
      <c r="H433" s="15">
        <f>NORM.S.INV(RAND())</f>
        <v/>
      </c>
      <c r="I433" s="15">
        <f>IF('组合输入'!$C3="","",'组合输入'!$H3*$B433+SQRT(1-'组合输入'!$H3^2)*H433)</f>
        <v/>
      </c>
      <c r="J433" s="7">
        <f>IF(I433="","",NORM.S.DIST(I433,TRUE))</f>
        <v/>
      </c>
      <c r="K433" s="13">
        <f>IF(J433="","",IF(J433&lt;='组合输入'!$K3,"AAA",IF(J433&lt;='组合输入'!$L3,"AA",IF(J433&lt;='组合输入'!$M3,"A",IF(J433&lt;='组合输入'!$N3,"BBB",IF(J433&lt;='组合输入'!$O3,"BB",IF(J433&lt;='组合输入'!$P3,"B",IF(J433&lt;='组合输入'!$Q3,"CCC","D")))))))</f>
        <v/>
      </c>
      <c r="L433" s="12">
        <f>IF(K433="","",INDEX('状态价值'!$D3:$K3,MATCH(K433,'状态价值'!$D$1:$K$1,0)))</f>
        <v/>
      </c>
      <c r="M433" s="15">
        <f>NORM.S.INV(RAND())</f>
        <v/>
      </c>
      <c r="N433" s="15">
        <f>IF('组合输入'!$C4="","",'组合输入'!$H4*$B433+SQRT(1-'组合输入'!$H4^2)*M433)</f>
        <v/>
      </c>
      <c r="O433" s="7">
        <f>IF(N433="","",NORM.S.DIST(N433,TRUE))</f>
        <v/>
      </c>
      <c r="P433" s="13">
        <f>IF(O433="","",IF(O433&lt;='组合输入'!$K4,"AAA",IF(O433&lt;='组合输入'!$L4,"AA",IF(O433&lt;='组合输入'!$M4,"A",IF(O433&lt;='组合输入'!$N4,"BBB",IF(O433&lt;='组合输入'!$O4,"BB",IF(O433&lt;='组合输入'!$P4,"B",IF(O433&lt;='组合输入'!$Q4,"CCC","D")))))))</f>
        <v/>
      </c>
      <c r="Q433" s="12">
        <f>IF(P433="","",INDEX('状态价值'!$D4:$K4,MATCH(P433,'状态价值'!$D$1:$K$1,0)))</f>
        <v/>
      </c>
      <c r="R433" s="15">
        <f>NORM.S.INV(RAND())</f>
        <v/>
      </c>
      <c r="S433" s="15">
        <f>IF('组合输入'!$C5="","",'组合输入'!$H5*$B433+SQRT(1-'组合输入'!$H5^2)*R433)</f>
        <v/>
      </c>
      <c r="T433" s="7">
        <f>IF(S433="","",NORM.S.DIST(S433,TRUE))</f>
        <v/>
      </c>
      <c r="U433" s="13">
        <f>IF(T433="","",IF(T433&lt;='组合输入'!$K5,"AAA",IF(T433&lt;='组合输入'!$L5,"AA",IF(T433&lt;='组合输入'!$M5,"A",IF(T433&lt;='组合输入'!$N5,"BBB",IF(T433&lt;='组合输入'!$O5,"BB",IF(T433&lt;='组合输入'!$P5,"B",IF(T433&lt;='组合输入'!$Q5,"CCC","D")))))))</f>
        <v/>
      </c>
      <c r="V433" s="12">
        <f>IF(U433="","",INDEX('状态价值'!$D5:$K5,MATCH(U433,'状态价值'!$D$1:$K$1,0)))</f>
        <v/>
      </c>
      <c r="W433" s="15">
        <f>NORM.S.INV(RAND())</f>
        <v/>
      </c>
      <c r="X433" s="15">
        <f>IF('组合输入'!$C6="","",'组合输入'!$H6*$B433+SQRT(1-'组合输入'!$H6^2)*W433)</f>
        <v/>
      </c>
      <c r="Y433" s="7">
        <f>IF(X433="","",NORM.S.DIST(X433,TRUE))</f>
        <v/>
      </c>
      <c r="Z433" s="13">
        <f>IF(Y433="","",IF(Y433&lt;='组合输入'!$K6,"AAA",IF(Y433&lt;='组合输入'!$L6,"AA",IF(Y433&lt;='组合输入'!$M6,"A",IF(Y433&lt;='组合输入'!$N6,"BBB",IF(Y433&lt;='组合输入'!$O6,"BB",IF(Y433&lt;='组合输入'!$P6,"B",IF(Y433&lt;='组合输入'!$Q6,"CCC","D")))))))</f>
        <v/>
      </c>
      <c r="AA433" s="12">
        <f>IF(Z433="","",INDEX('状态价值'!$D6:$K6,MATCH(Z433,'状态价值'!$D$1:$K$1,0)))</f>
        <v/>
      </c>
      <c r="AB433" s="15">
        <f>NORM.S.INV(RAND())</f>
        <v/>
      </c>
      <c r="AC433" s="15">
        <f>IF('组合输入'!$C7="","",'组合输入'!$H7*$B433+SQRT(1-'组合输入'!$H7^2)*AB433)</f>
        <v/>
      </c>
      <c r="AD433" s="7">
        <f>IF(AC433="","",NORM.S.DIST(AC433,TRUE))</f>
        <v/>
      </c>
      <c r="AE433" s="13">
        <f>IF(AD433="","",IF(AD433&lt;='组合输入'!$K7,"AAA",IF(AD433&lt;='组合输入'!$L7,"AA",IF(AD433&lt;='组合输入'!$M7,"A",IF(AD433&lt;='组合输入'!$N7,"BBB",IF(AD433&lt;='组合输入'!$O7,"BB",IF(AD433&lt;='组合输入'!$P7,"B",IF(AD433&lt;='组合输入'!$Q7,"CCC","D")))))))</f>
        <v/>
      </c>
      <c r="AF433" s="12">
        <f>IF(AE433="","",INDEX('状态价值'!$D7:$K7,MATCH(AE433,'状态价值'!$D$1:$K$1,0)))</f>
        <v/>
      </c>
      <c r="AG433" s="15">
        <f>NORM.S.INV(RAND())</f>
        <v/>
      </c>
      <c r="AH433" s="15">
        <f>IF('组合输入'!$C8="","",'组合输入'!$H8*$B433+SQRT(1-'组合输入'!$H8^2)*AG433)</f>
        <v/>
      </c>
      <c r="AI433" s="7">
        <f>IF(AH433="","",NORM.S.DIST(AH433,TRUE))</f>
        <v/>
      </c>
      <c r="AJ433" s="13">
        <f>IF(AI433="","",IF(AI433&lt;='组合输入'!$K8,"AAA",IF(AI433&lt;='组合输入'!$L8,"AA",IF(AI433&lt;='组合输入'!$M8,"A",IF(AI433&lt;='组合输入'!$N8,"BBB",IF(AI433&lt;='组合输入'!$O8,"BB",IF(AI433&lt;='组合输入'!$P8,"B",IF(AI433&lt;='组合输入'!$Q8,"CCC","D")))))))</f>
        <v/>
      </c>
      <c r="AK433" s="12">
        <f>IF(AJ433="","",INDEX('状态价值'!$D8:$K8,MATCH(AJ433,'状态价值'!$D$1:$K$1,0)))</f>
        <v/>
      </c>
      <c r="AL433" s="15">
        <f>NORM.S.INV(RAND())</f>
        <v/>
      </c>
      <c r="AM433" s="15">
        <f>IF('组合输入'!$C9="","",'组合输入'!$H9*$B433+SQRT(1-'组合输入'!$H9^2)*AL433)</f>
        <v/>
      </c>
      <c r="AN433" s="7">
        <f>IF(AM433="","",NORM.S.DIST(AM433,TRUE))</f>
        <v/>
      </c>
      <c r="AO433" s="13">
        <f>IF(AN433="","",IF(AN433&lt;='组合输入'!$K9,"AAA",IF(AN433&lt;='组合输入'!$L9,"AA",IF(AN433&lt;='组合输入'!$M9,"A",IF(AN433&lt;='组合输入'!$N9,"BBB",IF(AN433&lt;='组合输入'!$O9,"BB",IF(AN433&lt;='组合输入'!$P9,"B",IF(AN433&lt;='组合输入'!$Q9,"CCC","D")))))))</f>
        <v/>
      </c>
      <c r="AP433" s="12">
        <f>IF(AO433="","",INDEX('状态价值'!$D9:$K9,MATCH(AO433,'状态价值'!$D$1:$K$1,0)))</f>
        <v/>
      </c>
      <c r="AQ433" s="15">
        <f>NORM.S.INV(RAND())</f>
        <v/>
      </c>
      <c r="AR433" s="15">
        <f>IF('组合输入'!$C10="","",'组合输入'!$H10*$B433+SQRT(1-'组合输入'!$H10^2)*AQ433)</f>
        <v/>
      </c>
      <c r="AS433" s="7">
        <f>IF(AR433="","",NORM.S.DIST(AR433,TRUE))</f>
        <v/>
      </c>
      <c r="AT433" s="13">
        <f>IF(AS433="","",IF(AS433&lt;='组合输入'!$K10,"AAA",IF(AS433&lt;='组合输入'!$L10,"AA",IF(AS433&lt;='组合输入'!$M10,"A",IF(AS433&lt;='组合输入'!$N10,"BBB",IF(AS433&lt;='组合输入'!$O10,"BB",IF(AS433&lt;='组合输入'!$P10,"B",IF(AS433&lt;='组合输入'!$Q10,"CCC","D")))))))</f>
        <v/>
      </c>
      <c r="AU433" s="12">
        <f>IF(AT433="","",INDEX('状态价值'!$D10:$K10,MATCH(AT433,'状态价值'!$D$1:$K$1,0)))</f>
        <v/>
      </c>
      <c r="AV433" s="15">
        <f>NORM.S.INV(RAND())</f>
        <v/>
      </c>
      <c r="AW433" s="15">
        <f>IF('组合输入'!$C11="","",'组合输入'!$H11*$B433+SQRT(1-'组合输入'!$H11^2)*AV433)</f>
        <v/>
      </c>
      <c r="AX433" s="7">
        <f>IF(AW433="","",NORM.S.DIST(AW433,TRUE))</f>
        <v/>
      </c>
      <c r="AY433" s="13">
        <f>IF(AX433="","",IF(AX433&lt;='组合输入'!$K11,"AAA",IF(AX433&lt;='组合输入'!$L11,"AA",IF(AX433&lt;='组合输入'!$M11,"A",IF(AX433&lt;='组合输入'!$N11,"BBB",IF(AX433&lt;='组合输入'!$O11,"BB",IF(AX433&lt;='组合输入'!$P11,"B",IF(AX433&lt;='组合输入'!$Q11,"CCC","D")))))))</f>
        <v/>
      </c>
      <c r="AZ433" s="12">
        <f>IF(AY433="","",INDEX('状态价值'!$D11:$K11,MATCH(AY433,'状态价值'!$D$1:$K$1,0)))</f>
        <v/>
      </c>
      <c r="BA433" s="12">
        <f>G433+L433+Q433+V433+AA433+AF433+AK433+AP433+AU433+AZ433</f>
        <v/>
      </c>
      <c r="BB433" s="12">
        <f>SUM('组合输入'!$J$2:$J$11)-BA433</f>
        <v/>
      </c>
    </row>
    <row r="434">
      <c r="A434" s="11" t="n">
        <v>433</v>
      </c>
      <c r="B434" s="14">
        <f>NORM.S.INV(RAND())</f>
        <v/>
      </c>
      <c r="C434" s="14">
        <f>NORM.S.INV(RAND())</f>
        <v/>
      </c>
      <c r="D434" s="15">
        <f>IF('组合输入'!$C2="","",'组合输入'!$H2*$B434+SQRT(1-'组合输入'!$H2^2)*C434)</f>
        <v/>
      </c>
      <c r="E434" s="7">
        <f>IF(D434="","",NORM.S.DIST(D434,TRUE))</f>
        <v/>
      </c>
      <c r="F434" s="13">
        <f>IF(E434="","",IF(E434&lt;='组合输入'!$K2,"AAA",IF(E434&lt;='组合输入'!$L2,"AA",IF(E434&lt;='组合输入'!$M2,"A",IF(E434&lt;='组合输入'!$N2,"BBB",IF(E434&lt;='组合输入'!$O2,"BB",IF(E434&lt;='组合输入'!$P2,"B",IF(E434&lt;='组合输入'!$Q2,"CCC","D")))))))</f>
        <v/>
      </c>
      <c r="G434" s="12">
        <f>IF(F434="","",INDEX('状态价值'!$D2:$K2,MATCH(F434,'状态价值'!$D$1:$K$1,0)))</f>
        <v/>
      </c>
      <c r="H434" s="15">
        <f>NORM.S.INV(RAND())</f>
        <v/>
      </c>
      <c r="I434" s="15">
        <f>IF('组合输入'!$C3="","",'组合输入'!$H3*$B434+SQRT(1-'组合输入'!$H3^2)*H434)</f>
        <v/>
      </c>
      <c r="J434" s="7">
        <f>IF(I434="","",NORM.S.DIST(I434,TRUE))</f>
        <v/>
      </c>
      <c r="K434" s="13">
        <f>IF(J434="","",IF(J434&lt;='组合输入'!$K3,"AAA",IF(J434&lt;='组合输入'!$L3,"AA",IF(J434&lt;='组合输入'!$M3,"A",IF(J434&lt;='组合输入'!$N3,"BBB",IF(J434&lt;='组合输入'!$O3,"BB",IF(J434&lt;='组合输入'!$P3,"B",IF(J434&lt;='组合输入'!$Q3,"CCC","D")))))))</f>
        <v/>
      </c>
      <c r="L434" s="12">
        <f>IF(K434="","",INDEX('状态价值'!$D3:$K3,MATCH(K434,'状态价值'!$D$1:$K$1,0)))</f>
        <v/>
      </c>
      <c r="M434" s="15">
        <f>NORM.S.INV(RAND())</f>
        <v/>
      </c>
      <c r="N434" s="15">
        <f>IF('组合输入'!$C4="","",'组合输入'!$H4*$B434+SQRT(1-'组合输入'!$H4^2)*M434)</f>
        <v/>
      </c>
      <c r="O434" s="7">
        <f>IF(N434="","",NORM.S.DIST(N434,TRUE))</f>
        <v/>
      </c>
      <c r="P434" s="13">
        <f>IF(O434="","",IF(O434&lt;='组合输入'!$K4,"AAA",IF(O434&lt;='组合输入'!$L4,"AA",IF(O434&lt;='组合输入'!$M4,"A",IF(O434&lt;='组合输入'!$N4,"BBB",IF(O434&lt;='组合输入'!$O4,"BB",IF(O434&lt;='组合输入'!$P4,"B",IF(O434&lt;='组合输入'!$Q4,"CCC","D")))))))</f>
        <v/>
      </c>
      <c r="Q434" s="12">
        <f>IF(P434="","",INDEX('状态价值'!$D4:$K4,MATCH(P434,'状态价值'!$D$1:$K$1,0)))</f>
        <v/>
      </c>
      <c r="R434" s="15">
        <f>NORM.S.INV(RAND())</f>
        <v/>
      </c>
      <c r="S434" s="15">
        <f>IF('组合输入'!$C5="","",'组合输入'!$H5*$B434+SQRT(1-'组合输入'!$H5^2)*R434)</f>
        <v/>
      </c>
      <c r="T434" s="7">
        <f>IF(S434="","",NORM.S.DIST(S434,TRUE))</f>
        <v/>
      </c>
      <c r="U434" s="13">
        <f>IF(T434="","",IF(T434&lt;='组合输入'!$K5,"AAA",IF(T434&lt;='组合输入'!$L5,"AA",IF(T434&lt;='组合输入'!$M5,"A",IF(T434&lt;='组合输入'!$N5,"BBB",IF(T434&lt;='组合输入'!$O5,"BB",IF(T434&lt;='组合输入'!$P5,"B",IF(T434&lt;='组合输入'!$Q5,"CCC","D")))))))</f>
        <v/>
      </c>
      <c r="V434" s="12">
        <f>IF(U434="","",INDEX('状态价值'!$D5:$K5,MATCH(U434,'状态价值'!$D$1:$K$1,0)))</f>
        <v/>
      </c>
      <c r="W434" s="15">
        <f>NORM.S.INV(RAND())</f>
        <v/>
      </c>
      <c r="X434" s="15">
        <f>IF('组合输入'!$C6="","",'组合输入'!$H6*$B434+SQRT(1-'组合输入'!$H6^2)*W434)</f>
        <v/>
      </c>
      <c r="Y434" s="7">
        <f>IF(X434="","",NORM.S.DIST(X434,TRUE))</f>
        <v/>
      </c>
      <c r="Z434" s="13">
        <f>IF(Y434="","",IF(Y434&lt;='组合输入'!$K6,"AAA",IF(Y434&lt;='组合输入'!$L6,"AA",IF(Y434&lt;='组合输入'!$M6,"A",IF(Y434&lt;='组合输入'!$N6,"BBB",IF(Y434&lt;='组合输入'!$O6,"BB",IF(Y434&lt;='组合输入'!$P6,"B",IF(Y434&lt;='组合输入'!$Q6,"CCC","D")))))))</f>
        <v/>
      </c>
      <c r="AA434" s="12">
        <f>IF(Z434="","",INDEX('状态价值'!$D6:$K6,MATCH(Z434,'状态价值'!$D$1:$K$1,0)))</f>
        <v/>
      </c>
      <c r="AB434" s="15">
        <f>NORM.S.INV(RAND())</f>
        <v/>
      </c>
      <c r="AC434" s="15">
        <f>IF('组合输入'!$C7="","",'组合输入'!$H7*$B434+SQRT(1-'组合输入'!$H7^2)*AB434)</f>
        <v/>
      </c>
      <c r="AD434" s="7">
        <f>IF(AC434="","",NORM.S.DIST(AC434,TRUE))</f>
        <v/>
      </c>
      <c r="AE434" s="13">
        <f>IF(AD434="","",IF(AD434&lt;='组合输入'!$K7,"AAA",IF(AD434&lt;='组合输入'!$L7,"AA",IF(AD434&lt;='组合输入'!$M7,"A",IF(AD434&lt;='组合输入'!$N7,"BBB",IF(AD434&lt;='组合输入'!$O7,"BB",IF(AD434&lt;='组合输入'!$P7,"B",IF(AD434&lt;='组合输入'!$Q7,"CCC","D")))))))</f>
        <v/>
      </c>
      <c r="AF434" s="12">
        <f>IF(AE434="","",INDEX('状态价值'!$D7:$K7,MATCH(AE434,'状态价值'!$D$1:$K$1,0)))</f>
        <v/>
      </c>
      <c r="AG434" s="15">
        <f>NORM.S.INV(RAND())</f>
        <v/>
      </c>
      <c r="AH434" s="15">
        <f>IF('组合输入'!$C8="","",'组合输入'!$H8*$B434+SQRT(1-'组合输入'!$H8^2)*AG434)</f>
        <v/>
      </c>
      <c r="AI434" s="7">
        <f>IF(AH434="","",NORM.S.DIST(AH434,TRUE))</f>
        <v/>
      </c>
      <c r="AJ434" s="13">
        <f>IF(AI434="","",IF(AI434&lt;='组合输入'!$K8,"AAA",IF(AI434&lt;='组合输入'!$L8,"AA",IF(AI434&lt;='组合输入'!$M8,"A",IF(AI434&lt;='组合输入'!$N8,"BBB",IF(AI434&lt;='组合输入'!$O8,"BB",IF(AI434&lt;='组合输入'!$P8,"B",IF(AI434&lt;='组合输入'!$Q8,"CCC","D")))))))</f>
        <v/>
      </c>
      <c r="AK434" s="12">
        <f>IF(AJ434="","",INDEX('状态价值'!$D8:$K8,MATCH(AJ434,'状态价值'!$D$1:$K$1,0)))</f>
        <v/>
      </c>
      <c r="AL434" s="15">
        <f>NORM.S.INV(RAND())</f>
        <v/>
      </c>
      <c r="AM434" s="15">
        <f>IF('组合输入'!$C9="","",'组合输入'!$H9*$B434+SQRT(1-'组合输入'!$H9^2)*AL434)</f>
        <v/>
      </c>
      <c r="AN434" s="7">
        <f>IF(AM434="","",NORM.S.DIST(AM434,TRUE))</f>
        <v/>
      </c>
      <c r="AO434" s="13">
        <f>IF(AN434="","",IF(AN434&lt;='组合输入'!$K9,"AAA",IF(AN434&lt;='组合输入'!$L9,"AA",IF(AN434&lt;='组合输入'!$M9,"A",IF(AN434&lt;='组合输入'!$N9,"BBB",IF(AN434&lt;='组合输入'!$O9,"BB",IF(AN434&lt;='组合输入'!$P9,"B",IF(AN434&lt;='组合输入'!$Q9,"CCC","D")))))))</f>
        <v/>
      </c>
      <c r="AP434" s="12">
        <f>IF(AO434="","",INDEX('状态价值'!$D9:$K9,MATCH(AO434,'状态价值'!$D$1:$K$1,0)))</f>
        <v/>
      </c>
      <c r="AQ434" s="15">
        <f>NORM.S.INV(RAND())</f>
        <v/>
      </c>
      <c r="AR434" s="15">
        <f>IF('组合输入'!$C10="","",'组合输入'!$H10*$B434+SQRT(1-'组合输入'!$H10^2)*AQ434)</f>
        <v/>
      </c>
      <c r="AS434" s="7">
        <f>IF(AR434="","",NORM.S.DIST(AR434,TRUE))</f>
        <v/>
      </c>
      <c r="AT434" s="13">
        <f>IF(AS434="","",IF(AS434&lt;='组合输入'!$K10,"AAA",IF(AS434&lt;='组合输入'!$L10,"AA",IF(AS434&lt;='组合输入'!$M10,"A",IF(AS434&lt;='组合输入'!$N10,"BBB",IF(AS434&lt;='组合输入'!$O10,"BB",IF(AS434&lt;='组合输入'!$P10,"B",IF(AS434&lt;='组合输入'!$Q10,"CCC","D")))))))</f>
        <v/>
      </c>
      <c r="AU434" s="12">
        <f>IF(AT434="","",INDEX('状态价值'!$D10:$K10,MATCH(AT434,'状态价值'!$D$1:$K$1,0)))</f>
        <v/>
      </c>
      <c r="AV434" s="15">
        <f>NORM.S.INV(RAND())</f>
        <v/>
      </c>
      <c r="AW434" s="15">
        <f>IF('组合输入'!$C11="","",'组合输入'!$H11*$B434+SQRT(1-'组合输入'!$H11^2)*AV434)</f>
        <v/>
      </c>
      <c r="AX434" s="7">
        <f>IF(AW434="","",NORM.S.DIST(AW434,TRUE))</f>
        <v/>
      </c>
      <c r="AY434" s="13">
        <f>IF(AX434="","",IF(AX434&lt;='组合输入'!$K11,"AAA",IF(AX434&lt;='组合输入'!$L11,"AA",IF(AX434&lt;='组合输入'!$M11,"A",IF(AX434&lt;='组合输入'!$N11,"BBB",IF(AX434&lt;='组合输入'!$O11,"BB",IF(AX434&lt;='组合输入'!$P11,"B",IF(AX434&lt;='组合输入'!$Q11,"CCC","D")))))))</f>
        <v/>
      </c>
      <c r="AZ434" s="12">
        <f>IF(AY434="","",INDEX('状态价值'!$D11:$K11,MATCH(AY434,'状态价值'!$D$1:$K$1,0)))</f>
        <v/>
      </c>
      <c r="BA434" s="12">
        <f>G434+L434+Q434+V434+AA434+AF434+AK434+AP434+AU434+AZ434</f>
        <v/>
      </c>
      <c r="BB434" s="12">
        <f>SUM('组合输入'!$J$2:$J$11)-BA434</f>
        <v/>
      </c>
    </row>
    <row r="435">
      <c r="A435" s="11" t="n">
        <v>434</v>
      </c>
      <c r="B435" s="14">
        <f>NORM.S.INV(RAND())</f>
        <v/>
      </c>
      <c r="C435" s="14">
        <f>NORM.S.INV(RAND())</f>
        <v/>
      </c>
      <c r="D435" s="15">
        <f>IF('组合输入'!$C2="","",'组合输入'!$H2*$B435+SQRT(1-'组合输入'!$H2^2)*C435)</f>
        <v/>
      </c>
      <c r="E435" s="7">
        <f>IF(D435="","",NORM.S.DIST(D435,TRUE))</f>
        <v/>
      </c>
      <c r="F435" s="13">
        <f>IF(E435="","",IF(E435&lt;='组合输入'!$K2,"AAA",IF(E435&lt;='组合输入'!$L2,"AA",IF(E435&lt;='组合输入'!$M2,"A",IF(E435&lt;='组合输入'!$N2,"BBB",IF(E435&lt;='组合输入'!$O2,"BB",IF(E435&lt;='组合输入'!$P2,"B",IF(E435&lt;='组合输入'!$Q2,"CCC","D")))))))</f>
        <v/>
      </c>
      <c r="G435" s="12">
        <f>IF(F435="","",INDEX('状态价值'!$D2:$K2,MATCH(F435,'状态价值'!$D$1:$K$1,0)))</f>
        <v/>
      </c>
      <c r="H435" s="15">
        <f>NORM.S.INV(RAND())</f>
        <v/>
      </c>
      <c r="I435" s="15">
        <f>IF('组合输入'!$C3="","",'组合输入'!$H3*$B435+SQRT(1-'组合输入'!$H3^2)*H435)</f>
        <v/>
      </c>
      <c r="J435" s="7">
        <f>IF(I435="","",NORM.S.DIST(I435,TRUE))</f>
        <v/>
      </c>
      <c r="K435" s="13">
        <f>IF(J435="","",IF(J435&lt;='组合输入'!$K3,"AAA",IF(J435&lt;='组合输入'!$L3,"AA",IF(J435&lt;='组合输入'!$M3,"A",IF(J435&lt;='组合输入'!$N3,"BBB",IF(J435&lt;='组合输入'!$O3,"BB",IF(J435&lt;='组合输入'!$P3,"B",IF(J435&lt;='组合输入'!$Q3,"CCC","D")))))))</f>
        <v/>
      </c>
      <c r="L435" s="12">
        <f>IF(K435="","",INDEX('状态价值'!$D3:$K3,MATCH(K435,'状态价值'!$D$1:$K$1,0)))</f>
        <v/>
      </c>
      <c r="M435" s="15">
        <f>NORM.S.INV(RAND())</f>
        <v/>
      </c>
      <c r="N435" s="15">
        <f>IF('组合输入'!$C4="","",'组合输入'!$H4*$B435+SQRT(1-'组合输入'!$H4^2)*M435)</f>
        <v/>
      </c>
      <c r="O435" s="7">
        <f>IF(N435="","",NORM.S.DIST(N435,TRUE))</f>
        <v/>
      </c>
      <c r="P435" s="13">
        <f>IF(O435="","",IF(O435&lt;='组合输入'!$K4,"AAA",IF(O435&lt;='组合输入'!$L4,"AA",IF(O435&lt;='组合输入'!$M4,"A",IF(O435&lt;='组合输入'!$N4,"BBB",IF(O435&lt;='组合输入'!$O4,"BB",IF(O435&lt;='组合输入'!$P4,"B",IF(O435&lt;='组合输入'!$Q4,"CCC","D")))))))</f>
        <v/>
      </c>
      <c r="Q435" s="12">
        <f>IF(P435="","",INDEX('状态价值'!$D4:$K4,MATCH(P435,'状态价值'!$D$1:$K$1,0)))</f>
        <v/>
      </c>
      <c r="R435" s="15">
        <f>NORM.S.INV(RAND())</f>
        <v/>
      </c>
      <c r="S435" s="15">
        <f>IF('组合输入'!$C5="","",'组合输入'!$H5*$B435+SQRT(1-'组合输入'!$H5^2)*R435)</f>
        <v/>
      </c>
      <c r="T435" s="7">
        <f>IF(S435="","",NORM.S.DIST(S435,TRUE))</f>
        <v/>
      </c>
      <c r="U435" s="13">
        <f>IF(T435="","",IF(T435&lt;='组合输入'!$K5,"AAA",IF(T435&lt;='组合输入'!$L5,"AA",IF(T435&lt;='组合输入'!$M5,"A",IF(T435&lt;='组合输入'!$N5,"BBB",IF(T435&lt;='组合输入'!$O5,"BB",IF(T435&lt;='组合输入'!$P5,"B",IF(T435&lt;='组合输入'!$Q5,"CCC","D")))))))</f>
        <v/>
      </c>
      <c r="V435" s="12">
        <f>IF(U435="","",INDEX('状态价值'!$D5:$K5,MATCH(U435,'状态价值'!$D$1:$K$1,0)))</f>
        <v/>
      </c>
      <c r="W435" s="15">
        <f>NORM.S.INV(RAND())</f>
        <v/>
      </c>
      <c r="X435" s="15">
        <f>IF('组合输入'!$C6="","",'组合输入'!$H6*$B435+SQRT(1-'组合输入'!$H6^2)*W435)</f>
        <v/>
      </c>
      <c r="Y435" s="7">
        <f>IF(X435="","",NORM.S.DIST(X435,TRUE))</f>
        <v/>
      </c>
      <c r="Z435" s="13">
        <f>IF(Y435="","",IF(Y435&lt;='组合输入'!$K6,"AAA",IF(Y435&lt;='组合输入'!$L6,"AA",IF(Y435&lt;='组合输入'!$M6,"A",IF(Y435&lt;='组合输入'!$N6,"BBB",IF(Y435&lt;='组合输入'!$O6,"BB",IF(Y435&lt;='组合输入'!$P6,"B",IF(Y435&lt;='组合输入'!$Q6,"CCC","D")))))))</f>
        <v/>
      </c>
      <c r="AA435" s="12">
        <f>IF(Z435="","",INDEX('状态价值'!$D6:$K6,MATCH(Z435,'状态价值'!$D$1:$K$1,0)))</f>
        <v/>
      </c>
      <c r="AB435" s="15">
        <f>NORM.S.INV(RAND())</f>
        <v/>
      </c>
      <c r="AC435" s="15">
        <f>IF('组合输入'!$C7="","",'组合输入'!$H7*$B435+SQRT(1-'组合输入'!$H7^2)*AB435)</f>
        <v/>
      </c>
      <c r="AD435" s="7">
        <f>IF(AC435="","",NORM.S.DIST(AC435,TRUE))</f>
        <v/>
      </c>
      <c r="AE435" s="13">
        <f>IF(AD435="","",IF(AD435&lt;='组合输入'!$K7,"AAA",IF(AD435&lt;='组合输入'!$L7,"AA",IF(AD435&lt;='组合输入'!$M7,"A",IF(AD435&lt;='组合输入'!$N7,"BBB",IF(AD435&lt;='组合输入'!$O7,"BB",IF(AD435&lt;='组合输入'!$P7,"B",IF(AD435&lt;='组合输入'!$Q7,"CCC","D")))))))</f>
        <v/>
      </c>
      <c r="AF435" s="12">
        <f>IF(AE435="","",INDEX('状态价值'!$D7:$K7,MATCH(AE435,'状态价值'!$D$1:$K$1,0)))</f>
        <v/>
      </c>
      <c r="AG435" s="15">
        <f>NORM.S.INV(RAND())</f>
        <v/>
      </c>
      <c r="AH435" s="15">
        <f>IF('组合输入'!$C8="","",'组合输入'!$H8*$B435+SQRT(1-'组合输入'!$H8^2)*AG435)</f>
        <v/>
      </c>
      <c r="AI435" s="7">
        <f>IF(AH435="","",NORM.S.DIST(AH435,TRUE))</f>
        <v/>
      </c>
      <c r="AJ435" s="13">
        <f>IF(AI435="","",IF(AI435&lt;='组合输入'!$K8,"AAA",IF(AI435&lt;='组合输入'!$L8,"AA",IF(AI435&lt;='组合输入'!$M8,"A",IF(AI435&lt;='组合输入'!$N8,"BBB",IF(AI435&lt;='组合输入'!$O8,"BB",IF(AI435&lt;='组合输入'!$P8,"B",IF(AI435&lt;='组合输入'!$Q8,"CCC","D")))))))</f>
        <v/>
      </c>
      <c r="AK435" s="12">
        <f>IF(AJ435="","",INDEX('状态价值'!$D8:$K8,MATCH(AJ435,'状态价值'!$D$1:$K$1,0)))</f>
        <v/>
      </c>
      <c r="AL435" s="15">
        <f>NORM.S.INV(RAND())</f>
        <v/>
      </c>
      <c r="AM435" s="15">
        <f>IF('组合输入'!$C9="","",'组合输入'!$H9*$B435+SQRT(1-'组合输入'!$H9^2)*AL435)</f>
        <v/>
      </c>
      <c r="AN435" s="7">
        <f>IF(AM435="","",NORM.S.DIST(AM435,TRUE))</f>
        <v/>
      </c>
      <c r="AO435" s="13">
        <f>IF(AN435="","",IF(AN435&lt;='组合输入'!$K9,"AAA",IF(AN435&lt;='组合输入'!$L9,"AA",IF(AN435&lt;='组合输入'!$M9,"A",IF(AN435&lt;='组合输入'!$N9,"BBB",IF(AN435&lt;='组合输入'!$O9,"BB",IF(AN435&lt;='组合输入'!$P9,"B",IF(AN435&lt;='组合输入'!$Q9,"CCC","D")))))))</f>
        <v/>
      </c>
      <c r="AP435" s="12">
        <f>IF(AO435="","",INDEX('状态价值'!$D9:$K9,MATCH(AO435,'状态价值'!$D$1:$K$1,0)))</f>
        <v/>
      </c>
      <c r="AQ435" s="15">
        <f>NORM.S.INV(RAND())</f>
        <v/>
      </c>
      <c r="AR435" s="15">
        <f>IF('组合输入'!$C10="","",'组合输入'!$H10*$B435+SQRT(1-'组合输入'!$H10^2)*AQ435)</f>
        <v/>
      </c>
      <c r="AS435" s="7">
        <f>IF(AR435="","",NORM.S.DIST(AR435,TRUE))</f>
        <v/>
      </c>
      <c r="AT435" s="13">
        <f>IF(AS435="","",IF(AS435&lt;='组合输入'!$K10,"AAA",IF(AS435&lt;='组合输入'!$L10,"AA",IF(AS435&lt;='组合输入'!$M10,"A",IF(AS435&lt;='组合输入'!$N10,"BBB",IF(AS435&lt;='组合输入'!$O10,"BB",IF(AS435&lt;='组合输入'!$P10,"B",IF(AS435&lt;='组合输入'!$Q10,"CCC","D")))))))</f>
        <v/>
      </c>
      <c r="AU435" s="12">
        <f>IF(AT435="","",INDEX('状态价值'!$D10:$K10,MATCH(AT435,'状态价值'!$D$1:$K$1,0)))</f>
        <v/>
      </c>
      <c r="AV435" s="15">
        <f>NORM.S.INV(RAND())</f>
        <v/>
      </c>
      <c r="AW435" s="15">
        <f>IF('组合输入'!$C11="","",'组合输入'!$H11*$B435+SQRT(1-'组合输入'!$H11^2)*AV435)</f>
        <v/>
      </c>
      <c r="AX435" s="7">
        <f>IF(AW435="","",NORM.S.DIST(AW435,TRUE))</f>
        <v/>
      </c>
      <c r="AY435" s="13">
        <f>IF(AX435="","",IF(AX435&lt;='组合输入'!$K11,"AAA",IF(AX435&lt;='组合输入'!$L11,"AA",IF(AX435&lt;='组合输入'!$M11,"A",IF(AX435&lt;='组合输入'!$N11,"BBB",IF(AX435&lt;='组合输入'!$O11,"BB",IF(AX435&lt;='组合输入'!$P11,"B",IF(AX435&lt;='组合输入'!$Q11,"CCC","D")))))))</f>
        <v/>
      </c>
      <c r="AZ435" s="12">
        <f>IF(AY435="","",INDEX('状态价值'!$D11:$K11,MATCH(AY435,'状态价值'!$D$1:$K$1,0)))</f>
        <v/>
      </c>
      <c r="BA435" s="12">
        <f>G435+L435+Q435+V435+AA435+AF435+AK435+AP435+AU435+AZ435</f>
        <v/>
      </c>
      <c r="BB435" s="12">
        <f>SUM('组合输入'!$J$2:$J$11)-BA435</f>
        <v/>
      </c>
    </row>
    <row r="436">
      <c r="A436" s="11" t="n">
        <v>435</v>
      </c>
      <c r="B436" s="14">
        <f>NORM.S.INV(RAND())</f>
        <v/>
      </c>
      <c r="C436" s="14">
        <f>NORM.S.INV(RAND())</f>
        <v/>
      </c>
      <c r="D436" s="15">
        <f>IF('组合输入'!$C2="","",'组合输入'!$H2*$B436+SQRT(1-'组合输入'!$H2^2)*C436)</f>
        <v/>
      </c>
      <c r="E436" s="7">
        <f>IF(D436="","",NORM.S.DIST(D436,TRUE))</f>
        <v/>
      </c>
      <c r="F436" s="13">
        <f>IF(E436="","",IF(E436&lt;='组合输入'!$K2,"AAA",IF(E436&lt;='组合输入'!$L2,"AA",IF(E436&lt;='组合输入'!$M2,"A",IF(E436&lt;='组合输入'!$N2,"BBB",IF(E436&lt;='组合输入'!$O2,"BB",IF(E436&lt;='组合输入'!$P2,"B",IF(E436&lt;='组合输入'!$Q2,"CCC","D")))))))</f>
        <v/>
      </c>
      <c r="G436" s="12">
        <f>IF(F436="","",INDEX('状态价值'!$D2:$K2,MATCH(F436,'状态价值'!$D$1:$K$1,0)))</f>
        <v/>
      </c>
      <c r="H436" s="15">
        <f>NORM.S.INV(RAND())</f>
        <v/>
      </c>
      <c r="I436" s="15">
        <f>IF('组合输入'!$C3="","",'组合输入'!$H3*$B436+SQRT(1-'组合输入'!$H3^2)*H436)</f>
        <v/>
      </c>
      <c r="J436" s="7">
        <f>IF(I436="","",NORM.S.DIST(I436,TRUE))</f>
        <v/>
      </c>
      <c r="K436" s="13">
        <f>IF(J436="","",IF(J436&lt;='组合输入'!$K3,"AAA",IF(J436&lt;='组合输入'!$L3,"AA",IF(J436&lt;='组合输入'!$M3,"A",IF(J436&lt;='组合输入'!$N3,"BBB",IF(J436&lt;='组合输入'!$O3,"BB",IF(J436&lt;='组合输入'!$P3,"B",IF(J436&lt;='组合输入'!$Q3,"CCC","D")))))))</f>
        <v/>
      </c>
      <c r="L436" s="12">
        <f>IF(K436="","",INDEX('状态价值'!$D3:$K3,MATCH(K436,'状态价值'!$D$1:$K$1,0)))</f>
        <v/>
      </c>
      <c r="M436" s="15">
        <f>NORM.S.INV(RAND())</f>
        <v/>
      </c>
      <c r="N436" s="15">
        <f>IF('组合输入'!$C4="","",'组合输入'!$H4*$B436+SQRT(1-'组合输入'!$H4^2)*M436)</f>
        <v/>
      </c>
      <c r="O436" s="7">
        <f>IF(N436="","",NORM.S.DIST(N436,TRUE))</f>
        <v/>
      </c>
      <c r="P436" s="13">
        <f>IF(O436="","",IF(O436&lt;='组合输入'!$K4,"AAA",IF(O436&lt;='组合输入'!$L4,"AA",IF(O436&lt;='组合输入'!$M4,"A",IF(O436&lt;='组合输入'!$N4,"BBB",IF(O436&lt;='组合输入'!$O4,"BB",IF(O436&lt;='组合输入'!$P4,"B",IF(O436&lt;='组合输入'!$Q4,"CCC","D")))))))</f>
        <v/>
      </c>
      <c r="Q436" s="12">
        <f>IF(P436="","",INDEX('状态价值'!$D4:$K4,MATCH(P436,'状态价值'!$D$1:$K$1,0)))</f>
        <v/>
      </c>
      <c r="R436" s="15">
        <f>NORM.S.INV(RAND())</f>
        <v/>
      </c>
      <c r="S436" s="15">
        <f>IF('组合输入'!$C5="","",'组合输入'!$H5*$B436+SQRT(1-'组合输入'!$H5^2)*R436)</f>
        <v/>
      </c>
      <c r="T436" s="7">
        <f>IF(S436="","",NORM.S.DIST(S436,TRUE))</f>
        <v/>
      </c>
      <c r="U436" s="13">
        <f>IF(T436="","",IF(T436&lt;='组合输入'!$K5,"AAA",IF(T436&lt;='组合输入'!$L5,"AA",IF(T436&lt;='组合输入'!$M5,"A",IF(T436&lt;='组合输入'!$N5,"BBB",IF(T436&lt;='组合输入'!$O5,"BB",IF(T436&lt;='组合输入'!$P5,"B",IF(T436&lt;='组合输入'!$Q5,"CCC","D")))))))</f>
        <v/>
      </c>
      <c r="V436" s="12">
        <f>IF(U436="","",INDEX('状态价值'!$D5:$K5,MATCH(U436,'状态价值'!$D$1:$K$1,0)))</f>
        <v/>
      </c>
      <c r="W436" s="15">
        <f>NORM.S.INV(RAND())</f>
        <v/>
      </c>
      <c r="X436" s="15">
        <f>IF('组合输入'!$C6="","",'组合输入'!$H6*$B436+SQRT(1-'组合输入'!$H6^2)*W436)</f>
        <v/>
      </c>
      <c r="Y436" s="7">
        <f>IF(X436="","",NORM.S.DIST(X436,TRUE))</f>
        <v/>
      </c>
      <c r="Z436" s="13">
        <f>IF(Y436="","",IF(Y436&lt;='组合输入'!$K6,"AAA",IF(Y436&lt;='组合输入'!$L6,"AA",IF(Y436&lt;='组合输入'!$M6,"A",IF(Y436&lt;='组合输入'!$N6,"BBB",IF(Y436&lt;='组合输入'!$O6,"BB",IF(Y436&lt;='组合输入'!$P6,"B",IF(Y436&lt;='组合输入'!$Q6,"CCC","D")))))))</f>
        <v/>
      </c>
      <c r="AA436" s="12">
        <f>IF(Z436="","",INDEX('状态价值'!$D6:$K6,MATCH(Z436,'状态价值'!$D$1:$K$1,0)))</f>
        <v/>
      </c>
      <c r="AB436" s="15">
        <f>NORM.S.INV(RAND())</f>
        <v/>
      </c>
      <c r="AC436" s="15">
        <f>IF('组合输入'!$C7="","",'组合输入'!$H7*$B436+SQRT(1-'组合输入'!$H7^2)*AB436)</f>
        <v/>
      </c>
      <c r="AD436" s="7">
        <f>IF(AC436="","",NORM.S.DIST(AC436,TRUE))</f>
        <v/>
      </c>
      <c r="AE436" s="13">
        <f>IF(AD436="","",IF(AD436&lt;='组合输入'!$K7,"AAA",IF(AD436&lt;='组合输入'!$L7,"AA",IF(AD436&lt;='组合输入'!$M7,"A",IF(AD436&lt;='组合输入'!$N7,"BBB",IF(AD436&lt;='组合输入'!$O7,"BB",IF(AD436&lt;='组合输入'!$P7,"B",IF(AD436&lt;='组合输入'!$Q7,"CCC","D")))))))</f>
        <v/>
      </c>
      <c r="AF436" s="12">
        <f>IF(AE436="","",INDEX('状态价值'!$D7:$K7,MATCH(AE436,'状态价值'!$D$1:$K$1,0)))</f>
        <v/>
      </c>
      <c r="AG436" s="15">
        <f>NORM.S.INV(RAND())</f>
        <v/>
      </c>
      <c r="AH436" s="15">
        <f>IF('组合输入'!$C8="","",'组合输入'!$H8*$B436+SQRT(1-'组合输入'!$H8^2)*AG436)</f>
        <v/>
      </c>
      <c r="AI436" s="7">
        <f>IF(AH436="","",NORM.S.DIST(AH436,TRUE))</f>
        <v/>
      </c>
      <c r="AJ436" s="13">
        <f>IF(AI436="","",IF(AI436&lt;='组合输入'!$K8,"AAA",IF(AI436&lt;='组合输入'!$L8,"AA",IF(AI436&lt;='组合输入'!$M8,"A",IF(AI436&lt;='组合输入'!$N8,"BBB",IF(AI436&lt;='组合输入'!$O8,"BB",IF(AI436&lt;='组合输入'!$P8,"B",IF(AI436&lt;='组合输入'!$Q8,"CCC","D")))))))</f>
        <v/>
      </c>
      <c r="AK436" s="12">
        <f>IF(AJ436="","",INDEX('状态价值'!$D8:$K8,MATCH(AJ436,'状态价值'!$D$1:$K$1,0)))</f>
        <v/>
      </c>
      <c r="AL436" s="15">
        <f>NORM.S.INV(RAND())</f>
        <v/>
      </c>
      <c r="AM436" s="15">
        <f>IF('组合输入'!$C9="","",'组合输入'!$H9*$B436+SQRT(1-'组合输入'!$H9^2)*AL436)</f>
        <v/>
      </c>
      <c r="AN436" s="7">
        <f>IF(AM436="","",NORM.S.DIST(AM436,TRUE))</f>
        <v/>
      </c>
      <c r="AO436" s="13">
        <f>IF(AN436="","",IF(AN436&lt;='组合输入'!$K9,"AAA",IF(AN436&lt;='组合输入'!$L9,"AA",IF(AN436&lt;='组合输入'!$M9,"A",IF(AN436&lt;='组合输入'!$N9,"BBB",IF(AN436&lt;='组合输入'!$O9,"BB",IF(AN436&lt;='组合输入'!$P9,"B",IF(AN436&lt;='组合输入'!$Q9,"CCC","D")))))))</f>
        <v/>
      </c>
      <c r="AP436" s="12">
        <f>IF(AO436="","",INDEX('状态价值'!$D9:$K9,MATCH(AO436,'状态价值'!$D$1:$K$1,0)))</f>
        <v/>
      </c>
      <c r="AQ436" s="15">
        <f>NORM.S.INV(RAND())</f>
        <v/>
      </c>
      <c r="AR436" s="15">
        <f>IF('组合输入'!$C10="","",'组合输入'!$H10*$B436+SQRT(1-'组合输入'!$H10^2)*AQ436)</f>
        <v/>
      </c>
      <c r="AS436" s="7">
        <f>IF(AR436="","",NORM.S.DIST(AR436,TRUE))</f>
        <v/>
      </c>
      <c r="AT436" s="13">
        <f>IF(AS436="","",IF(AS436&lt;='组合输入'!$K10,"AAA",IF(AS436&lt;='组合输入'!$L10,"AA",IF(AS436&lt;='组合输入'!$M10,"A",IF(AS436&lt;='组合输入'!$N10,"BBB",IF(AS436&lt;='组合输入'!$O10,"BB",IF(AS436&lt;='组合输入'!$P10,"B",IF(AS436&lt;='组合输入'!$Q10,"CCC","D")))))))</f>
        <v/>
      </c>
      <c r="AU436" s="12">
        <f>IF(AT436="","",INDEX('状态价值'!$D10:$K10,MATCH(AT436,'状态价值'!$D$1:$K$1,0)))</f>
        <v/>
      </c>
      <c r="AV436" s="15">
        <f>NORM.S.INV(RAND())</f>
        <v/>
      </c>
      <c r="AW436" s="15">
        <f>IF('组合输入'!$C11="","",'组合输入'!$H11*$B436+SQRT(1-'组合输入'!$H11^2)*AV436)</f>
        <v/>
      </c>
      <c r="AX436" s="7">
        <f>IF(AW436="","",NORM.S.DIST(AW436,TRUE))</f>
        <v/>
      </c>
      <c r="AY436" s="13">
        <f>IF(AX436="","",IF(AX436&lt;='组合输入'!$K11,"AAA",IF(AX436&lt;='组合输入'!$L11,"AA",IF(AX436&lt;='组合输入'!$M11,"A",IF(AX436&lt;='组合输入'!$N11,"BBB",IF(AX436&lt;='组合输入'!$O11,"BB",IF(AX436&lt;='组合输入'!$P11,"B",IF(AX436&lt;='组合输入'!$Q11,"CCC","D")))))))</f>
        <v/>
      </c>
      <c r="AZ436" s="12">
        <f>IF(AY436="","",INDEX('状态价值'!$D11:$K11,MATCH(AY436,'状态价值'!$D$1:$K$1,0)))</f>
        <v/>
      </c>
      <c r="BA436" s="12">
        <f>G436+L436+Q436+V436+AA436+AF436+AK436+AP436+AU436+AZ436</f>
        <v/>
      </c>
      <c r="BB436" s="12">
        <f>SUM('组合输入'!$J$2:$J$11)-BA436</f>
        <v/>
      </c>
    </row>
    <row r="437">
      <c r="A437" s="11" t="n">
        <v>436</v>
      </c>
      <c r="B437" s="14">
        <f>NORM.S.INV(RAND())</f>
        <v/>
      </c>
      <c r="C437" s="14">
        <f>NORM.S.INV(RAND())</f>
        <v/>
      </c>
      <c r="D437" s="15">
        <f>IF('组合输入'!$C2="","",'组合输入'!$H2*$B437+SQRT(1-'组合输入'!$H2^2)*C437)</f>
        <v/>
      </c>
      <c r="E437" s="7">
        <f>IF(D437="","",NORM.S.DIST(D437,TRUE))</f>
        <v/>
      </c>
      <c r="F437" s="13">
        <f>IF(E437="","",IF(E437&lt;='组合输入'!$K2,"AAA",IF(E437&lt;='组合输入'!$L2,"AA",IF(E437&lt;='组合输入'!$M2,"A",IF(E437&lt;='组合输入'!$N2,"BBB",IF(E437&lt;='组合输入'!$O2,"BB",IF(E437&lt;='组合输入'!$P2,"B",IF(E437&lt;='组合输入'!$Q2,"CCC","D")))))))</f>
        <v/>
      </c>
      <c r="G437" s="12">
        <f>IF(F437="","",INDEX('状态价值'!$D2:$K2,MATCH(F437,'状态价值'!$D$1:$K$1,0)))</f>
        <v/>
      </c>
      <c r="H437" s="15">
        <f>NORM.S.INV(RAND())</f>
        <v/>
      </c>
      <c r="I437" s="15">
        <f>IF('组合输入'!$C3="","",'组合输入'!$H3*$B437+SQRT(1-'组合输入'!$H3^2)*H437)</f>
        <v/>
      </c>
      <c r="J437" s="7">
        <f>IF(I437="","",NORM.S.DIST(I437,TRUE))</f>
        <v/>
      </c>
      <c r="K437" s="13">
        <f>IF(J437="","",IF(J437&lt;='组合输入'!$K3,"AAA",IF(J437&lt;='组合输入'!$L3,"AA",IF(J437&lt;='组合输入'!$M3,"A",IF(J437&lt;='组合输入'!$N3,"BBB",IF(J437&lt;='组合输入'!$O3,"BB",IF(J437&lt;='组合输入'!$P3,"B",IF(J437&lt;='组合输入'!$Q3,"CCC","D")))))))</f>
        <v/>
      </c>
      <c r="L437" s="12">
        <f>IF(K437="","",INDEX('状态价值'!$D3:$K3,MATCH(K437,'状态价值'!$D$1:$K$1,0)))</f>
        <v/>
      </c>
      <c r="M437" s="15">
        <f>NORM.S.INV(RAND())</f>
        <v/>
      </c>
      <c r="N437" s="15">
        <f>IF('组合输入'!$C4="","",'组合输入'!$H4*$B437+SQRT(1-'组合输入'!$H4^2)*M437)</f>
        <v/>
      </c>
      <c r="O437" s="7">
        <f>IF(N437="","",NORM.S.DIST(N437,TRUE))</f>
        <v/>
      </c>
      <c r="P437" s="13">
        <f>IF(O437="","",IF(O437&lt;='组合输入'!$K4,"AAA",IF(O437&lt;='组合输入'!$L4,"AA",IF(O437&lt;='组合输入'!$M4,"A",IF(O437&lt;='组合输入'!$N4,"BBB",IF(O437&lt;='组合输入'!$O4,"BB",IF(O437&lt;='组合输入'!$P4,"B",IF(O437&lt;='组合输入'!$Q4,"CCC","D")))))))</f>
        <v/>
      </c>
      <c r="Q437" s="12">
        <f>IF(P437="","",INDEX('状态价值'!$D4:$K4,MATCH(P437,'状态价值'!$D$1:$K$1,0)))</f>
        <v/>
      </c>
      <c r="R437" s="15">
        <f>NORM.S.INV(RAND())</f>
        <v/>
      </c>
      <c r="S437" s="15">
        <f>IF('组合输入'!$C5="","",'组合输入'!$H5*$B437+SQRT(1-'组合输入'!$H5^2)*R437)</f>
        <v/>
      </c>
      <c r="T437" s="7">
        <f>IF(S437="","",NORM.S.DIST(S437,TRUE))</f>
        <v/>
      </c>
      <c r="U437" s="13">
        <f>IF(T437="","",IF(T437&lt;='组合输入'!$K5,"AAA",IF(T437&lt;='组合输入'!$L5,"AA",IF(T437&lt;='组合输入'!$M5,"A",IF(T437&lt;='组合输入'!$N5,"BBB",IF(T437&lt;='组合输入'!$O5,"BB",IF(T437&lt;='组合输入'!$P5,"B",IF(T437&lt;='组合输入'!$Q5,"CCC","D")))))))</f>
        <v/>
      </c>
      <c r="V437" s="12">
        <f>IF(U437="","",INDEX('状态价值'!$D5:$K5,MATCH(U437,'状态价值'!$D$1:$K$1,0)))</f>
        <v/>
      </c>
      <c r="W437" s="15">
        <f>NORM.S.INV(RAND())</f>
        <v/>
      </c>
      <c r="X437" s="15">
        <f>IF('组合输入'!$C6="","",'组合输入'!$H6*$B437+SQRT(1-'组合输入'!$H6^2)*W437)</f>
        <v/>
      </c>
      <c r="Y437" s="7">
        <f>IF(X437="","",NORM.S.DIST(X437,TRUE))</f>
        <v/>
      </c>
      <c r="Z437" s="13">
        <f>IF(Y437="","",IF(Y437&lt;='组合输入'!$K6,"AAA",IF(Y437&lt;='组合输入'!$L6,"AA",IF(Y437&lt;='组合输入'!$M6,"A",IF(Y437&lt;='组合输入'!$N6,"BBB",IF(Y437&lt;='组合输入'!$O6,"BB",IF(Y437&lt;='组合输入'!$P6,"B",IF(Y437&lt;='组合输入'!$Q6,"CCC","D")))))))</f>
        <v/>
      </c>
      <c r="AA437" s="12">
        <f>IF(Z437="","",INDEX('状态价值'!$D6:$K6,MATCH(Z437,'状态价值'!$D$1:$K$1,0)))</f>
        <v/>
      </c>
      <c r="AB437" s="15">
        <f>NORM.S.INV(RAND())</f>
        <v/>
      </c>
      <c r="AC437" s="15">
        <f>IF('组合输入'!$C7="","",'组合输入'!$H7*$B437+SQRT(1-'组合输入'!$H7^2)*AB437)</f>
        <v/>
      </c>
      <c r="AD437" s="7">
        <f>IF(AC437="","",NORM.S.DIST(AC437,TRUE))</f>
        <v/>
      </c>
      <c r="AE437" s="13">
        <f>IF(AD437="","",IF(AD437&lt;='组合输入'!$K7,"AAA",IF(AD437&lt;='组合输入'!$L7,"AA",IF(AD437&lt;='组合输入'!$M7,"A",IF(AD437&lt;='组合输入'!$N7,"BBB",IF(AD437&lt;='组合输入'!$O7,"BB",IF(AD437&lt;='组合输入'!$P7,"B",IF(AD437&lt;='组合输入'!$Q7,"CCC","D")))))))</f>
        <v/>
      </c>
      <c r="AF437" s="12">
        <f>IF(AE437="","",INDEX('状态价值'!$D7:$K7,MATCH(AE437,'状态价值'!$D$1:$K$1,0)))</f>
        <v/>
      </c>
      <c r="AG437" s="15">
        <f>NORM.S.INV(RAND())</f>
        <v/>
      </c>
      <c r="AH437" s="15">
        <f>IF('组合输入'!$C8="","",'组合输入'!$H8*$B437+SQRT(1-'组合输入'!$H8^2)*AG437)</f>
        <v/>
      </c>
      <c r="AI437" s="7">
        <f>IF(AH437="","",NORM.S.DIST(AH437,TRUE))</f>
        <v/>
      </c>
      <c r="AJ437" s="13">
        <f>IF(AI437="","",IF(AI437&lt;='组合输入'!$K8,"AAA",IF(AI437&lt;='组合输入'!$L8,"AA",IF(AI437&lt;='组合输入'!$M8,"A",IF(AI437&lt;='组合输入'!$N8,"BBB",IF(AI437&lt;='组合输入'!$O8,"BB",IF(AI437&lt;='组合输入'!$P8,"B",IF(AI437&lt;='组合输入'!$Q8,"CCC","D")))))))</f>
        <v/>
      </c>
      <c r="AK437" s="12">
        <f>IF(AJ437="","",INDEX('状态价值'!$D8:$K8,MATCH(AJ437,'状态价值'!$D$1:$K$1,0)))</f>
        <v/>
      </c>
      <c r="AL437" s="15">
        <f>NORM.S.INV(RAND())</f>
        <v/>
      </c>
      <c r="AM437" s="15">
        <f>IF('组合输入'!$C9="","",'组合输入'!$H9*$B437+SQRT(1-'组合输入'!$H9^2)*AL437)</f>
        <v/>
      </c>
      <c r="AN437" s="7">
        <f>IF(AM437="","",NORM.S.DIST(AM437,TRUE))</f>
        <v/>
      </c>
      <c r="AO437" s="13">
        <f>IF(AN437="","",IF(AN437&lt;='组合输入'!$K9,"AAA",IF(AN437&lt;='组合输入'!$L9,"AA",IF(AN437&lt;='组合输入'!$M9,"A",IF(AN437&lt;='组合输入'!$N9,"BBB",IF(AN437&lt;='组合输入'!$O9,"BB",IF(AN437&lt;='组合输入'!$P9,"B",IF(AN437&lt;='组合输入'!$Q9,"CCC","D")))))))</f>
        <v/>
      </c>
      <c r="AP437" s="12">
        <f>IF(AO437="","",INDEX('状态价值'!$D9:$K9,MATCH(AO437,'状态价值'!$D$1:$K$1,0)))</f>
        <v/>
      </c>
      <c r="AQ437" s="15">
        <f>NORM.S.INV(RAND())</f>
        <v/>
      </c>
      <c r="AR437" s="15">
        <f>IF('组合输入'!$C10="","",'组合输入'!$H10*$B437+SQRT(1-'组合输入'!$H10^2)*AQ437)</f>
        <v/>
      </c>
      <c r="AS437" s="7">
        <f>IF(AR437="","",NORM.S.DIST(AR437,TRUE))</f>
        <v/>
      </c>
      <c r="AT437" s="13">
        <f>IF(AS437="","",IF(AS437&lt;='组合输入'!$K10,"AAA",IF(AS437&lt;='组合输入'!$L10,"AA",IF(AS437&lt;='组合输入'!$M10,"A",IF(AS437&lt;='组合输入'!$N10,"BBB",IF(AS437&lt;='组合输入'!$O10,"BB",IF(AS437&lt;='组合输入'!$P10,"B",IF(AS437&lt;='组合输入'!$Q10,"CCC","D")))))))</f>
        <v/>
      </c>
      <c r="AU437" s="12">
        <f>IF(AT437="","",INDEX('状态价值'!$D10:$K10,MATCH(AT437,'状态价值'!$D$1:$K$1,0)))</f>
        <v/>
      </c>
      <c r="AV437" s="15">
        <f>NORM.S.INV(RAND())</f>
        <v/>
      </c>
      <c r="AW437" s="15">
        <f>IF('组合输入'!$C11="","",'组合输入'!$H11*$B437+SQRT(1-'组合输入'!$H11^2)*AV437)</f>
        <v/>
      </c>
      <c r="AX437" s="7">
        <f>IF(AW437="","",NORM.S.DIST(AW437,TRUE))</f>
        <v/>
      </c>
      <c r="AY437" s="13">
        <f>IF(AX437="","",IF(AX437&lt;='组合输入'!$K11,"AAA",IF(AX437&lt;='组合输入'!$L11,"AA",IF(AX437&lt;='组合输入'!$M11,"A",IF(AX437&lt;='组合输入'!$N11,"BBB",IF(AX437&lt;='组合输入'!$O11,"BB",IF(AX437&lt;='组合输入'!$P11,"B",IF(AX437&lt;='组合输入'!$Q11,"CCC","D")))))))</f>
        <v/>
      </c>
      <c r="AZ437" s="12">
        <f>IF(AY437="","",INDEX('状态价值'!$D11:$K11,MATCH(AY437,'状态价值'!$D$1:$K$1,0)))</f>
        <v/>
      </c>
      <c r="BA437" s="12">
        <f>G437+L437+Q437+V437+AA437+AF437+AK437+AP437+AU437+AZ437</f>
        <v/>
      </c>
      <c r="BB437" s="12">
        <f>SUM('组合输入'!$J$2:$J$11)-BA437</f>
        <v/>
      </c>
    </row>
    <row r="438">
      <c r="A438" s="11" t="n">
        <v>437</v>
      </c>
      <c r="B438" s="14">
        <f>NORM.S.INV(RAND())</f>
        <v/>
      </c>
      <c r="C438" s="14">
        <f>NORM.S.INV(RAND())</f>
        <v/>
      </c>
      <c r="D438" s="15">
        <f>IF('组合输入'!$C2="","",'组合输入'!$H2*$B438+SQRT(1-'组合输入'!$H2^2)*C438)</f>
        <v/>
      </c>
      <c r="E438" s="7">
        <f>IF(D438="","",NORM.S.DIST(D438,TRUE))</f>
        <v/>
      </c>
      <c r="F438" s="13">
        <f>IF(E438="","",IF(E438&lt;='组合输入'!$K2,"AAA",IF(E438&lt;='组合输入'!$L2,"AA",IF(E438&lt;='组合输入'!$M2,"A",IF(E438&lt;='组合输入'!$N2,"BBB",IF(E438&lt;='组合输入'!$O2,"BB",IF(E438&lt;='组合输入'!$P2,"B",IF(E438&lt;='组合输入'!$Q2,"CCC","D")))))))</f>
        <v/>
      </c>
      <c r="G438" s="12">
        <f>IF(F438="","",INDEX('状态价值'!$D2:$K2,MATCH(F438,'状态价值'!$D$1:$K$1,0)))</f>
        <v/>
      </c>
      <c r="H438" s="15">
        <f>NORM.S.INV(RAND())</f>
        <v/>
      </c>
      <c r="I438" s="15">
        <f>IF('组合输入'!$C3="","",'组合输入'!$H3*$B438+SQRT(1-'组合输入'!$H3^2)*H438)</f>
        <v/>
      </c>
      <c r="J438" s="7">
        <f>IF(I438="","",NORM.S.DIST(I438,TRUE))</f>
        <v/>
      </c>
      <c r="K438" s="13">
        <f>IF(J438="","",IF(J438&lt;='组合输入'!$K3,"AAA",IF(J438&lt;='组合输入'!$L3,"AA",IF(J438&lt;='组合输入'!$M3,"A",IF(J438&lt;='组合输入'!$N3,"BBB",IF(J438&lt;='组合输入'!$O3,"BB",IF(J438&lt;='组合输入'!$P3,"B",IF(J438&lt;='组合输入'!$Q3,"CCC","D")))))))</f>
        <v/>
      </c>
      <c r="L438" s="12">
        <f>IF(K438="","",INDEX('状态价值'!$D3:$K3,MATCH(K438,'状态价值'!$D$1:$K$1,0)))</f>
        <v/>
      </c>
      <c r="M438" s="15">
        <f>NORM.S.INV(RAND())</f>
        <v/>
      </c>
      <c r="N438" s="15">
        <f>IF('组合输入'!$C4="","",'组合输入'!$H4*$B438+SQRT(1-'组合输入'!$H4^2)*M438)</f>
        <v/>
      </c>
      <c r="O438" s="7">
        <f>IF(N438="","",NORM.S.DIST(N438,TRUE))</f>
        <v/>
      </c>
      <c r="P438" s="13">
        <f>IF(O438="","",IF(O438&lt;='组合输入'!$K4,"AAA",IF(O438&lt;='组合输入'!$L4,"AA",IF(O438&lt;='组合输入'!$M4,"A",IF(O438&lt;='组合输入'!$N4,"BBB",IF(O438&lt;='组合输入'!$O4,"BB",IF(O438&lt;='组合输入'!$P4,"B",IF(O438&lt;='组合输入'!$Q4,"CCC","D")))))))</f>
        <v/>
      </c>
      <c r="Q438" s="12">
        <f>IF(P438="","",INDEX('状态价值'!$D4:$K4,MATCH(P438,'状态价值'!$D$1:$K$1,0)))</f>
        <v/>
      </c>
      <c r="R438" s="15">
        <f>NORM.S.INV(RAND())</f>
        <v/>
      </c>
      <c r="S438" s="15">
        <f>IF('组合输入'!$C5="","",'组合输入'!$H5*$B438+SQRT(1-'组合输入'!$H5^2)*R438)</f>
        <v/>
      </c>
      <c r="T438" s="7">
        <f>IF(S438="","",NORM.S.DIST(S438,TRUE))</f>
        <v/>
      </c>
      <c r="U438" s="13">
        <f>IF(T438="","",IF(T438&lt;='组合输入'!$K5,"AAA",IF(T438&lt;='组合输入'!$L5,"AA",IF(T438&lt;='组合输入'!$M5,"A",IF(T438&lt;='组合输入'!$N5,"BBB",IF(T438&lt;='组合输入'!$O5,"BB",IF(T438&lt;='组合输入'!$P5,"B",IF(T438&lt;='组合输入'!$Q5,"CCC","D")))))))</f>
        <v/>
      </c>
      <c r="V438" s="12">
        <f>IF(U438="","",INDEX('状态价值'!$D5:$K5,MATCH(U438,'状态价值'!$D$1:$K$1,0)))</f>
        <v/>
      </c>
      <c r="W438" s="15">
        <f>NORM.S.INV(RAND())</f>
        <v/>
      </c>
      <c r="X438" s="15">
        <f>IF('组合输入'!$C6="","",'组合输入'!$H6*$B438+SQRT(1-'组合输入'!$H6^2)*W438)</f>
        <v/>
      </c>
      <c r="Y438" s="7">
        <f>IF(X438="","",NORM.S.DIST(X438,TRUE))</f>
        <v/>
      </c>
      <c r="Z438" s="13">
        <f>IF(Y438="","",IF(Y438&lt;='组合输入'!$K6,"AAA",IF(Y438&lt;='组合输入'!$L6,"AA",IF(Y438&lt;='组合输入'!$M6,"A",IF(Y438&lt;='组合输入'!$N6,"BBB",IF(Y438&lt;='组合输入'!$O6,"BB",IF(Y438&lt;='组合输入'!$P6,"B",IF(Y438&lt;='组合输入'!$Q6,"CCC","D")))))))</f>
        <v/>
      </c>
      <c r="AA438" s="12">
        <f>IF(Z438="","",INDEX('状态价值'!$D6:$K6,MATCH(Z438,'状态价值'!$D$1:$K$1,0)))</f>
        <v/>
      </c>
      <c r="AB438" s="15">
        <f>NORM.S.INV(RAND())</f>
        <v/>
      </c>
      <c r="AC438" s="15">
        <f>IF('组合输入'!$C7="","",'组合输入'!$H7*$B438+SQRT(1-'组合输入'!$H7^2)*AB438)</f>
        <v/>
      </c>
      <c r="AD438" s="7">
        <f>IF(AC438="","",NORM.S.DIST(AC438,TRUE))</f>
        <v/>
      </c>
      <c r="AE438" s="13">
        <f>IF(AD438="","",IF(AD438&lt;='组合输入'!$K7,"AAA",IF(AD438&lt;='组合输入'!$L7,"AA",IF(AD438&lt;='组合输入'!$M7,"A",IF(AD438&lt;='组合输入'!$N7,"BBB",IF(AD438&lt;='组合输入'!$O7,"BB",IF(AD438&lt;='组合输入'!$P7,"B",IF(AD438&lt;='组合输入'!$Q7,"CCC","D")))))))</f>
        <v/>
      </c>
      <c r="AF438" s="12">
        <f>IF(AE438="","",INDEX('状态价值'!$D7:$K7,MATCH(AE438,'状态价值'!$D$1:$K$1,0)))</f>
        <v/>
      </c>
      <c r="AG438" s="15">
        <f>NORM.S.INV(RAND())</f>
        <v/>
      </c>
      <c r="AH438" s="15">
        <f>IF('组合输入'!$C8="","",'组合输入'!$H8*$B438+SQRT(1-'组合输入'!$H8^2)*AG438)</f>
        <v/>
      </c>
      <c r="AI438" s="7">
        <f>IF(AH438="","",NORM.S.DIST(AH438,TRUE))</f>
        <v/>
      </c>
      <c r="AJ438" s="13">
        <f>IF(AI438="","",IF(AI438&lt;='组合输入'!$K8,"AAA",IF(AI438&lt;='组合输入'!$L8,"AA",IF(AI438&lt;='组合输入'!$M8,"A",IF(AI438&lt;='组合输入'!$N8,"BBB",IF(AI438&lt;='组合输入'!$O8,"BB",IF(AI438&lt;='组合输入'!$P8,"B",IF(AI438&lt;='组合输入'!$Q8,"CCC","D")))))))</f>
        <v/>
      </c>
      <c r="AK438" s="12">
        <f>IF(AJ438="","",INDEX('状态价值'!$D8:$K8,MATCH(AJ438,'状态价值'!$D$1:$K$1,0)))</f>
        <v/>
      </c>
      <c r="AL438" s="15">
        <f>NORM.S.INV(RAND())</f>
        <v/>
      </c>
      <c r="AM438" s="15">
        <f>IF('组合输入'!$C9="","",'组合输入'!$H9*$B438+SQRT(1-'组合输入'!$H9^2)*AL438)</f>
        <v/>
      </c>
      <c r="AN438" s="7">
        <f>IF(AM438="","",NORM.S.DIST(AM438,TRUE))</f>
        <v/>
      </c>
      <c r="AO438" s="13">
        <f>IF(AN438="","",IF(AN438&lt;='组合输入'!$K9,"AAA",IF(AN438&lt;='组合输入'!$L9,"AA",IF(AN438&lt;='组合输入'!$M9,"A",IF(AN438&lt;='组合输入'!$N9,"BBB",IF(AN438&lt;='组合输入'!$O9,"BB",IF(AN438&lt;='组合输入'!$P9,"B",IF(AN438&lt;='组合输入'!$Q9,"CCC","D")))))))</f>
        <v/>
      </c>
      <c r="AP438" s="12">
        <f>IF(AO438="","",INDEX('状态价值'!$D9:$K9,MATCH(AO438,'状态价值'!$D$1:$K$1,0)))</f>
        <v/>
      </c>
      <c r="AQ438" s="15">
        <f>NORM.S.INV(RAND())</f>
        <v/>
      </c>
      <c r="AR438" s="15">
        <f>IF('组合输入'!$C10="","",'组合输入'!$H10*$B438+SQRT(1-'组合输入'!$H10^2)*AQ438)</f>
        <v/>
      </c>
      <c r="AS438" s="7">
        <f>IF(AR438="","",NORM.S.DIST(AR438,TRUE))</f>
        <v/>
      </c>
      <c r="AT438" s="13">
        <f>IF(AS438="","",IF(AS438&lt;='组合输入'!$K10,"AAA",IF(AS438&lt;='组合输入'!$L10,"AA",IF(AS438&lt;='组合输入'!$M10,"A",IF(AS438&lt;='组合输入'!$N10,"BBB",IF(AS438&lt;='组合输入'!$O10,"BB",IF(AS438&lt;='组合输入'!$P10,"B",IF(AS438&lt;='组合输入'!$Q10,"CCC","D")))))))</f>
        <v/>
      </c>
      <c r="AU438" s="12">
        <f>IF(AT438="","",INDEX('状态价值'!$D10:$K10,MATCH(AT438,'状态价值'!$D$1:$K$1,0)))</f>
        <v/>
      </c>
      <c r="AV438" s="15">
        <f>NORM.S.INV(RAND())</f>
        <v/>
      </c>
      <c r="AW438" s="15">
        <f>IF('组合输入'!$C11="","",'组合输入'!$H11*$B438+SQRT(1-'组合输入'!$H11^2)*AV438)</f>
        <v/>
      </c>
      <c r="AX438" s="7">
        <f>IF(AW438="","",NORM.S.DIST(AW438,TRUE))</f>
        <v/>
      </c>
      <c r="AY438" s="13">
        <f>IF(AX438="","",IF(AX438&lt;='组合输入'!$K11,"AAA",IF(AX438&lt;='组合输入'!$L11,"AA",IF(AX438&lt;='组合输入'!$M11,"A",IF(AX438&lt;='组合输入'!$N11,"BBB",IF(AX438&lt;='组合输入'!$O11,"BB",IF(AX438&lt;='组合输入'!$P11,"B",IF(AX438&lt;='组合输入'!$Q11,"CCC","D")))))))</f>
        <v/>
      </c>
      <c r="AZ438" s="12">
        <f>IF(AY438="","",INDEX('状态价值'!$D11:$K11,MATCH(AY438,'状态价值'!$D$1:$K$1,0)))</f>
        <v/>
      </c>
      <c r="BA438" s="12">
        <f>G438+L438+Q438+V438+AA438+AF438+AK438+AP438+AU438+AZ438</f>
        <v/>
      </c>
      <c r="BB438" s="12">
        <f>SUM('组合输入'!$J$2:$J$11)-BA438</f>
        <v/>
      </c>
    </row>
    <row r="439">
      <c r="A439" s="11" t="n">
        <v>438</v>
      </c>
      <c r="B439" s="14">
        <f>NORM.S.INV(RAND())</f>
        <v/>
      </c>
      <c r="C439" s="14">
        <f>NORM.S.INV(RAND())</f>
        <v/>
      </c>
      <c r="D439" s="15">
        <f>IF('组合输入'!$C2="","",'组合输入'!$H2*$B439+SQRT(1-'组合输入'!$H2^2)*C439)</f>
        <v/>
      </c>
      <c r="E439" s="7">
        <f>IF(D439="","",NORM.S.DIST(D439,TRUE))</f>
        <v/>
      </c>
      <c r="F439" s="13">
        <f>IF(E439="","",IF(E439&lt;='组合输入'!$K2,"AAA",IF(E439&lt;='组合输入'!$L2,"AA",IF(E439&lt;='组合输入'!$M2,"A",IF(E439&lt;='组合输入'!$N2,"BBB",IF(E439&lt;='组合输入'!$O2,"BB",IF(E439&lt;='组合输入'!$P2,"B",IF(E439&lt;='组合输入'!$Q2,"CCC","D")))))))</f>
        <v/>
      </c>
      <c r="G439" s="12">
        <f>IF(F439="","",INDEX('状态价值'!$D2:$K2,MATCH(F439,'状态价值'!$D$1:$K$1,0)))</f>
        <v/>
      </c>
      <c r="H439" s="15">
        <f>NORM.S.INV(RAND())</f>
        <v/>
      </c>
      <c r="I439" s="15">
        <f>IF('组合输入'!$C3="","",'组合输入'!$H3*$B439+SQRT(1-'组合输入'!$H3^2)*H439)</f>
        <v/>
      </c>
      <c r="J439" s="7">
        <f>IF(I439="","",NORM.S.DIST(I439,TRUE))</f>
        <v/>
      </c>
      <c r="K439" s="13">
        <f>IF(J439="","",IF(J439&lt;='组合输入'!$K3,"AAA",IF(J439&lt;='组合输入'!$L3,"AA",IF(J439&lt;='组合输入'!$M3,"A",IF(J439&lt;='组合输入'!$N3,"BBB",IF(J439&lt;='组合输入'!$O3,"BB",IF(J439&lt;='组合输入'!$P3,"B",IF(J439&lt;='组合输入'!$Q3,"CCC","D")))))))</f>
        <v/>
      </c>
      <c r="L439" s="12">
        <f>IF(K439="","",INDEX('状态价值'!$D3:$K3,MATCH(K439,'状态价值'!$D$1:$K$1,0)))</f>
        <v/>
      </c>
      <c r="M439" s="15">
        <f>NORM.S.INV(RAND())</f>
        <v/>
      </c>
      <c r="N439" s="15">
        <f>IF('组合输入'!$C4="","",'组合输入'!$H4*$B439+SQRT(1-'组合输入'!$H4^2)*M439)</f>
        <v/>
      </c>
      <c r="O439" s="7">
        <f>IF(N439="","",NORM.S.DIST(N439,TRUE))</f>
        <v/>
      </c>
      <c r="P439" s="13">
        <f>IF(O439="","",IF(O439&lt;='组合输入'!$K4,"AAA",IF(O439&lt;='组合输入'!$L4,"AA",IF(O439&lt;='组合输入'!$M4,"A",IF(O439&lt;='组合输入'!$N4,"BBB",IF(O439&lt;='组合输入'!$O4,"BB",IF(O439&lt;='组合输入'!$P4,"B",IF(O439&lt;='组合输入'!$Q4,"CCC","D")))))))</f>
        <v/>
      </c>
      <c r="Q439" s="12">
        <f>IF(P439="","",INDEX('状态价值'!$D4:$K4,MATCH(P439,'状态价值'!$D$1:$K$1,0)))</f>
        <v/>
      </c>
      <c r="R439" s="15">
        <f>NORM.S.INV(RAND())</f>
        <v/>
      </c>
      <c r="S439" s="15">
        <f>IF('组合输入'!$C5="","",'组合输入'!$H5*$B439+SQRT(1-'组合输入'!$H5^2)*R439)</f>
        <v/>
      </c>
      <c r="T439" s="7">
        <f>IF(S439="","",NORM.S.DIST(S439,TRUE))</f>
        <v/>
      </c>
      <c r="U439" s="13">
        <f>IF(T439="","",IF(T439&lt;='组合输入'!$K5,"AAA",IF(T439&lt;='组合输入'!$L5,"AA",IF(T439&lt;='组合输入'!$M5,"A",IF(T439&lt;='组合输入'!$N5,"BBB",IF(T439&lt;='组合输入'!$O5,"BB",IF(T439&lt;='组合输入'!$P5,"B",IF(T439&lt;='组合输入'!$Q5,"CCC","D")))))))</f>
        <v/>
      </c>
      <c r="V439" s="12">
        <f>IF(U439="","",INDEX('状态价值'!$D5:$K5,MATCH(U439,'状态价值'!$D$1:$K$1,0)))</f>
        <v/>
      </c>
      <c r="W439" s="15">
        <f>NORM.S.INV(RAND())</f>
        <v/>
      </c>
      <c r="X439" s="15">
        <f>IF('组合输入'!$C6="","",'组合输入'!$H6*$B439+SQRT(1-'组合输入'!$H6^2)*W439)</f>
        <v/>
      </c>
      <c r="Y439" s="7">
        <f>IF(X439="","",NORM.S.DIST(X439,TRUE))</f>
        <v/>
      </c>
      <c r="Z439" s="13">
        <f>IF(Y439="","",IF(Y439&lt;='组合输入'!$K6,"AAA",IF(Y439&lt;='组合输入'!$L6,"AA",IF(Y439&lt;='组合输入'!$M6,"A",IF(Y439&lt;='组合输入'!$N6,"BBB",IF(Y439&lt;='组合输入'!$O6,"BB",IF(Y439&lt;='组合输入'!$P6,"B",IF(Y439&lt;='组合输入'!$Q6,"CCC","D")))))))</f>
        <v/>
      </c>
      <c r="AA439" s="12">
        <f>IF(Z439="","",INDEX('状态价值'!$D6:$K6,MATCH(Z439,'状态价值'!$D$1:$K$1,0)))</f>
        <v/>
      </c>
      <c r="AB439" s="15">
        <f>NORM.S.INV(RAND())</f>
        <v/>
      </c>
      <c r="AC439" s="15">
        <f>IF('组合输入'!$C7="","",'组合输入'!$H7*$B439+SQRT(1-'组合输入'!$H7^2)*AB439)</f>
        <v/>
      </c>
      <c r="AD439" s="7">
        <f>IF(AC439="","",NORM.S.DIST(AC439,TRUE))</f>
        <v/>
      </c>
      <c r="AE439" s="13">
        <f>IF(AD439="","",IF(AD439&lt;='组合输入'!$K7,"AAA",IF(AD439&lt;='组合输入'!$L7,"AA",IF(AD439&lt;='组合输入'!$M7,"A",IF(AD439&lt;='组合输入'!$N7,"BBB",IF(AD439&lt;='组合输入'!$O7,"BB",IF(AD439&lt;='组合输入'!$P7,"B",IF(AD439&lt;='组合输入'!$Q7,"CCC","D")))))))</f>
        <v/>
      </c>
      <c r="AF439" s="12">
        <f>IF(AE439="","",INDEX('状态价值'!$D7:$K7,MATCH(AE439,'状态价值'!$D$1:$K$1,0)))</f>
        <v/>
      </c>
      <c r="AG439" s="15">
        <f>NORM.S.INV(RAND())</f>
        <v/>
      </c>
      <c r="AH439" s="15">
        <f>IF('组合输入'!$C8="","",'组合输入'!$H8*$B439+SQRT(1-'组合输入'!$H8^2)*AG439)</f>
        <v/>
      </c>
      <c r="AI439" s="7">
        <f>IF(AH439="","",NORM.S.DIST(AH439,TRUE))</f>
        <v/>
      </c>
      <c r="AJ439" s="13">
        <f>IF(AI439="","",IF(AI439&lt;='组合输入'!$K8,"AAA",IF(AI439&lt;='组合输入'!$L8,"AA",IF(AI439&lt;='组合输入'!$M8,"A",IF(AI439&lt;='组合输入'!$N8,"BBB",IF(AI439&lt;='组合输入'!$O8,"BB",IF(AI439&lt;='组合输入'!$P8,"B",IF(AI439&lt;='组合输入'!$Q8,"CCC","D")))))))</f>
        <v/>
      </c>
      <c r="AK439" s="12">
        <f>IF(AJ439="","",INDEX('状态价值'!$D8:$K8,MATCH(AJ439,'状态价值'!$D$1:$K$1,0)))</f>
        <v/>
      </c>
      <c r="AL439" s="15">
        <f>NORM.S.INV(RAND())</f>
        <v/>
      </c>
      <c r="AM439" s="15">
        <f>IF('组合输入'!$C9="","",'组合输入'!$H9*$B439+SQRT(1-'组合输入'!$H9^2)*AL439)</f>
        <v/>
      </c>
      <c r="AN439" s="7">
        <f>IF(AM439="","",NORM.S.DIST(AM439,TRUE))</f>
        <v/>
      </c>
      <c r="AO439" s="13">
        <f>IF(AN439="","",IF(AN439&lt;='组合输入'!$K9,"AAA",IF(AN439&lt;='组合输入'!$L9,"AA",IF(AN439&lt;='组合输入'!$M9,"A",IF(AN439&lt;='组合输入'!$N9,"BBB",IF(AN439&lt;='组合输入'!$O9,"BB",IF(AN439&lt;='组合输入'!$P9,"B",IF(AN439&lt;='组合输入'!$Q9,"CCC","D")))))))</f>
        <v/>
      </c>
      <c r="AP439" s="12">
        <f>IF(AO439="","",INDEX('状态价值'!$D9:$K9,MATCH(AO439,'状态价值'!$D$1:$K$1,0)))</f>
        <v/>
      </c>
      <c r="AQ439" s="15">
        <f>NORM.S.INV(RAND())</f>
        <v/>
      </c>
      <c r="AR439" s="15">
        <f>IF('组合输入'!$C10="","",'组合输入'!$H10*$B439+SQRT(1-'组合输入'!$H10^2)*AQ439)</f>
        <v/>
      </c>
      <c r="AS439" s="7">
        <f>IF(AR439="","",NORM.S.DIST(AR439,TRUE))</f>
        <v/>
      </c>
      <c r="AT439" s="13">
        <f>IF(AS439="","",IF(AS439&lt;='组合输入'!$K10,"AAA",IF(AS439&lt;='组合输入'!$L10,"AA",IF(AS439&lt;='组合输入'!$M10,"A",IF(AS439&lt;='组合输入'!$N10,"BBB",IF(AS439&lt;='组合输入'!$O10,"BB",IF(AS439&lt;='组合输入'!$P10,"B",IF(AS439&lt;='组合输入'!$Q10,"CCC","D")))))))</f>
        <v/>
      </c>
      <c r="AU439" s="12">
        <f>IF(AT439="","",INDEX('状态价值'!$D10:$K10,MATCH(AT439,'状态价值'!$D$1:$K$1,0)))</f>
        <v/>
      </c>
      <c r="AV439" s="15">
        <f>NORM.S.INV(RAND())</f>
        <v/>
      </c>
      <c r="AW439" s="15">
        <f>IF('组合输入'!$C11="","",'组合输入'!$H11*$B439+SQRT(1-'组合输入'!$H11^2)*AV439)</f>
        <v/>
      </c>
      <c r="AX439" s="7">
        <f>IF(AW439="","",NORM.S.DIST(AW439,TRUE))</f>
        <v/>
      </c>
      <c r="AY439" s="13">
        <f>IF(AX439="","",IF(AX439&lt;='组合输入'!$K11,"AAA",IF(AX439&lt;='组合输入'!$L11,"AA",IF(AX439&lt;='组合输入'!$M11,"A",IF(AX439&lt;='组合输入'!$N11,"BBB",IF(AX439&lt;='组合输入'!$O11,"BB",IF(AX439&lt;='组合输入'!$P11,"B",IF(AX439&lt;='组合输入'!$Q11,"CCC","D")))))))</f>
        <v/>
      </c>
      <c r="AZ439" s="12">
        <f>IF(AY439="","",INDEX('状态价值'!$D11:$K11,MATCH(AY439,'状态价值'!$D$1:$K$1,0)))</f>
        <v/>
      </c>
      <c r="BA439" s="12">
        <f>G439+L439+Q439+V439+AA439+AF439+AK439+AP439+AU439+AZ439</f>
        <v/>
      </c>
      <c r="BB439" s="12">
        <f>SUM('组合输入'!$J$2:$J$11)-BA439</f>
        <v/>
      </c>
    </row>
    <row r="440">
      <c r="A440" s="11" t="n">
        <v>439</v>
      </c>
      <c r="B440" s="14">
        <f>NORM.S.INV(RAND())</f>
        <v/>
      </c>
      <c r="C440" s="14">
        <f>NORM.S.INV(RAND())</f>
        <v/>
      </c>
      <c r="D440" s="15">
        <f>IF('组合输入'!$C2="","",'组合输入'!$H2*$B440+SQRT(1-'组合输入'!$H2^2)*C440)</f>
        <v/>
      </c>
      <c r="E440" s="7">
        <f>IF(D440="","",NORM.S.DIST(D440,TRUE))</f>
        <v/>
      </c>
      <c r="F440" s="13">
        <f>IF(E440="","",IF(E440&lt;='组合输入'!$K2,"AAA",IF(E440&lt;='组合输入'!$L2,"AA",IF(E440&lt;='组合输入'!$M2,"A",IF(E440&lt;='组合输入'!$N2,"BBB",IF(E440&lt;='组合输入'!$O2,"BB",IF(E440&lt;='组合输入'!$P2,"B",IF(E440&lt;='组合输入'!$Q2,"CCC","D")))))))</f>
        <v/>
      </c>
      <c r="G440" s="12">
        <f>IF(F440="","",INDEX('状态价值'!$D2:$K2,MATCH(F440,'状态价值'!$D$1:$K$1,0)))</f>
        <v/>
      </c>
      <c r="H440" s="15">
        <f>NORM.S.INV(RAND())</f>
        <v/>
      </c>
      <c r="I440" s="15">
        <f>IF('组合输入'!$C3="","",'组合输入'!$H3*$B440+SQRT(1-'组合输入'!$H3^2)*H440)</f>
        <v/>
      </c>
      <c r="J440" s="7">
        <f>IF(I440="","",NORM.S.DIST(I440,TRUE))</f>
        <v/>
      </c>
      <c r="K440" s="13">
        <f>IF(J440="","",IF(J440&lt;='组合输入'!$K3,"AAA",IF(J440&lt;='组合输入'!$L3,"AA",IF(J440&lt;='组合输入'!$M3,"A",IF(J440&lt;='组合输入'!$N3,"BBB",IF(J440&lt;='组合输入'!$O3,"BB",IF(J440&lt;='组合输入'!$P3,"B",IF(J440&lt;='组合输入'!$Q3,"CCC","D")))))))</f>
        <v/>
      </c>
      <c r="L440" s="12">
        <f>IF(K440="","",INDEX('状态价值'!$D3:$K3,MATCH(K440,'状态价值'!$D$1:$K$1,0)))</f>
        <v/>
      </c>
      <c r="M440" s="15">
        <f>NORM.S.INV(RAND())</f>
        <v/>
      </c>
      <c r="N440" s="15">
        <f>IF('组合输入'!$C4="","",'组合输入'!$H4*$B440+SQRT(1-'组合输入'!$H4^2)*M440)</f>
        <v/>
      </c>
      <c r="O440" s="7">
        <f>IF(N440="","",NORM.S.DIST(N440,TRUE))</f>
        <v/>
      </c>
      <c r="P440" s="13">
        <f>IF(O440="","",IF(O440&lt;='组合输入'!$K4,"AAA",IF(O440&lt;='组合输入'!$L4,"AA",IF(O440&lt;='组合输入'!$M4,"A",IF(O440&lt;='组合输入'!$N4,"BBB",IF(O440&lt;='组合输入'!$O4,"BB",IF(O440&lt;='组合输入'!$P4,"B",IF(O440&lt;='组合输入'!$Q4,"CCC","D")))))))</f>
        <v/>
      </c>
      <c r="Q440" s="12">
        <f>IF(P440="","",INDEX('状态价值'!$D4:$K4,MATCH(P440,'状态价值'!$D$1:$K$1,0)))</f>
        <v/>
      </c>
      <c r="R440" s="15">
        <f>NORM.S.INV(RAND())</f>
        <v/>
      </c>
      <c r="S440" s="15">
        <f>IF('组合输入'!$C5="","",'组合输入'!$H5*$B440+SQRT(1-'组合输入'!$H5^2)*R440)</f>
        <v/>
      </c>
      <c r="T440" s="7">
        <f>IF(S440="","",NORM.S.DIST(S440,TRUE))</f>
        <v/>
      </c>
      <c r="U440" s="13">
        <f>IF(T440="","",IF(T440&lt;='组合输入'!$K5,"AAA",IF(T440&lt;='组合输入'!$L5,"AA",IF(T440&lt;='组合输入'!$M5,"A",IF(T440&lt;='组合输入'!$N5,"BBB",IF(T440&lt;='组合输入'!$O5,"BB",IF(T440&lt;='组合输入'!$P5,"B",IF(T440&lt;='组合输入'!$Q5,"CCC","D")))))))</f>
        <v/>
      </c>
      <c r="V440" s="12">
        <f>IF(U440="","",INDEX('状态价值'!$D5:$K5,MATCH(U440,'状态价值'!$D$1:$K$1,0)))</f>
        <v/>
      </c>
      <c r="W440" s="15">
        <f>NORM.S.INV(RAND())</f>
        <v/>
      </c>
      <c r="X440" s="15">
        <f>IF('组合输入'!$C6="","",'组合输入'!$H6*$B440+SQRT(1-'组合输入'!$H6^2)*W440)</f>
        <v/>
      </c>
      <c r="Y440" s="7">
        <f>IF(X440="","",NORM.S.DIST(X440,TRUE))</f>
        <v/>
      </c>
      <c r="Z440" s="13">
        <f>IF(Y440="","",IF(Y440&lt;='组合输入'!$K6,"AAA",IF(Y440&lt;='组合输入'!$L6,"AA",IF(Y440&lt;='组合输入'!$M6,"A",IF(Y440&lt;='组合输入'!$N6,"BBB",IF(Y440&lt;='组合输入'!$O6,"BB",IF(Y440&lt;='组合输入'!$P6,"B",IF(Y440&lt;='组合输入'!$Q6,"CCC","D")))))))</f>
        <v/>
      </c>
      <c r="AA440" s="12">
        <f>IF(Z440="","",INDEX('状态价值'!$D6:$K6,MATCH(Z440,'状态价值'!$D$1:$K$1,0)))</f>
        <v/>
      </c>
      <c r="AB440" s="15">
        <f>NORM.S.INV(RAND())</f>
        <v/>
      </c>
      <c r="AC440" s="15">
        <f>IF('组合输入'!$C7="","",'组合输入'!$H7*$B440+SQRT(1-'组合输入'!$H7^2)*AB440)</f>
        <v/>
      </c>
      <c r="AD440" s="7">
        <f>IF(AC440="","",NORM.S.DIST(AC440,TRUE))</f>
        <v/>
      </c>
      <c r="AE440" s="13">
        <f>IF(AD440="","",IF(AD440&lt;='组合输入'!$K7,"AAA",IF(AD440&lt;='组合输入'!$L7,"AA",IF(AD440&lt;='组合输入'!$M7,"A",IF(AD440&lt;='组合输入'!$N7,"BBB",IF(AD440&lt;='组合输入'!$O7,"BB",IF(AD440&lt;='组合输入'!$P7,"B",IF(AD440&lt;='组合输入'!$Q7,"CCC","D")))))))</f>
        <v/>
      </c>
      <c r="AF440" s="12">
        <f>IF(AE440="","",INDEX('状态价值'!$D7:$K7,MATCH(AE440,'状态价值'!$D$1:$K$1,0)))</f>
        <v/>
      </c>
      <c r="AG440" s="15">
        <f>NORM.S.INV(RAND())</f>
        <v/>
      </c>
      <c r="AH440" s="15">
        <f>IF('组合输入'!$C8="","",'组合输入'!$H8*$B440+SQRT(1-'组合输入'!$H8^2)*AG440)</f>
        <v/>
      </c>
      <c r="AI440" s="7">
        <f>IF(AH440="","",NORM.S.DIST(AH440,TRUE))</f>
        <v/>
      </c>
      <c r="AJ440" s="13">
        <f>IF(AI440="","",IF(AI440&lt;='组合输入'!$K8,"AAA",IF(AI440&lt;='组合输入'!$L8,"AA",IF(AI440&lt;='组合输入'!$M8,"A",IF(AI440&lt;='组合输入'!$N8,"BBB",IF(AI440&lt;='组合输入'!$O8,"BB",IF(AI440&lt;='组合输入'!$P8,"B",IF(AI440&lt;='组合输入'!$Q8,"CCC","D")))))))</f>
        <v/>
      </c>
      <c r="AK440" s="12">
        <f>IF(AJ440="","",INDEX('状态价值'!$D8:$K8,MATCH(AJ440,'状态价值'!$D$1:$K$1,0)))</f>
        <v/>
      </c>
      <c r="AL440" s="15">
        <f>NORM.S.INV(RAND())</f>
        <v/>
      </c>
      <c r="AM440" s="15">
        <f>IF('组合输入'!$C9="","",'组合输入'!$H9*$B440+SQRT(1-'组合输入'!$H9^2)*AL440)</f>
        <v/>
      </c>
      <c r="AN440" s="7">
        <f>IF(AM440="","",NORM.S.DIST(AM440,TRUE))</f>
        <v/>
      </c>
      <c r="AO440" s="13">
        <f>IF(AN440="","",IF(AN440&lt;='组合输入'!$K9,"AAA",IF(AN440&lt;='组合输入'!$L9,"AA",IF(AN440&lt;='组合输入'!$M9,"A",IF(AN440&lt;='组合输入'!$N9,"BBB",IF(AN440&lt;='组合输入'!$O9,"BB",IF(AN440&lt;='组合输入'!$P9,"B",IF(AN440&lt;='组合输入'!$Q9,"CCC","D")))))))</f>
        <v/>
      </c>
      <c r="AP440" s="12">
        <f>IF(AO440="","",INDEX('状态价值'!$D9:$K9,MATCH(AO440,'状态价值'!$D$1:$K$1,0)))</f>
        <v/>
      </c>
      <c r="AQ440" s="15">
        <f>NORM.S.INV(RAND())</f>
        <v/>
      </c>
      <c r="AR440" s="15">
        <f>IF('组合输入'!$C10="","",'组合输入'!$H10*$B440+SQRT(1-'组合输入'!$H10^2)*AQ440)</f>
        <v/>
      </c>
      <c r="AS440" s="7">
        <f>IF(AR440="","",NORM.S.DIST(AR440,TRUE))</f>
        <v/>
      </c>
      <c r="AT440" s="13">
        <f>IF(AS440="","",IF(AS440&lt;='组合输入'!$K10,"AAA",IF(AS440&lt;='组合输入'!$L10,"AA",IF(AS440&lt;='组合输入'!$M10,"A",IF(AS440&lt;='组合输入'!$N10,"BBB",IF(AS440&lt;='组合输入'!$O10,"BB",IF(AS440&lt;='组合输入'!$P10,"B",IF(AS440&lt;='组合输入'!$Q10,"CCC","D")))))))</f>
        <v/>
      </c>
      <c r="AU440" s="12">
        <f>IF(AT440="","",INDEX('状态价值'!$D10:$K10,MATCH(AT440,'状态价值'!$D$1:$K$1,0)))</f>
        <v/>
      </c>
      <c r="AV440" s="15">
        <f>NORM.S.INV(RAND())</f>
        <v/>
      </c>
      <c r="AW440" s="15">
        <f>IF('组合输入'!$C11="","",'组合输入'!$H11*$B440+SQRT(1-'组合输入'!$H11^2)*AV440)</f>
        <v/>
      </c>
      <c r="AX440" s="7">
        <f>IF(AW440="","",NORM.S.DIST(AW440,TRUE))</f>
        <v/>
      </c>
      <c r="AY440" s="13">
        <f>IF(AX440="","",IF(AX440&lt;='组合输入'!$K11,"AAA",IF(AX440&lt;='组合输入'!$L11,"AA",IF(AX440&lt;='组合输入'!$M11,"A",IF(AX440&lt;='组合输入'!$N11,"BBB",IF(AX440&lt;='组合输入'!$O11,"BB",IF(AX440&lt;='组合输入'!$P11,"B",IF(AX440&lt;='组合输入'!$Q11,"CCC","D")))))))</f>
        <v/>
      </c>
      <c r="AZ440" s="12">
        <f>IF(AY440="","",INDEX('状态价值'!$D11:$K11,MATCH(AY440,'状态价值'!$D$1:$K$1,0)))</f>
        <v/>
      </c>
      <c r="BA440" s="12">
        <f>G440+L440+Q440+V440+AA440+AF440+AK440+AP440+AU440+AZ440</f>
        <v/>
      </c>
      <c r="BB440" s="12">
        <f>SUM('组合输入'!$J$2:$J$11)-BA440</f>
        <v/>
      </c>
    </row>
    <row r="441">
      <c r="A441" s="11" t="n">
        <v>440</v>
      </c>
      <c r="B441" s="14">
        <f>NORM.S.INV(RAND())</f>
        <v/>
      </c>
      <c r="C441" s="14">
        <f>NORM.S.INV(RAND())</f>
        <v/>
      </c>
      <c r="D441" s="15">
        <f>IF('组合输入'!$C2="","",'组合输入'!$H2*$B441+SQRT(1-'组合输入'!$H2^2)*C441)</f>
        <v/>
      </c>
      <c r="E441" s="7">
        <f>IF(D441="","",NORM.S.DIST(D441,TRUE))</f>
        <v/>
      </c>
      <c r="F441" s="13">
        <f>IF(E441="","",IF(E441&lt;='组合输入'!$K2,"AAA",IF(E441&lt;='组合输入'!$L2,"AA",IF(E441&lt;='组合输入'!$M2,"A",IF(E441&lt;='组合输入'!$N2,"BBB",IF(E441&lt;='组合输入'!$O2,"BB",IF(E441&lt;='组合输入'!$P2,"B",IF(E441&lt;='组合输入'!$Q2,"CCC","D")))))))</f>
        <v/>
      </c>
      <c r="G441" s="12">
        <f>IF(F441="","",INDEX('状态价值'!$D2:$K2,MATCH(F441,'状态价值'!$D$1:$K$1,0)))</f>
        <v/>
      </c>
      <c r="H441" s="15">
        <f>NORM.S.INV(RAND())</f>
        <v/>
      </c>
      <c r="I441" s="15">
        <f>IF('组合输入'!$C3="","",'组合输入'!$H3*$B441+SQRT(1-'组合输入'!$H3^2)*H441)</f>
        <v/>
      </c>
      <c r="J441" s="7">
        <f>IF(I441="","",NORM.S.DIST(I441,TRUE))</f>
        <v/>
      </c>
      <c r="K441" s="13">
        <f>IF(J441="","",IF(J441&lt;='组合输入'!$K3,"AAA",IF(J441&lt;='组合输入'!$L3,"AA",IF(J441&lt;='组合输入'!$M3,"A",IF(J441&lt;='组合输入'!$N3,"BBB",IF(J441&lt;='组合输入'!$O3,"BB",IF(J441&lt;='组合输入'!$P3,"B",IF(J441&lt;='组合输入'!$Q3,"CCC","D")))))))</f>
        <v/>
      </c>
      <c r="L441" s="12">
        <f>IF(K441="","",INDEX('状态价值'!$D3:$K3,MATCH(K441,'状态价值'!$D$1:$K$1,0)))</f>
        <v/>
      </c>
      <c r="M441" s="15">
        <f>NORM.S.INV(RAND())</f>
        <v/>
      </c>
      <c r="N441" s="15">
        <f>IF('组合输入'!$C4="","",'组合输入'!$H4*$B441+SQRT(1-'组合输入'!$H4^2)*M441)</f>
        <v/>
      </c>
      <c r="O441" s="7">
        <f>IF(N441="","",NORM.S.DIST(N441,TRUE))</f>
        <v/>
      </c>
      <c r="P441" s="13">
        <f>IF(O441="","",IF(O441&lt;='组合输入'!$K4,"AAA",IF(O441&lt;='组合输入'!$L4,"AA",IF(O441&lt;='组合输入'!$M4,"A",IF(O441&lt;='组合输入'!$N4,"BBB",IF(O441&lt;='组合输入'!$O4,"BB",IF(O441&lt;='组合输入'!$P4,"B",IF(O441&lt;='组合输入'!$Q4,"CCC","D")))))))</f>
        <v/>
      </c>
      <c r="Q441" s="12">
        <f>IF(P441="","",INDEX('状态价值'!$D4:$K4,MATCH(P441,'状态价值'!$D$1:$K$1,0)))</f>
        <v/>
      </c>
      <c r="R441" s="15">
        <f>NORM.S.INV(RAND())</f>
        <v/>
      </c>
      <c r="S441" s="15">
        <f>IF('组合输入'!$C5="","",'组合输入'!$H5*$B441+SQRT(1-'组合输入'!$H5^2)*R441)</f>
        <v/>
      </c>
      <c r="T441" s="7">
        <f>IF(S441="","",NORM.S.DIST(S441,TRUE))</f>
        <v/>
      </c>
      <c r="U441" s="13">
        <f>IF(T441="","",IF(T441&lt;='组合输入'!$K5,"AAA",IF(T441&lt;='组合输入'!$L5,"AA",IF(T441&lt;='组合输入'!$M5,"A",IF(T441&lt;='组合输入'!$N5,"BBB",IF(T441&lt;='组合输入'!$O5,"BB",IF(T441&lt;='组合输入'!$P5,"B",IF(T441&lt;='组合输入'!$Q5,"CCC","D")))))))</f>
        <v/>
      </c>
      <c r="V441" s="12">
        <f>IF(U441="","",INDEX('状态价值'!$D5:$K5,MATCH(U441,'状态价值'!$D$1:$K$1,0)))</f>
        <v/>
      </c>
      <c r="W441" s="15">
        <f>NORM.S.INV(RAND())</f>
        <v/>
      </c>
      <c r="X441" s="15">
        <f>IF('组合输入'!$C6="","",'组合输入'!$H6*$B441+SQRT(1-'组合输入'!$H6^2)*W441)</f>
        <v/>
      </c>
      <c r="Y441" s="7">
        <f>IF(X441="","",NORM.S.DIST(X441,TRUE))</f>
        <v/>
      </c>
      <c r="Z441" s="13">
        <f>IF(Y441="","",IF(Y441&lt;='组合输入'!$K6,"AAA",IF(Y441&lt;='组合输入'!$L6,"AA",IF(Y441&lt;='组合输入'!$M6,"A",IF(Y441&lt;='组合输入'!$N6,"BBB",IF(Y441&lt;='组合输入'!$O6,"BB",IF(Y441&lt;='组合输入'!$P6,"B",IF(Y441&lt;='组合输入'!$Q6,"CCC","D")))))))</f>
        <v/>
      </c>
      <c r="AA441" s="12">
        <f>IF(Z441="","",INDEX('状态价值'!$D6:$K6,MATCH(Z441,'状态价值'!$D$1:$K$1,0)))</f>
        <v/>
      </c>
      <c r="AB441" s="15">
        <f>NORM.S.INV(RAND())</f>
        <v/>
      </c>
      <c r="AC441" s="15">
        <f>IF('组合输入'!$C7="","",'组合输入'!$H7*$B441+SQRT(1-'组合输入'!$H7^2)*AB441)</f>
        <v/>
      </c>
      <c r="AD441" s="7">
        <f>IF(AC441="","",NORM.S.DIST(AC441,TRUE))</f>
        <v/>
      </c>
      <c r="AE441" s="13">
        <f>IF(AD441="","",IF(AD441&lt;='组合输入'!$K7,"AAA",IF(AD441&lt;='组合输入'!$L7,"AA",IF(AD441&lt;='组合输入'!$M7,"A",IF(AD441&lt;='组合输入'!$N7,"BBB",IF(AD441&lt;='组合输入'!$O7,"BB",IF(AD441&lt;='组合输入'!$P7,"B",IF(AD441&lt;='组合输入'!$Q7,"CCC","D")))))))</f>
        <v/>
      </c>
      <c r="AF441" s="12">
        <f>IF(AE441="","",INDEX('状态价值'!$D7:$K7,MATCH(AE441,'状态价值'!$D$1:$K$1,0)))</f>
        <v/>
      </c>
      <c r="AG441" s="15">
        <f>NORM.S.INV(RAND())</f>
        <v/>
      </c>
      <c r="AH441" s="15">
        <f>IF('组合输入'!$C8="","",'组合输入'!$H8*$B441+SQRT(1-'组合输入'!$H8^2)*AG441)</f>
        <v/>
      </c>
      <c r="AI441" s="7">
        <f>IF(AH441="","",NORM.S.DIST(AH441,TRUE))</f>
        <v/>
      </c>
      <c r="AJ441" s="13">
        <f>IF(AI441="","",IF(AI441&lt;='组合输入'!$K8,"AAA",IF(AI441&lt;='组合输入'!$L8,"AA",IF(AI441&lt;='组合输入'!$M8,"A",IF(AI441&lt;='组合输入'!$N8,"BBB",IF(AI441&lt;='组合输入'!$O8,"BB",IF(AI441&lt;='组合输入'!$P8,"B",IF(AI441&lt;='组合输入'!$Q8,"CCC","D")))))))</f>
        <v/>
      </c>
      <c r="AK441" s="12">
        <f>IF(AJ441="","",INDEX('状态价值'!$D8:$K8,MATCH(AJ441,'状态价值'!$D$1:$K$1,0)))</f>
        <v/>
      </c>
      <c r="AL441" s="15">
        <f>NORM.S.INV(RAND())</f>
        <v/>
      </c>
      <c r="AM441" s="15">
        <f>IF('组合输入'!$C9="","",'组合输入'!$H9*$B441+SQRT(1-'组合输入'!$H9^2)*AL441)</f>
        <v/>
      </c>
      <c r="AN441" s="7">
        <f>IF(AM441="","",NORM.S.DIST(AM441,TRUE))</f>
        <v/>
      </c>
      <c r="AO441" s="13">
        <f>IF(AN441="","",IF(AN441&lt;='组合输入'!$K9,"AAA",IF(AN441&lt;='组合输入'!$L9,"AA",IF(AN441&lt;='组合输入'!$M9,"A",IF(AN441&lt;='组合输入'!$N9,"BBB",IF(AN441&lt;='组合输入'!$O9,"BB",IF(AN441&lt;='组合输入'!$P9,"B",IF(AN441&lt;='组合输入'!$Q9,"CCC","D")))))))</f>
        <v/>
      </c>
      <c r="AP441" s="12">
        <f>IF(AO441="","",INDEX('状态价值'!$D9:$K9,MATCH(AO441,'状态价值'!$D$1:$K$1,0)))</f>
        <v/>
      </c>
      <c r="AQ441" s="15">
        <f>NORM.S.INV(RAND())</f>
        <v/>
      </c>
      <c r="AR441" s="15">
        <f>IF('组合输入'!$C10="","",'组合输入'!$H10*$B441+SQRT(1-'组合输入'!$H10^2)*AQ441)</f>
        <v/>
      </c>
      <c r="AS441" s="7">
        <f>IF(AR441="","",NORM.S.DIST(AR441,TRUE))</f>
        <v/>
      </c>
      <c r="AT441" s="13">
        <f>IF(AS441="","",IF(AS441&lt;='组合输入'!$K10,"AAA",IF(AS441&lt;='组合输入'!$L10,"AA",IF(AS441&lt;='组合输入'!$M10,"A",IF(AS441&lt;='组合输入'!$N10,"BBB",IF(AS441&lt;='组合输入'!$O10,"BB",IF(AS441&lt;='组合输入'!$P10,"B",IF(AS441&lt;='组合输入'!$Q10,"CCC","D")))))))</f>
        <v/>
      </c>
      <c r="AU441" s="12">
        <f>IF(AT441="","",INDEX('状态价值'!$D10:$K10,MATCH(AT441,'状态价值'!$D$1:$K$1,0)))</f>
        <v/>
      </c>
      <c r="AV441" s="15">
        <f>NORM.S.INV(RAND())</f>
        <v/>
      </c>
      <c r="AW441" s="15">
        <f>IF('组合输入'!$C11="","",'组合输入'!$H11*$B441+SQRT(1-'组合输入'!$H11^2)*AV441)</f>
        <v/>
      </c>
      <c r="AX441" s="7">
        <f>IF(AW441="","",NORM.S.DIST(AW441,TRUE))</f>
        <v/>
      </c>
      <c r="AY441" s="13">
        <f>IF(AX441="","",IF(AX441&lt;='组合输入'!$K11,"AAA",IF(AX441&lt;='组合输入'!$L11,"AA",IF(AX441&lt;='组合输入'!$M11,"A",IF(AX441&lt;='组合输入'!$N11,"BBB",IF(AX441&lt;='组合输入'!$O11,"BB",IF(AX441&lt;='组合输入'!$P11,"B",IF(AX441&lt;='组合输入'!$Q11,"CCC","D")))))))</f>
        <v/>
      </c>
      <c r="AZ441" s="12">
        <f>IF(AY441="","",INDEX('状态价值'!$D11:$K11,MATCH(AY441,'状态价值'!$D$1:$K$1,0)))</f>
        <v/>
      </c>
      <c r="BA441" s="12">
        <f>G441+L441+Q441+V441+AA441+AF441+AK441+AP441+AU441+AZ441</f>
        <v/>
      </c>
      <c r="BB441" s="12">
        <f>SUM('组合输入'!$J$2:$J$11)-BA441</f>
        <v/>
      </c>
    </row>
    <row r="442">
      <c r="A442" s="11" t="n">
        <v>441</v>
      </c>
      <c r="B442" s="14">
        <f>NORM.S.INV(RAND())</f>
        <v/>
      </c>
      <c r="C442" s="14">
        <f>NORM.S.INV(RAND())</f>
        <v/>
      </c>
      <c r="D442" s="15">
        <f>IF('组合输入'!$C2="","",'组合输入'!$H2*$B442+SQRT(1-'组合输入'!$H2^2)*C442)</f>
        <v/>
      </c>
      <c r="E442" s="7">
        <f>IF(D442="","",NORM.S.DIST(D442,TRUE))</f>
        <v/>
      </c>
      <c r="F442" s="13">
        <f>IF(E442="","",IF(E442&lt;='组合输入'!$K2,"AAA",IF(E442&lt;='组合输入'!$L2,"AA",IF(E442&lt;='组合输入'!$M2,"A",IF(E442&lt;='组合输入'!$N2,"BBB",IF(E442&lt;='组合输入'!$O2,"BB",IF(E442&lt;='组合输入'!$P2,"B",IF(E442&lt;='组合输入'!$Q2,"CCC","D")))))))</f>
        <v/>
      </c>
      <c r="G442" s="12">
        <f>IF(F442="","",INDEX('状态价值'!$D2:$K2,MATCH(F442,'状态价值'!$D$1:$K$1,0)))</f>
        <v/>
      </c>
      <c r="H442" s="15">
        <f>NORM.S.INV(RAND())</f>
        <v/>
      </c>
      <c r="I442" s="15">
        <f>IF('组合输入'!$C3="","",'组合输入'!$H3*$B442+SQRT(1-'组合输入'!$H3^2)*H442)</f>
        <v/>
      </c>
      <c r="J442" s="7">
        <f>IF(I442="","",NORM.S.DIST(I442,TRUE))</f>
        <v/>
      </c>
      <c r="K442" s="13">
        <f>IF(J442="","",IF(J442&lt;='组合输入'!$K3,"AAA",IF(J442&lt;='组合输入'!$L3,"AA",IF(J442&lt;='组合输入'!$M3,"A",IF(J442&lt;='组合输入'!$N3,"BBB",IF(J442&lt;='组合输入'!$O3,"BB",IF(J442&lt;='组合输入'!$P3,"B",IF(J442&lt;='组合输入'!$Q3,"CCC","D")))))))</f>
        <v/>
      </c>
      <c r="L442" s="12">
        <f>IF(K442="","",INDEX('状态价值'!$D3:$K3,MATCH(K442,'状态价值'!$D$1:$K$1,0)))</f>
        <v/>
      </c>
      <c r="M442" s="15">
        <f>NORM.S.INV(RAND())</f>
        <v/>
      </c>
      <c r="N442" s="15">
        <f>IF('组合输入'!$C4="","",'组合输入'!$H4*$B442+SQRT(1-'组合输入'!$H4^2)*M442)</f>
        <v/>
      </c>
      <c r="O442" s="7">
        <f>IF(N442="","",NORM.S.DIST(N442,TRUE))</f>
        <v/>
      </c>
      <c r="P442" s="13">
        <f>IF(O442="","",IF(O442&lt;='组合输入'!$K4,"AAA",IF(O442&lt;='组合输入'!$L4,"AA",IF(O442&lt;='组合输入'!$M4,"A",IF(O442&lt;='组合输入'!$N4,"BBB",IF(O442&lt;='组合输入'!$O4,"BB",IF(O442&lt;='组合输入'!$P4,"B",IF(O442&lt;='组合输入'!$Q4,"CCC","D")))))))</f>
        <v/>
      </c>
      <c r="Q442" s="12">
        <f>IF(P442="","",INDEX('状态价值'!$D4:$K4,MATCH(P442,'状态价值'!$D$1:$K$1,0)))</f>
        <v/>
      </c>
      <c r="R442" s="15">
        <f>NORM.S.INV(RAND())</f>
        <v/>
      </c>
      <c r="S442" s="15">
        <f>IF('组合输入'!$C5="","",'组合输入'!$H5*$B442+SQRT(1-'组合输入'!$H5^2)*R442)</f>
        <v/>
      </c>
      <c r="T442" s="7">
        <f>IF(S442="","",NORM.S.DIST(S442,TRUE))</f>
        <v/>
      </c>
      <c r="U442" s="13">
        <f>IF(T442="","",IF(T442&lt;='组合输入'!$K5,"AAA",IF(T442&lt;='组合输入'!$L5,"AA",IF(T442&lt;='组合输入'!$M5,"A",IF(T442&lt;='组合输入'!$N5,"BBB",IF(T442&lt;='组合输入'!$O5,"BB",IF(T442&lt;='组合输入'!$P5,"B",IF(T442&lt;='组合输入'!$Q5,"CCC","D")))))))</f>
        <v/>
      </c>
      <c r="V442" s="12">
        <f>IF(U442="","",INDEX('状态价值'!$D5:$K5,MATCH(U442,'状态价值'!$D$1:$K$1,0)))</f>
        <v/>
      </c>
      <c r="W442" s="15">
        <f>NORM.S.INV(RAND())</f>
        <v/>
      </c>
      <c r="X442" s="15">
        <f>IF('组合输入'!$C6="","",'组合输入'!$H6*$B442+SQRT(1-'组合输入'!$H6^2)*W442)</f>
        <v/>
      </c>
      <c r="Y442" s="7">
        <f>IF(X442="","",NORM.S.DIST(X442,TRUE))</f>
        <v/>
      </c>
      <c r="Z442" s="13">
        <f>IF(Y442="","",IF(Y442&lt;='组合输入'!$K6,"AAA",IF(Y442&lt;='组合输入'!$L6,"AA",IF(Y442&lt;='组合输入'!$M6,"A",IF(Y442&lt;='组合输入'!$N6,"BBB",IF(Y442&lt;='组合输入'!$O6,"BB",IF(Y442&lt;='组合输入'!$P6,"B",IF(Y442&lt;='组合输入'!$Q6,"CCC","D")))))))</f>
        <v/>
      </c>
      <c r="AA442" s="12">
        <f>IF(Z442="","",INDEX('状态价值'!$D6:$K6,MATCH(Z442,'状态价值'!$D$1:$K$1,0)))</f>
        <v/>
      </c>
      <c r="AB442" s="15">
        <f>NORM.S.INV(RAND())</f>
        <v/>
      </c>
      <c r="AC442" s="15">
        <f>IF('组合输入'!$C7="","",'组合输入'!$H7*$B442+SQRT(1-'组合输入'!$H7^2)*AB442)</f>
        <v/>
      </c>
      <c r="AD442" s="7">
        <f>IF(AC442="","",NORM.S.DIST(AC442,TRUE))</f>
        <v/>
      </c>
      <c r="AE442" s="13">
        <f>IF(AD442="","",IF(AD442&lt;='组合输入'!$K7,"AAA",IF(AD442&lt;='组合输入'!$L7,"AA",IF(AD442&lt;='组合输入'!$M7,"A",IF(AD442&lt;='组合输入'!$N7,"BBB",IF(AD442&lt;='组合输入'!$O7,"BB",IF(AD442&lt;='组合输入'!$P7,"B",IF(AD442&lt;='组合输入'!$Q7,"CCC","D")))))))</f>
        <v/>
      </c>
      <c r="AF442" s="12">
        <f>IF(AE442="","",INDEX('状态价值'!$D7:$K7,MATCH(AE442,'状态价值'!$D$1:$K$1,0)))</f>
        <v/>
      </c>
      <c r="AG442" s="15">
        <f>NORM.S.INV(RAND())</f>
        <v/>
      </c>
      <c r="AH442" s="15">
        <f>IF('组合输入'!$C8="","",'组合输入'!$H8*$B442+SQRT(1-'组合输入'!$H8^2)*AG442)</f>
        <v/>
      </c>
      <c r="AI442" s="7">
        <f>IF(AH442="","",NORM.S.DIST(AH442,TRUE))</f>
        <v/>
      </c>
      <c r="AJ442" s="13">
        <f>IF(AI442="","",IF(AI442&lt;='组合输入'!$K8,"AAA",IF(AI442&lt;='组合输入'!$L8,"AA",IF(AI442&lt;='组合输入'!$M8,"A",IF(AI442&lt;='组合输入'!$N8,"BBB",IF(AI442&lt;='组合输入'!$O8,"BB",IF(AI442&lt;='组合输入'!$P8,"B",IF(AI442&lt;='组合输入'!$Q8,"CCC","D")))))))</f>
        <v/>
      </c>
      <c r="AK442" s="12">
        <f>IF(AJ442="","",INDEX('状态价值'!$D8:$K8,MATCH(AJ442,'状态价值'!$D$1:$K$1,0)))</f>
        <v/>
      </c>
      <c r="AL442" s="15">
        <f>NORM.S.INV(RAND())</f>
        <v/>
      </c>
      <c r="AM442" s="15">
        <f>IF('组合输入'!$C9="","",'组合输入'!$H9*$B442+SQRT(1-'组合输入'!$H9^2)*AL442)</f>
        <v/>
      </c>
      <c r="AN442" s="7">
        <f>IF(AM442="","",NORM.S.DIST(AM442,TRUE))</f>
        <v/>
      </c>
      <c r="AO442" s="13">
        <f>IF(AN442="","",IF(AN442&lt;='组合输入'!$K9,"AAA",IF(AN442&lt;='组合输入'!$L9,"AA",IF(AN442&lt;='组合输入'!$M9,"A",IF(AN442&lt;='组合输入'!$N9,"BBB",IF(AN442&lt;='组合输入'!$O9,"BB",IF(AN442&lt;='组合输入'!$P9,"B",IF(AN442&lt;='组合输入'!$Q9,"CCC","D")))))))</f>
        <v/>
      </c>
      <c r="AP442" s="12">
        <f>IF(AO442="","",INDEX('状态价值'!$D9:$K9,MATCH(AO442,'状态价值'!$D$1:$K$1,0)))</f>
        <v/>
      </c>
      <c r="AQ442" s="15">
        <f>NORM.S.INV(RAND())</f>
        <v/>
      </c>
      <c r="AR442" s="15">
        <f>IF('组合输入'!$C10="","",'组合输入'!$H10*$B442+SQRT(1-'组合输入'!$H10^2)*AQ442)</f>
        <v/>
      </c>
      <c r="AS442" s="7">
        <f>IF(AR442="","",NORM.S.DIST(AR442,TRUE))</f>
        <v/>
      </c>
      <c r="AT442" s="13">
        <f>IF(AS442="","",IF(AS442&lt;='组合输入'!$K10,"AAA",IF(AS442&lt;='组合输入'!$L10,"AA",IF(AS442&lt;='组合输入'!$M10,"A",IF(AS442&lt;='组合输入'!$N10,"BBB",IF(AS442&lt;='组合输入'!$O10,"BB",IF(AS442&lt;='组合输入'!$P10,"B",IF(AS442&lt;='组合输入'!$Q10,"CCC","D")))))))</f>
        <v/>
      </c>
      <c r="AU442" s="12">
        <f>IF(AT442="","",INDEX('状态价值'!$D10:$K10,MATCH(AT442,'状态价值'!$D$1:$K$1,0)))</f>
        <v/>
      </c>
      <c r="AV442" s="15">
        <f>NORM.S.INV(RAND())</f>
        <v/>
      </c>
      <c r="AW442" s="15">
        <f>IF('组合输入'!$C11="","",'组合输入'!$H11*$B442+SQRT(1-'组合输入'!$H11^2)*AV442)</f>
        <v/>
      </c>
      <c r="AX442" s="7">
        <f>IF(AW442="","",NORM.S.DIST(AW442,TRUE))</f>
        <v/>
      </c>
      <c r="AY442" s="13">
        <f>IF(AX442="","",IF(AX442&lt;='组合输入'!$K11,"AAA",IF(AX442&lt;='组合输入'!$L11,"AA",IF(AX442&lt;='组合输入'!$M11,"A",IF(AX442&lt;='组合输入'!$N11,"BBB",IF(AX442&lt;='组合输入'!$O11,"BB",IF(AX442&lt;='组合输入'!$P11,"B",IF(AX442&lt;='组合输入'!$Q11,"CCC","D")))))))</f>
        <v/>
      </c>
      <c r="AZ442" s="12">
        <f>IF(AY442="","",INDEX('状态价值'!$D11:$K11,MATCH(AY442,'状态价值'!$D$1:$K$1,0)))</f>
        <v/>
      </c>
      <c r="BA442" s="12">
        <f>G442+L442+Q442+V442+AA442+AF442+AK442+AP442+AU442+AZ442</f>
        <v/>
      </c>
      <c r="BB442" s="12">
        <f>SUM('组合输入'!$J$2:$J$11)-BA442</f>
        <v/>
      </c>
    </row>
    <row r="443">
      <c r="A443" s="11" t="n">
        <v>442</v>
      </c>
      <c r="B443" s="14">
        <f>NORM.S.INV(RAND())</f>
        <v/>
      </c>
      <c r="C443" s="14">
        <f>NORM.S.INV(RAND())</f>
        <v/>
      </c>
      <c r="D443" s="15">
        <f>IF('组合输入'!$C2="","",'组合输入'!$H2*$B443+SQRT(1-'组合输入'!$H2^2)*C443)</f>
        <v/>
      </c>
      <c r="E443" s="7">
        <f>IF(D443="","",NORM.S.DIST(D443,TRUE))</f>
        <v/>
      </c>
      <c r="F443" s="13">
        <f>IF(E443="","",IF(E443&lt;='组合输入'!$K2,"AAA",IF(E443&lt;='组合输入'!$L2,"AA",IF(E443&lt;='组合输入'!$M2,"A",IF(E443&lt;='组合输入'!$N2,"BBB",IF(E443&lt;='组合输入'!$O2,"BB",IF(E443&lt;='组合输入'!$P2,"B",IF(E443&lt;='组合输入'!$Q2,"CCC","D")))))))</f>
        <v/>
      </c>
      <c r="G443" s="12">
        <f>IF(F443="","",INDEX('状态价值'!$D2:$K2,MATCH(F443,'状态价值'!$D$1:$K$1,0)))</f>
        <v/>
      </c>
      <c r="H443" s="15">
        <f>NORM.S.INV(RAND())</f>
        <v/>
      </c>
      <c r="I443" s="15">
        <f>IF('组合输入'!$C3="","",'组合输入'!$H3*$B443+SQRT(1-'组合输入'!$H3^2)*H443)</f>
        <v/>
      </c>
      <c r="J443" s="7">
        <f>IF(I443="","",NORM.S.DIST(I443,TRUE))</f>
        <v/>
      </c>
      <c r="K443" s="13">
        <f>IF(J443="","",IF(J443&lt;='组合输入'!$K3,"AAA",IF(J443&lt;='组合输入'!$L3,"AA",IF(J443&lt;='组合输入'!$M3,"A",IF(J443&lt;='组合输入'!$N3,"BBB",IF(J443&lt;='组合输入'!$O3,"BB",IF(J443&lt;='组合输入'!$P3,"B",IF(J443&lt;='组合输入'!$Q3,"CCC","D")))))))</f>
        <v/>
      </c>
      <c r="L443" s="12">
        <f>IF(K443="","",INDEX('状态价值'!$D3:$K3,MATCH(K443,'状态价值'!$D$1:$K$1,0)))</f>
        <v/>
      </c>
      <c r="M443" s="15">
        <f>NORM.S.INV(RAND())</f>
        <v/>
      </c>
      <c r="N443" s="15">
        <f>IF('组合输入'!$C4="","",'组合输入'!$H4*$B443+SQRT(1-'组合输入'!$H4^2)*M443)</f>
        <v/>
      </c>
      <c r="O443" s="7">
        <f>IF(N443="","",NORM.S.DIST(N443,TRUE))</f>
        <v/>
      </c>
      <c r="P443" s="13">
        <f>IF(O443="","",IF(O443&lt;='组合输入'!$K4,"AAA",IF(O443&lt;='组合输入'!$L4,"AA",IF(O443&lt;='组合输入'!$M4,"A",IF(O443&lt;='组合输入'!$N4,"BBB",IF(O443&lt;='组合输入'!$O4,"BB",IF(O443&lt;='组合输入'!$P4,"B",IF(O443&lt;='组合输入'!$Q4,"CCC","D")))))))</f>
        <v/>
      </c>
      <c r="Q443" s="12">
        <f>IF(P443="","",INDEX('状态价值'!$D4:$K4,MATCH(P443,'状态价值'!$D$1:$K$1,0)))</f>
        <v/>
      </c>
      <c r="R443" s="15">
        <f>NORM.S.INV(RAND())</f>
        <v/>
      </c>
      <c r="S443" s="15">
        <f>IF('组合输入'!$C5="","",'组合输入'!$H5*$B443+SQRT(1-'组合输入'!$H5^2)*R443)</f>
        <v/>
      </c>
      <c r="T443" s="7">
        <f>IF(S443="","",NORM.S.DIST(S443,TRUE))</f>
        <v/>
      </c>
      <c r="U443" s="13">
        <f>IF(T443="","",IF(T443&lt;='组合输入'!$K5,"AAA",IF(T443&lt;='组合输入'!$L5,"AA",IF(T443&lt;='组合输入'!$M5,"A",IF(T443&lt;='组合输入'!$N5,"BBB",IF(T443&lt;='组合输入'!$O5,"BB",IF(T443&lt;='组合输入'!$P5,"B",IF(T443&lt;='组合输入'!$Q5,"CCC","D")))))))</f>
        <v/>
      </c>
      <c r="V443" s="12">
        <f>IF(U443="","",INDEX('状态价值'!$D5:$K5,MATCH(U443,'状态价值'!$D$1:$K$1,0)))</f>
        <v/>
      </c>
      <c r="W443" s="15">
        <f>NORM.S.INV(RAND())</f>
        <v/>
      </c>
      <c r="X443" s="15">
        <f>IF('组合输入'!$C6="","",'组合输入'!$H6*$B443+SQRT(1-'组合输入'!$H6^2)*W443)</f>
        <v/>
      </c>
      <c r="Y443" s="7">
        <f>IF(X443="","",NORM.S.DIST(X443,TRUE))</f>
        <v/>
      </c>
      <c r="Z443" s="13">
        <f>IF(Y443="","",IF(Y443&lt;='组合输入'!$K6,"AAA",IF(Y443&lt;='组合输入'!$L6,"AA",IF(Y443&lt;='组合输入'!$M6,"A",IF(Y443&lt;='组合输入'!$N6,"BBB",IF(Y443&lt;='组合输入'!$O6,"BB",IF(Y443&lt;='组合输入'!$P6,"B",IF(Y443&lt;='组合输入'!$Q6,"CCC","D")))))))</f>
        <v/>
      </c>
      <c r="AA443" s="12">
        <f>IF(Z443="","",INDEX('状态价值'!$D6:$K6,MATCH(Z443,'状态价值'!$D$1:$K$1,0)))</f>
        <v/>
      </c>
      <c r="AB443" s="15">
        <f>NORM.S.INV(RAND())</f>
        <v/>
      </c>
      <c r="AC443" s="15">
        <f>IF('组合输入'!$C7="","",'组合输入'!$H7*$B443+SQRT(1-'组合输入'!$H7^2)*AB443)</f>
        <v/>
      </c>
      <c r="AD443" s="7">
        <f>IF(AC443="","",NORM.S.DIST(AC443,TRUE))</f>
        <v/>
      </c>
      <c r="AE443" s="13">
        <f>IF(AD443="","",IF(AD443&lt;='组合输入'!$K7,"AAA",IF(AD443&lt;='组合输入'!$L7,"AA",IF(AD443&lt;='组合输入'!$M7,"A",IF(AD443&lt;='组合输入'!$N7,"BBB",IF(AD443&lt;='组合输入'!$O7,"BB",IF(AD443&lt;='组合输入'!$P7,"B",IF(AD443&lt;='组合输入'!$Q7,"CCC","D")))))))</f>
        <v/>
      </c>
      <c r="AF443" s="12">
        <f>IF(AE443="","",INDEX('状态价值'!$D7:$K7,MATCH(AE443,'状态价值'!$D$1:$K$1,0)))</f>
        <v/>
      </c>
      <c r="AG443" s="15">
        <f>NORM.S.INV(RAND())</f>
        <v/>
      </c>
      <c r="AH443" s="15">
        <f>IF('组合输入'!$C8="","",'组合输入'!$H8*$B443+SQRT(1-'组合输入'!$H8^2)*AG443)</f>
        <v/>
      </c>
      <c r="AI443" s="7">
        <f>IF(AH443="","",NORM.S.DIST(AH443,TRUE))</f>
        <v/>
      </c>
      <c r="AJ443" s="13">
        <f>IF(AI443="","",IF(AI443&lt;='组合输入'!$K8,"AAA",IF(AI443&lt;='组合输入'!$L8,"AA",IF(AI443&lt;='组合输入'!$M8,"A",IF(AI443&lt;='组合输入'!$N8,"BBB",IF(AI443&lt;='组合输入'!$O8,"BB",IF(AI443&lt;='组合输入'!$P8,"B",IF(AI443&lt;='组合输入'!$Q8,"CCC","D")))))))</f>
        <v/>
      </c>
      <c r="AK443" s="12">
        <f>IF(AJ443="","",INDEX('状态价值'!$D8:$K8,MATCH(AJ443,'状态价值'!$D$1:$K$1,0)))</f>
        <v/>
      </c>
      <c r="AL443" s="15">
        <f>NORM.S.INV(RAND())</f>
        <v/>
      </c>
      <c r="AM443" s="15">
        <f>IF('组合输入'!$C9="","",'组合输入'!$H9*$B443+SQRT(1-'组合输入'!$H9^2)*AL443)</f>
        <v/>
      </c>
      <c r="AN443" s="7">
        <f>IF(AM443="","",NORM.S.DIST(AM443,TRUE))</f>
        <v/>
      </c>
      <c r="AO443" s="13">
        <f>IF(AN443="","",IF(AN443&lt;='组合输入'!$K9,"AAA",IF(AN443&lt;='组合输入'!$L9,"AA",IF(AN443&lt;='组合输入'!$M9,"A",IF(AN443&lt;='组合输入'!$N9,"BBB",IF(AN443&lt;='组合输入'!$O9,"BB",IF(AN443&lt;='组合输入'!$P9,"B",IF(AN443&lt;='组合输入'!$Q9,"CCC","D")))))))</f>
        <v/>
      </c>
      <c r="AP443" s="12">
        <f>IF(AO443="","",INDEX('状态价值'!$D9:$K9,MATCH(AO443,'状态价值'!$D$1:$K$1,0)))</f>
        <v/>
      </c>
      <c r="AQ443" s="15">
        <f>NORM.S.INV(RAND())</f>
        <v/>
      </c>
      <c r="AR443" s="15">
        <f>IF('组合输入'!$C10="","",'组合输入'!$H10*$B443+SQRT(1-'组合输入'!$H10^2)*AQ443)</f>
        <v/>
      </c>
      <c r="AS443" s="7">
        <f>IF(AR443="","",NORM.S.DIST(AR443,TRUE))</f>
        <v/>
      </c>
      <c r="AT443" s="13">
        <f>IF(AS443="","",IF(AS443&lt;='组合输入'!$K10,"AAA",IF(AS443&lt;='组合输入'!$L10,"AA",IF(AS443&lt;='组合输入'!$M10,"A",IF(AS443&lt;='组合输入'!$N10,"BBB",IF(AS443&lt;='组合输入'!$O10,"BB",IF(AS443&lt;='组合输入'!$P10,"B",IF(AS443&lt;='组合输入'!$Q10,"CCC","D")))))))</f>
        <v/>
      </c>
      <c r="AU443" s="12">
        <f>IF(AT443="","",INDEX('状态价值'!$D10:$K10,MATCH(AT443,'状态价值'!$D$1:$K$1,0)))</f>
        <v/>
      </c>
      <c r="AV443" s="15">
        <f>NORM.S.INV(RAND())</f>
        <v/>
      </c>
      <c r="AW443" s="15">
        <f>IF('组合输入'!$C11="","",'组合输入'!$H11*$B443+SQRT(1-'组合输入'!$H11^2)*AV443)</f>
        <v/>
      </c>
      <c r="AX443" s="7">
        <f>IF(AW443="","",NORM.S.DIST(AW443,TRUE))</f>
        <v/>
      </c>
      <c r="AY443" s="13">
        <f>IF(AX443="","",IF(AX443&lt;='组合输入'!$K11,"AAA",IF(AX443&lt;='组合输入'!$L11,"AA",IF(AX443&lt;='组合输入'!$M11,"A",IF(AX443&lt;='组合输入'!$N11,"BBB",IF(AX443&lt;='组合输入'!$O11,"BB",IF(AX443&lt;='组合输入'!$P11,"B",IF(AX443&lt;='组合输入'!$Q11,"CCC","D")))))))</f>
        <v/>
      </c>
      <c r="AZ443" s="12">
        <f>IF(AY443="","",INDEX('状态价值'!$D11:$K11,MATCH(AY443,'状态价值'!$D$1:$K$1,0)))</f>
        <v/>
      </c>
      <c r="BA443" s="12">
        <f>G443+L443+Q443+V443+AA443+AF443+AK443+AP443+AU443+AZ443</f>
        <v/>
      </c>
      <c r="BB443" s="12">
        <f>SUM('组合输入'!$J$2:$J$11)-BA443</f>
        <v/>
      </c>
    </row>
    <row r="444">
      <c r="A444" s="11" t="n">
        <v>443</v>
      </c>
      <c r="B444" s="14">
        <f>NORM.S.INV(RAND())</f>
        <v/>
      </c>
      <c r="C444" s="14">
        <f>NORM.S.INV(RAND())</f>
        <v/>
      </c>
      <c r="D444" s="15">
        <f>IF('组合输入'!$C2="","",'组合输入'!$H2*$B444+SQRT(1-'组合输入'!$H2^2)*C444)</f>
        <v/>
      </c>
      <c r="E444" s="7">
        <f>IF(D444="","",NORM.S.DIST(D444,TRUE))</f>
        <v/>
      </c>
      <c r="F444" s="13">
        <f>IF(E444="","",IF(E444&lt;='组合输入'!$K2,"AAA",IF(E444&lt;='组合输入'!$L2,"AA",IF(E444&lt;='组合输入'!$M2,"A",IF(E444&lt;='组合输入'!$N2,"BBB",IF(E444&lt;='组合输入'!$O2,"BB",IF(E444&lt;='组合输入'!$P2,"B",IF(E444&lt;='组合输入'!$Q2,"CCC","D")))))))</f>
        <v/>
      </c>
      <c r="G444" s="12">
        <f>IF(F444="","",INDEX('状态价值'!$D2:$K2,MATCH(F444,'状态价值'!$D$1:$K$1,0)))</f>
        <v/>
      </c>
      <c r="H444" s="15">
        <f>NORM.S.INV(RAND())</f>
        <v/>
      </c>
      <c r="I444" s="15">
        <f>IF('组合输入'!$C3="","",'组合输入'!$H3*$B444+SQRT(1-'组合输入'!$H3^2)*H444)</f>
        <v/>
      </c>
      <c r="J444" s="7">
        <f>IF(I444="","",NORM.S.DIST(I444,TRUE))</f>
        <v/>
      </c>
      <c r="K444" s="13">
        <f>IF(J444="","",IF(J444&lt;='组合输入'!$K3,"AAA",IF(J444&lt;='组合输入'!$L3,"AA",IF(J444&lt;='组合输入'!$M3,"A",IF(J444&lt;='组合输入'!$N3,"BBB",IF(J444&lt;='组合输入'!$O3,"BB",IF(J444&lt;='组合输入'!$P3,"B",IF(J444&lt;='组合输入'!$Q3,"CCC","D")))))))</f>
        <v/>
      </c>
      <c r="L444" s="12">
        <f>IF(K444="","",INDEX('状态价值'!$D3:$K3,MATCH(K444,'状态价值'!$D$1:$K$1,0)))</f>
        <v/>
      </c>
      <c r="M444" s="15">
        <f>NORM.S.INV(RAND())</f>
        <v/>
      </c>
      <c r="N444" s="15">
        <f>IF('组合输入'!$C4="","",'组合输入'!$H4*$B444+SQRT(1-'组合输入'!$H4^2)*M444)</f>
        <v/>
      </c>
      <c r="O444" s="7">
        <f>IF(N444="","",NORM.S.DIST(N444,TRUE))</f>
        <v/>
      </c>
      <c r="P444" s="13">
        <f>IF(O444="","",IF(O444&lt;='组合输入'!$K4,"AAA",IF(O444&lt;='组合输入'!$L4,"AA",IF(O444&lt;='组合输入'!$M4,"A",IF(O444&lt;='组合输入'!$N4,"BBB",IF(O444&lt;='组合输入'!$O4,"BB",IF(O444&lt;='组合输入'!$P4,"B",IF(O444&lt;='组合输入'!$Q4,"CCC","D")))))))</f>
        <v/>
      </c>
      <c r="Q444" s="12">
        <f>IF(P444="","",INDEX('状态价值'!$D4:$K4,MATCH(P444,'状态价值'!$D$1:$K$1,0)))</f>
        <v/>
      </c>
      <c r="R444" s="15">
        <f>NORM.S.INV(RAND())</f>
        <v/>
      </c>
      <c r="S444" s="15">
        <f>IF('组合输入'!$C5="","",'组合输入'!$H5*$B444+SQRT(1-'组合输入'!$H5^2)*R444)</f>
        <v/>
      </c>
      <c r="T444" s="7">
        <f>IF(S444="","",NORM.S.DIST(S444,TRUE))</f>
        <v/>
      </c>
      <c r="U444" s="13">
        <f>IF(T444="","",IF(T444&lt;='组合输入'!$K5,"AAA",IF(T444&lt;='组合输入'!$L5,"AA",IF(T444&lt;='组合输入'!$M5,"A",IF(T444&lt;='组合输入'!$N5,"BBB",IF(T444&lt;='组合输入'!$O5,"BB",IF(T444&lt;='组合输入'!$P5,"B",IF(T444&lt;='组合输入'!$Q5,"CCC","D")))))))</f>
        <v/>
      </c>
      <c r="V444" s="12">
        <f>IF(U444="","",INDEX('状态价值'!$D5:$K5,MATCH(U444,'状态价值'!$D$1:$K$1,0)))</f>
        <v/>
      </c>
      <c r="W444" s="15">
        <f>NORM.S.INV(RAND())</f>
        <v/>
      </c>
      <c r="X444" s="15">
        <f>IF('组合输入'!$C6="","",'组合输入'!$H6*$B444+SQRT(1-'组合输入'!$H6^2)*W444)</f>
        <v/>
      </c>
      <c r="Y444" s="7">
        <f>IF(X444="","",NORM.S.DIST(X444,TRUE))</f>
        <v/>
      </c>
      <c r="Z444" s="13">
        <f>IF(Y444="","",IF(Y444&lt;='组合输入'!$K6,"AAA",IF(Y444&lt;='组合输入'!$L6,"AA",IF(Y444&lt;='组合输入'!$M6,"A",IF(Y444&lt;='组合输入'!$N6,"BBB",IF(Y444&lt;='组合输入'!$O6,"BB",IF(Y444&lt;='组合输入'!$P6,"B",IF(Y444&lt;='组合输入'!$Q6,"CCC","D")))))))</f>
        <v/>
      </c>
      <c r="AA444" s="12">
        <f>IF(Z444="","",INDEX('状态价值'!$D6:$K6,MATCH(Z444,'状态价值'!$D$1:$K$1,0)))</f>
        <v/>
      </c>
      <c r="AB444" s="15">
        <f>NORM.S.INV(RAND())</f>
        <v/>
      </c>
      <c r="AC444" s="15">
        <f>IF('组合输入'!$C7="","",'组合输入'!$H7*$B444+SQRT(1-'组合输入'!$H7^2)*AB444)</f>
        <v/>
      </c>
      <c r="AD444" s="7">
        <f>IF(AC444="","",NORM.S.DIST(AC444,TRUE))</f>
        <v/>
      </c>
      <c r="AE444" s="13">
        <f>IF(AD444="","",IF(AD444&lt;='组合输入'!$K7,"AAA",IF(AD444&lt;='组合输入'!$L7,"AA",IF(AD444&lt;='组合输入'!$M7,"A",IF(AD444&lt;='组合输入'!$N7,"BBB",IF(AD444&lt;='组合输入'!$O7,"BB",IF(AD444&lt;='组合输入'!$P7,"B",IF(AD444&lt;='组合输入'!$Q7,"CCC","D")))))))</f>
        <v/>
      </c>
      <c r="AF444" s="12">
        <f>IF(AE444="","",INDEX('状态价值'!$D7:$K7,MATCH(AE444,'状态价值'!$D$1:$K$1,0)))</f>
        <v/>
      </c>
      <c r="AG444" s="15">
        <f>NORM.S.INV(RAND())</f>
        <v/>
      </c>
      <c r="AH444" s="15">
        <f>IF('组合输入'!$C8="","",'组合输入'!$H8*$B444+SQRT(1-'组合输入'!$H8^2)*AG444)</f>
        <v/>
      </c>
      <c r="AI444" s="7">
        <f>IF(AH444="","",NORM.S.DIST(AH444,TRUE))</f>
        <v/>
      </c>
      <c r="AJ444" s="13">
        <f>IF(AI444="","",IF(AI444&lt;='组合输入'!$K8,"AAA",IF(AI444&lt;='组合输入'!$L8,"AA",IF(AI444&lt;='组合输入'!$M8,"A",IF(AI444&lt;='组合输入'!$N8,"BBB",IF(AI444&lt;='组合输入'!$O8,"BB",IF(AI444&lt;='组合输入'!$P8,"B",IF(AI444&lt;='组合输入'!$Q8,"CCC","D")))))))</f>
        <v/>
      </c>
      <c r="AK444" s="12">
        <f>IF(AJ444="","",INDEX('状态价值'!$D8:$K8,MATCH(AJ444,'状态价值'!$D$1:$K$1,0)))</f>
        <v/>
      </c>
      <c r="AL444" s="15">
        <f>NORM.S.INV(RAND())</f>
        <v/>
      </c>
      <c r="AM444" s="15">
        <f>IF('组合输入'!$C9="","",'组合输入'!$H9*$B444+SQRT(1-'组合输入'!$H9^2)*AL444)</f>
        <v/>
      </c>
      <c r="AN444" s="7">
        <f>IF(AM444="","",NORM.S.DIST(AM444,TRUE))</f>
        <v/>
      </c>
      <c r="AO444" s="13">
        <f>IF(AN444="","",IF(AN444&lt;='组合输入'!$K9,"AAA",IF(AN444&lt;='组合输入'!$L9,"AA",IF(AN444&lt;='组合输入'!$M9,"A",IF(AN444&lt;='组合输入'!$N9,"BBB",IF(AN444&lt;='组合输入'!$O9,"BB",IF(AN444&lt;='组合输入'!$P9,"B",IF(AN444&lt;='组合输入'!$Q9,"CCC","D")))))))</f>
        <v/>
      </c>
      <c r="AP444" s="12">
        <f>IF(AO444="","",INDEX('状态价值'!$D9:$K9,MATCH(AO444,'状态价值'!$D$1:$K$1,0)))</f>
        <v/>
      </c>
      <c r="AQ444" s="15">
        <f>NORM.S.INV(RAND())</f>
        <v/>
      </c>
      <c r="AR444" s="15">
        <f>IF('组合输入'!$C10="","",'组合输入'!$H10*$B444+SQRT(1-'组合输入'!$H10^2)*AQ444)</f>
        <v/>
      </c>
      <c r="AS444" s="7">
        <f>IF(AR444="","",NORM.S.DIST(AR444,TRUE))</f>
        <v/>
      </c>
      <c r="AT444" s="13">
        <f>IF(AS444="","",IF(AS444&lt;='组合输入'!$K10,"AAA",IF(AS444&lt;='组合输入'!$L10,"AA",IF(AS444&lt;='组合输入'!$M10,"A",IF(AS444&lt;='组合输入'!$N10,"BBB",IF(AS444&lt;='组合输入'!$O10,"BB",IF(AS444&lt;='组合输入'!$P10,"B",IF(AS444&lt;='组合输入'!$Q10,"CCC","D")))))))</f>
        <v/>
      </c>
      <c r="AU444" s="12">
        <f>IF(AT444="","",INDEX('状态价值'!$D10:$K10,MATCH(AT444,'状态价值'!$D$1:$K$1,0)))</f>
        <v/>
      </c>
      <c r="AV444" s="15">
        <f>NORM.S.INV(RAND())</f>
        <v/>
      </c>
      <c r="AW444" s="15">
        <f>IF('组合输入'!$C11="","",'组合输入'!$H11*$B444+SQRT(1-'组合输入'!$H11^2)*AV444)</f>
        <v/>
      </c>
      <c r="AX444" s="7">
        <f>IF(AW444="","",NORM.S.DIST(AW444,TRUE))</f>
        <v/>
      </c>
      <c r="AY444" s="13">
        <f>IF(AX444="","",IF(AX444&lt;='组合输入'!$K11,"AAA",IF(AX444&lt;='组合输入'!$L11,"AA",IF(AX444&lt;='组合输入'!$M11,"A",IF(AX444&lt;='组合输入'!$N11,"BBB",IF(AX444&lt;='组合输入'!$O11,"BB",IF(AX444&lt;='组合输入'!$P11,"B",IF(AX444&lt;='组合输入'!$Q11,"CCC","D")))))))</f>
        <v/>
      </c>
      <c r="AZ444" s="12">
        <f>IF(AY444="","",INDEX('状态价值'!$D11:$K11,MATCH(AY444,'状态价值'!$D$1:$K$1,0)))</f>
        <v/>
      </c>
      <c r="BA444" s="12">
        <f>G444+L444+Q444+V444+AA444+AF444+AK444+AP444+AU444+AZ444</f>
        <v/>
      </c>
      <c r="BB444" s="12">
        <f>SUM('组合输入'!$J$2:$J$11)-BA444</f>
        <v/>
      </c>
    </row>
    <row r="445">
      <c r="A445" s="11" t="n">
        <v>444</v>
      </c>
      <c r="B445" s="14">
        <f>NORM.S.INV(RAND())</f>
        <v/>
      </c>
      <c r="C445" s="14">
        <f>NORM.S.INV(RAND())</f>
        <v/>
      </c>
      <c r="D445" s="15">
        <f>IF('组合输入'!$C2="","",'组合输入'!$H2*$B445+SQRT(1-'组合输入'!$H2^2)*C445)</f>
        <v/>
      </c>
      <c r="E445" s="7">
        <f>IF(D445="","",NORM.S.DIST(D445,TRUE))</f>
        <v/>
      </c>
      <c r="F445" s="13">
        <f>IF(E445="","",IF(E445&lt;='组合输入'!$K2,"AAA",IF(E445&lt;='组合输入'!$L2,"AA",IF(E445&lt;='组合输入'!$M2,"A",IF(E445&lt;='组合输入'!$N2,"BBB",IF(E445&lt;='组合输入'!$O2,"BB",IF(E445&lt;='组合输入'!$P2,"B",IF(E445&lt;='组合输入'!$Q2,"CCC","D")))))))</f>
        <v/>
      </c>
      <c r="G445" s="12">
        <f>IF(F445="","",INDEX('状态价值'!$D2:$K2,MATCH(F445,'状态价值'!$D$1:$K$1,0)))</f>
        <v/>
      </c>
      <c r="H445" s="15">
        <f>NORM.S.INV(RAND())</f>
        <v/>
      </c>
      <c r="I445" s="15">
        <f>IF('组合输入'!$C3="","",'组合输入'!$H3*$B445+SQRT(1-'组合输入'!$H3^2)*H445)</f>
        <v/>
      </c>
      <c r="J445" s="7">
        <f>IF(I445="","",NORM.S.DIST(I445,TRUE))</f>
        <v/>
      </c>
      <c r="K445" s="13">
        <f>IF(J445="","",IF(J445&lt;='组合输入'!$K3,"AAA",IF(J445&lt;='组合输入'!$L3,"AA",IF(J445&lt;='组合输入'!$M3,"A",IF(J445&lt;='组合输入'!$N3,"BBB",IF(J445&lt;='组合输入'!$O3,"BB",IF(J445&lt;='组合输入'!$P3,"B",IF(J445&lt;='组合输入'!$Q3,"CCC","D")))))))</f>
        <v/>
      </c>
      <c r="L445" s="12">
        <f>IF(K445="","",INDEX('状态价值'!$D3:$K3,MATCH(K445,'状态价值'!$D$1:$K$1,0)))</f>
        <v/>
      </c>
      <c r="M445" s="15">
        <f>NORM.S.INV(RAND())</f>
        <v/>
      </c>
      <c r="N445" s="15">
        <f>IF('组合输入'!$C4="","",'组合输入'!$H4*$B445+SQRT(1-'组合输入'!$H4^2)*M445)</f>
        <v/>
      </c>
      <c r="O445" s="7">
        <f>IF(N445="","",NORM.S.DIST(N445,TRUE))</f>
        <v/>
      </c>
      <c r="P445" s="13">
        <f>IF(O445="","",IF(O445&lt;='组合输入'!$K4,"AAA",IF(O445&lt;='组合输入'!$L4,"AA",IF(O445&lt;='组合输入'!$M4,"A",IF(O445&lt;='组合输入'!$N4,"BBB",IF(O445&lt;='组合输入'!$O4,"BB",IF(O445&lt;='组合输入'!$P4,"B",IF(O445&lt;='组合输入'!$Q4,"CCC","D")))))))</f>
        <v/>
      </c>
      <c r="Q445" s="12">
        <f>IF(P445="","",INDEX('状态价值'!$D4:$K4,MATCH(P445,'状态价值'!$D$1:$K$1,0)))</f>
        <v/>
      </c>
      <c r="R445" s="15">
        <f>NORM.S.INV(RAND())</f>
        <v/>
      </c>
      <c r="S445" s="15">
        <f>IF('组合输入'!$C5="","",'组合输入'!$H5*$B445+SQRT(1-'组合输入'!$H5^2)*R445)</f>
        <v/>
      </c>
      <c r="T445" s="7">
        <f>IF(S445="","",NORM.S.DIST(S445,TRUE))</f>
        <v/>
      </c>
      <c r="U445" s="13">
        <f>IF(T445="","",IF(T445&lt;='组合输入'!$K5,"AAA",IF(T445&lt;='组合输入'!$L5,"AA",IF(T445&lt;='组合输入'!$M5,"A",IF(T445&lt;='组合输入'!$N5,"BBB",IF(T445&lt;='组合输入'!$O5,"BB",IF(T445&lt;='组合输入'!$P5,"B",IF(T445&lt;='组合输入'!$Q5,"CCC","D")))))))</f>
        <v/>
      </c>
      <c r="V445" s="12">
        <f>IF(U445="","",INDEX('状态价值'!$D5:$K5,MATCH(U445,'状态价值'!$D$1:$K$1,0)))</f>
        <v/>
      </c>
      <c r="W445" s="15">
        <f>NORM.S.INV(RAND())</f>
        <v/>
      </c>
      <c r="X445" s="15">
        <f>IF('组合输入'!$C6="","",'组合输入'!$H6*$B445+SQRT(1-'组合输入'!$H6^2)*W445)</f>
        <v/>
      </c>
      <c r="Y445" s="7">
        <f>IF(X445="","",NORM.S.DIST(X445,TRUE))</f>
        <v/>
      </c>
      <c r="Z445" s="13">
        <f>IF(Y445="","",IF(Y445&lt;='组合输入'!$K6,"AAA",IF(Y445&lt;='组合输入'!$L6,"AA",IF(Y445&lt;='组合输入'!$M6,"A",IF(Y445&lt;='组合输入'!$N6,"BBB",IF(Y445&lt;='组合输入'!$O6,"BB",IF(Y445&lt;='组合输入'!$P6,"B",IF(Y445&lt;='组合输入'!$Q6,"CCC","D")))))))</f>
        <v/>
      </c>
      <c r="AA445" s="12">
        <f>IF(Z445="","",INDEX('状态价值'!$D6:$K6,MATCH(Z445,'状态价值'!$D$1:$K$1,0)))</f>
        <v/>
      </c>
      <c r="AB445" s="15">
        <f>NORM.S.INV(RAND())</f>
        <v/>
      </c>
      <c r="AC445" s="15">
        <f>IF('组合输入'!$C7="","",'组合输入'!$H7*$B445+SQRT(1-'组合输入'!$H7^2)*AB445)</f>
        <v/>
      </c>
      <c r="AD445" s="7">
        <f>IF(AC445="","",NORM.S.DIST(AC445,TRUE))</f>
        <v/>
      </c>
      <c r="AE445" s="13">
        <f>IF(AD445="","",IF(AD445&lt;='组合输入'!$K7,"AAA",IF(AD445&lt;='组合输入'!$L7,"AA",IF(AD445&lt;='组合输入'!$M7,"A",IF(AD445&lt;='组合输入'!$N7,"BBB",IF(AD445&lt;='组合输入'!$O7,"BB",IF(AD445&lt;='组合输入'!$P7,"B",IF(AD445&lt;='组合输入'!$Q7,"CCC","D")))))))</f>
        <v/>
      </c>
      <c r="AF445" s="12">
        <f>IF(AE445="","",INDEX('状态价值'!$D7:$K7,MATCH(AE445,'状态价值'!$D$1:$K$1,0)))</f>
        <v/>
      </c>
      <c r="AG445" s="15">
        <f>NORM.S.INV(RAND())</f>
        <v/>
      </c>
      <c r="AH445" s="15">
        <f>IF('组合输入'!$C8="","",'组合输入'!$H8*$B445+SQRT(1-'组合输入'!$H8^2)*AG445)</f>
        <v/>
      </c>
      <c r="AI445" s="7">
        <f>IF(AH445="","",NORM.S.DIST(AH445,TRUE))</f>
        <v/>
      </c>
      <c r="AJ445" s="13">
        <f>IF(AI445="","",IF(AI445&lt;='组合输入'!$K8,"AAA",IF(AI445&lt;='组合输入'!$L8,"AA",IF(AI445&lt;='组合输入'!$M8,"A",IF(AI445&lt;='组合输入'!$N8,"BBB",IF(AI445&lt;='组合输入'!$O8,"BB",IF(AI445&lt;='组合输入'!$P8,"B",IF(AI445&lt;='组合输入'!$Q8,"CCC","D")))))))</f>
        <v/>
      </c>
      <c r="AK445" s="12">
        <f>IF(AJ445="","",INDEX('状态价值'!$D8:$K8,MATCH(AJ445,'状态价值'!$D$1:$K$1,0)))</f>
        <v/>
      </c>
      <c r="AL445" s="15">
        <f>NORM.S.INV(RAND())</f>
        <v/>
      </c>
      <c r="AM445" s="15">
        <f>IF('组合输入'!$C9="","",'组合输入'!$H9*$B445+SQRT(1-'组合输入'!$H9^2)*AL445)</f>
        <v/>
      </c>
      <c r="AN445" s="7">
        <f>IF(AM445="","",NORM.S.DIST(AM445,TRUE))</f>
        <v/>
      </c>
      <c r="AO445" s="13">
        <f>IF(AN445="","",IF(AN445&lt;='组合输入'!$K9,"AAA",IF(AN445&lt;='组合输入'!$L9,"AA",IF(AN445&lt;='组合输入'!$M9,"A",IF(AN445&lt;='组合输入'!$N9,"BBB",IF(AN445&lt;='组合输入'!$O9,"BB",IF(AN445&lt;='组合输入'!$P9,"B",IF(AN445&lt;='组合输入'!$Q9,"CCC","D")))))))</f>
        <v/>
      </c>
      <c r="AP445" s="12">
        <f>IF(AO445="","",INDEX('状态价值'!$D9:$K9,MATCH(AO445,'状态价值'!$D$1:$K$1,0)))</f>
        <v/>
      </c>
      <c r="AQ445" s="15">
        <f>NORM.S.INV(RAND())</f>
        <v/>
      </c>
      <c r="AR445" s="15">
        <f>IF('组合输入'!$C10="","",'组合输入'!$H10*$B445+SQRT(1-'组合输入'!$H10^2)*AQ445)</f>
        <v/>
      </c>
      <c r="AS445" s="7">
        <f>IF(AR445="","",NORM.S.DIST(AR445,TRUE))</f>
        <v/>
      </c>
      <c r="AT445" s="13">
        <f>IF(AS445="","",IF(AS445&lt;='组合输入'!$K10,"AAA",IF(AS445&lt;='组合输入'!$L10,"AA",IF(AS445&lt;='组合输入'!$M10,"A",IF(AS445&lt;='组合输入'!$N10,"BBB",IF(AS445&lt;='组合输入'!$O10,"BB",IF(AS445&lt;='组合输入'!$P10,"B",IF(AS445&lt;='组合输入'!$Q10,"CCC","D")))))))</f>
        <v/>
      </c>
      <c r="AU445" s="12">
        <f>IF(AT445="","",INDEX('状态价值'!$D10:$K10,MATCH(AT445,'状态价值'!$D$1:$K$1,0)))</f>
        <v/>
      </c>
      <c r="AV445" s="15">
        <f>NORM.S.INV(RAND())</f>
        <v/>
      </c>
      <c r="AW445" s="15">
        <f>IF('组合输入'!$C11="","",'组合输入'!$H11*$B445+SQRT(1-'组合输入'!$H11^2)*AV445)</f>
        <v/>
      </c>
      <c r="AX445" s="7">
        <f>IF(AW445="","",NORM.S.DIST(AW445,TRUE))</f>
        <v/>
      </c>
      <c r="AY445" s="13">
        <f>IF(AX445="","",IF(AX445&lt;='组合输入'!$K11,"AAA",IF(AX445&lt;='组合输入'!$L11,"AA",IF(AX445&lt;='组合输入'!$M11,"A",IF(AX445&lt;='组合输入'!$N11,"BBB",IF(AX445&lt;='组合输入'!$O11,"BB",IF(AX445&lt;='组合输入'!$P11,"B",IF(AX445&lt;='组合输入'!$Q11,"CCC","D")))))))</f>
        <v/>
      </c>
      <c r="AZ445" s="12">
        <f>IF(AY445="","",INDEX('状态价值'!$D11:$K11,MATCH(AY445,'状态价值'!$D$1:$K$1,0)))</f>
        <v/>
      </c>
      <c r="BA445" s="12">
        <f>G445+L445+Q445+V445+AA445+AF445+AK445+AP445+AU445+AZ445</f>
        <v/>
      </c>
      <c r="BB445" s="12">
        <f>SUM('组合输入'!$J$2:$J$11)-BA445</f>
        <v/>
      </c>
    </row>
    <row r="446">
      <c r="A446" s="11" t="n">
        <v>445</v>
      </c>
      <c r="B446" s="14">
        <f>NORM.S.INV(RAND())</f>
        <v/>
      </c>
      <c r="C446" s="14">
        <f>NORM.S.INV(RAND())</f>
        <v/>
      </c>
      <c r="D446" s="15">
        <f>IF('组合输入'!$C2="","",'组合输入'!$H2*$B446+SQRT(1-'组合输入'!$H2^2)*C446)</f>
        <v/>
      </c>
      <c r="E446" s="7">
        <f>IF(D446="","",NORM.S.DIST(D446,TRUE))</f>
        <v/>
      </c>
      <c r="F446" s="13">
        <f>IF(E446="","",IF(E446&lt;='组合输入'!$K2,"AAA",IF(E446&lt;='组合输入'!$L2,"AA",IF(E446&lt;='组合输入'!$M2,"A",IF(E446&lt;='组合输入'!$N2,"BBB",IF(E446&lt;='组合输入'!$O2,"BB",IF(E446&lt;='组合输入'!$P2,"B",IF(E446&lt;='组合输入'!$Q2,"CCC","D")))))))</f>
        <v/>
      </c>
      <c r="G446" s="12">
        <f>IF(F446="","",INDEX('状态价值'!$D2:$K2,MATCH(F446,'状态价值'!$D$1:$K$1,0)))</f>
        <v/>
      </c>
      <c r="H446" s="15">
        <f>NORM.S.INV(RAND())</f>
        <v/>
      </c>
      <c r="I446" s="15">
        <f>IF('组合输入'!$C3="","",'组合输入'!$H3*$B446+SQRT(1-'组合输入'!$H3^2)*H446)</f>
        <v/>
      </c>
      <c r="J446" s="7">
        <f>IF(I446="","",NORM.S.DIST(I446,TRUE))</f>
        <v/>
      </c>
      <c r="K446" s="13">
        <f>IF(J446="","",IF(J446&lt;='组合输入'!$K3,"AAA",IF(J446&lt;='组合输入'!$L3,"AA",IF(J446&lt;='组合输入'!$M3,"A",IF(J446&lt;='组合输入'!$N3,"BBB",IF(J446&lt;='组合输入'!$O3,"BB",IF(J446&lt;='组合输入'!$P3,"B",IF(J446&lt;='组合输入'!$Q3,"CCC","D")))))))</f>
        <v/>
      </c>
      <c r="L446" s="12">
        <f>IF(K446="","",INDEX('状态价值'!$D3:$K3,MATCH(K446,'状态价值'!$D$1:$K$1,0)))</f>
        <v/>
      </c>
      <c r="M446" s="15">
        <f>NORM.S.INV(RAND())</f>
        <v/>
      </c>
      <c r="N446" s="15">
        <f>IF('组合输入'!$C4="","",'组合输入'!$H4*$B446+SQRT(1-'组合输入'!$H4^2)*M446)</f>
        <v/>
      </c>
      <c r="O446" s="7">
        <f>IF(N446="","",NORM.S.DIST(N446,TRUE))</f>
        <v/>
      </c>
      <c r="P446" s="13">
        <f>IF(O446="","",IF(O446&lt;='组合输入'!$K4,"AAA",IF(O446&lt;='组合输入'!$L4,"AA",IF(O446&lt;='组合输入'!$M4,"A",IF(O446&lt;='组合输入'!$N4,"BBB",IF(O446&lt;='组合输入'!$O4,"BB",IF(O446&lt;='组合输入'!$P4,"B",IF(O446&lt;='组合输入'!$Q4,"CCC","D")))))))</f>
        <v/>
      </c>
      <c r="Q446" s="12">
        <f>IF(P446="","",INDEX('状态价值'!$D4:$K4,MATCH(P446,'状态价值'!$D$1:$K$1,0)))</f>
        <v/>
      </c>
      <c r="R446" s="15">
        <f>NORM.S.INV(RAND())</f>
        <v/>
      </c>
      <c r="S446" s="15">
        <f>IF('组合输入'!$C5="","",'组合输入'!$H5*$B446+SQRT(1-'组合输入'!$H5^2)*R446)</f>
        <v/>
      </c>
      <c r="T446" s="7">
        <f>IF(S446="","",NORM.S.DIST(S446,TRUE))</f>
        <v/>
      </c>
      <c r="U446" s="13">
        <f>IF(T446="","",IF(T446&lt;='组合输入'!$K5,"AAA",IF(T446&lt;='组合输入'!$L5,"AA",IF(T446&lt;='组合输入'!$M5,"A",IF(T446&lt;='组合输入'!$N5,"BBB",IF(T446&lt;='组合输入'!$O5,"BB",IF(T446&lt;='组合输入'!$P5,"B",IF(T446&lt;='组合输入'!$Q5,"CCC","D")))))))</f>
        <v/>
      </c>
      <c r="V446" s="12">
        <f>IF(U446="","",INDEX('状态价值'!$D5:$K5,MATCH(U446,'状态价值'!$D$1:$K$1,0)))</f>
        <v/>
      </c>
      <c r="W446" s="15">
        <f>NORM.S.INV(RAND())</f>
        <v/>
      </c>
      <c r="X446" s="15">
        <f>IF('组合输入'!$C6="","",'组合输入'!$H6*$B446+SQRT(1-'组合输入'!$H6^2)*W446)</f>
        <v/>
      </c>
      <c r="Y446" s="7">
        <f>IF(X446="","",NORM.S.DIST(X446,TRUE))</f>
        <v/>
      </c>
      <c r="Z446" s="13">
        <f>IF(Y446="","",IF(Y446&lt;='组合输入'!$K6,"AAA",IF(Y446&lt;='组合输入'!$L6,"AA",IF(Y446&lt;='组合输入'!$M6,"A",IF(Y446&lt;='组合输入'!$N6,"BBB",IF(Y446&lt;='组合输入'!$O6,"BB",IF(Y446&lt;='组合输入'!$P6,"B",IF(Y446&lt;='组合输入'!$Q6,"CCC","D")))))))</f>
        <v/>
      </c>
      <c r="AA446" s="12">
        <f>IF(Z446="","",INDEX('状态价值'!$D6:$K6,MATCH(Z446,'状态价值'!$D$1:$K$1,0)))</f>
        <v/>
      </c>
      <c r="AB446" s="15">
        <f>NORM.S.INV(RAND())</f>
        <v/>
      </c>
      <c r="AC446" s="15">
        <f>IF('组合输入'!$C7="","",'组合输入'!$H7*$B446+SQRT(1-'组合输入'!$H7^2)*AB446)</f>
        <v/>
      </c>
      <c r="AD446" s="7">
        <f>IF(AC446="","",NORM.S.DIST(AC446,TRUE))</f>
        <v/>
      </c>
      <c r="AE446" s="13">
        <f>IF(AD446="","",IF(AD446&lt;='组合输入'!$K7,"AAA",IF(AD446&lt;='组合输入'!$L7,"AA",IF(AD446&lt;='组合输入'!$M7,"A",IF(AD446&lt;='组合输入'!$N7,"BBB",IF(AD446&lt;='组合输入'!$O7,"BB",IF(AD446&lt;='组合输入'!$P7,"B",IF(AD446&lt;='组合输入'!$Q7,"CCC","D")))))))</f>
        <v/>
      </c>
      <c r="AF446" s="12">
        <f>IF(AE446="","",INDEX('状态价值'!$D7:$K7,MATCH(AE446,'状态价值'!$D$1:$K$1,0)))</f>
        <v/>
      </c>
      <c r="AG446" s="15">
        <f>NORM.S.INV(RAND())</f>
        <v/>
      </c>
      <c r="AH446" s="15">
        <f>IF('组合输入'!$C8="","",'组合输入'!$H8*$B446+SQRT(1-'组合输入'!$H8^2)*AG446)</f>
        <v/>
      </c>
      <c r="AI446" s="7">
        <f>IF(AH446="","",NORM.S.DIST(AH446,TRUE))</f>
        <v/>
      </c>
      <c r="AJ446" s="13">
        <f>IF(AI446="","",IF(AI446&lt;='组合输入'!$K8,"AAA",IF(AI446&lt;='组合输入'!$L8,"AA",IF(AI446&lt;='组合输入'!$M8,"A",IF(AI446&lt;='组合输入'!$N8,"BBB",IF(AI446&lt;='组合输入'!$O8,"BB",IF(AI446&lt;='组合输入'!$P8,"B",IF(AI446&lt;='组合输入'!$Q8,"CCC","D")))))))</f>
        <v/>
      </c>
      <c r="AK446" s="12">
        <f>IF(AJ446="","",INDEX('状态价值'!$D8:$K8,MATCH(AJ446,'状态价值'!$D$1:$K$1,0)))</f>
        <v/>
      </c>
      <c r="AL446" s="15">
        <f>NORM.S.INV(RAND())</f>
        <v/>
      </c>
      <c r="AM446" s="15">
        <f>IF('组合输入'!$C9="","",'组合输入'!$H9*$B446+SQRT(1-'组合输入'!$H9^2)*AL446)</f>
        <v/>
      </c>
      <c r="AN446" s="7">
        <f>IF(AM446="","",NORM.S.DIST(AM446,TRUE))</f>
        <v/>
      </c>
      <c r="AO446" s="13">
        <f>IF(AN446="","",IF(AN446&lt;='组合输入'!$K9,"AAA",IF(AN446&lt;='组合输入'!$L9,"AA",IF(AN446&lt;='组合输入'!$M9,"A",IF(AN446&lt;='组合输入'!$N9,"BBB",IF(AN446&lt;='组合输入'!$O9,"BB",IF(AN446&lt;='组合输入'!$P9,"B",IF(AN446&lt;='组合输入'!$Q9,"CCC","D")))))))</f>
        <v/>
      </c>
      <c r="AP446" s="12">
        <f>IF(AO446="","",INDEX('状态价值'!$D9:$K9,MATCH(AO446,'状态价值'!$D$1:$K$1,0)))</f>
        <v/>
      </c>
      <c r="AQ446" s="15">
        <f>NORM.S.INV(RAND())</f>
        <v/>
      </c>
      <c r="AR446" s="15">
        <f>IF('组合输入'!$C10="","",'组合输入'!$H10*$B446+SQRT(1-'组合输入'!$H10^2)*AQ446)</f>
        <v/>
      </c>
      <c r="AS446" s="7">
        <f>IF(AR446="","",NORM.S.DIST(AR446,TRUE))</f>
        <v/>
      </c>
      <c r="AT446" s="13">
        <f>IF(AS446="","",IF(AS446&lt;='组合输入'!$K10,"AAA",IF(AS446&lt;='组合输入'!$L10,"AA",IF(AS446&lt;='组合输入'!$M10,"A",IF(AS446&lt;='组合输入'!$N10,"BBB",IF(AS446&lt;='组合输入'!$O10,"BB",IF(AS446&lt;='组合输入'!$P10,"B",IF(AS446&lt;='组合输入'!$Q10,"CCC","D")))))))</f>
        <v/>
      </c>
      <c r="AU446" s="12">
        <f>IF(AT446="","",INDEX('状态价值'!$D10:$K10,MATCH(AT446,'状态价值'!$D$1:$K$1,0)))</f>
        <v/>
      </c>
      <c r="AV446" s="15">
        <f>NORM.S.INV(RAND())</f>
        <v/>
      </c>
      <c r="AW446" s="15">
        <f>IF('组合输入'!$C11="","",'组合输入'!$H11*$B446+SQRT(1-'组合输入'!$H11^2)*AV446)</f>
        <v/>
      </c>
      <c r="AX446" s="7">
        <f>IF(AW446="","",NORM.S.DIST(AW446,TRUE))</f>
        <v/>
      </c>
      <c r="AY446" s="13">
        <f>IF(AX446="","",IF(AX446&lt;='组合输入'!$K11,"AAA",IF(AX446&lt;='组合输入'!$L11,"AA",IF(AX446&lt;='组合输入'!$M11,"A",IF(AX446&lt;='组合输入'!$N11,"BBB",IF(AX446&lt;='组合输入'!$O11,"BB",IF(AX446&lt;='组合输入'!$P11,"B",IF(AX446&lt;='组合输入'!$Q11,"CCC","D")))))))</f>
        <v/>
      </c>
      <c r="AZ446" s="12">
        <f>IF(AY446="","",INDEX('状态价值'!$D11:$K11,MATCH(AY446,'状态价值'!$D$1:$K$1,0)))</f>
        <v/>
      </c>
      <c r="BA446" s="12">
        <f>G446+L446+Q446+V446+AA446+AF446+AK446+AP446+AU446+AZ446</f>
        <v/>
      </c>
      <c r="BB446" s="12">
        <f>SUM('组合输入'!$J$2:$J$11)-BA446</f>
        <v/>
      </c>
    </row>
    <row r="447">
      <c r="A447" s="11" t="n">
        <v>446</v>
      </c>
      <c r="B447" s="14">
        <f>NORM.S.INV(RAND())</f>
        <v/>
      </c>
      <c r="C447" s="14">
        <f>NORM.S.INV(RAND())</f>
        <v/>
      </c>
      <c r="D447" s="15">
        <f>IF('组合输入'!$C2="","",'组合输入'!$H2*$B447+SQRT(1-'组合输入'!$H2^2)*C447)</f>
        <v/>
      </c>
      <c r="E447" s="7">
        <f>IF(D447="","",NORM.S.DIST(D447,TRUE))</f>
        <v/>
      </c>
      <c r="F447" s="13">
        <f>IF(E447="","",IF(E447&lt;='组合输入'!$K2,"AAA",IF(E447&lt;='组合输入'!$L2,"AA",IF(E447&lt;='组合输入'!$M2,"A",IF(E447&lt;='组合输入'!$N2,"BBB",IF(E447&lt;='组合输入'!$O2,"BB",IF(E447&lt;='组合输入'!$P2,"B",IF(E447&lt;='组合输入'!$Q2,"CCC","D")))))))</f>
        <v/>
      </c>
      <c r="G447" s="12">
        <f>IF(F447="","",INDEX('状态价值'!$D2:$K2,MATCH(F447,'状态价值'!$D$1:$K$1,0)))</f>
        <v/>
      </c>
      <c r="H447" s="15">
        <f>NORM.S.INV(RAND())</f>
        <v/>
      </c>
      <c r="I447" s="15">
        <f>IF('组合输入'!$C3="","",'组合输入'!$H3*$B447+SQRT(1-'组合输入'!$H3^2)*H447)</f>
        <v/>
      </c>
      <c r="J447" s="7">
        <f>IF(I447="","",NORM.S.DIST(I447,TRUE))</f>
        <v/>
      </c>
      <c r="K447" s="13">
        <f>IF(J447="","",IF(J447&lt;='组合输入'!$K3,"AAA",IF(J447&lt;='组合输入'!$L3,"AA",IF(J447&lt;='组合输入'!$M3,"A",IF(J447&lt;='组合输入'!$N3,"BBB",IF(J447&lt;='组合输入'!$O3,"BB",IF(J447&lt;='组合输入'!$P3,"B",IF(J447&lt;='组合输入'!$Q3,"CCC","D")))))))</f>
        <v/>
      </c>
      <c r="L447" s="12">
        <f>IF(K447="","",INDEX('状态价值'!$D3:$K3,MATCH(K447,'状态价值'!$D$1:$K$1,0)))</f>
        <v/>
      </c>
      <c r="M447" s="15">
        <f>NORM.S.INV(RAND())</f>
        <v/>
      </c>
      <c r="N447" s="15">
        <f>IF('组合输入'!$C4="","",'组合输入'!$H4*$B447+SQRT(1-'组合输入'!$H4^2)*M447)</f>
        <v/>
      </c>
      <c r="O447" s="7">
        <f>IF(N447="","",NORM.S.DIST(N447,TRUE))</f>
        <v/>
      </c>
      <c r="P447" s="13">
        <f>IF(O447="","",IF(O447&lt;='组合输入'!$K4,"AAA",IF(O447&lt;='组合输入'!$L4,"AA",IF(O447&lt;='组合输入'!$M4,"A",IF(O447&lt;='组合输入'!$N4,"BBB",IF(O447&lt;='组合输入'!$O4,"BB",IF(O447&lt;='组合输入'!$P4,"B",IF(O447&lt;='组合输入'!$Q4,"CCC","D")))))))</f>
        <v/>
      </c>
      <c r="Q447" s="12">
        <f>IF(P447="","",INDEX('状态价值'!$D4:$K4,MATCH(P447,'状态价值'!$D$1:$K$1,0)))</f>
        <v/>
      </c>
      <c r="R447" s="15">
        <f>NORM.S.INV(RAND())</f>
        <v/>
      </c>
      <c r="S447" s="15">
        <f>IF('组合输入'!$C5="","",'组合输入'!$H5*$B447+SQRT(1-'组合输入'!$H5^2)*R447)</f>
        <v/>
      </c>
      <c r="T447" s="7">
        <f>IF(S447="","",NORM.S.DIST(S447,TRUE))</f>
        <v/>
      </c>
      <c r="U447" s="13">
        <f>IF(T447="","",IF(T447&lt;='组合输入'!$K5,"AAA",IF(T447&lt;='组合输入'!$L5,"AA",IF(T447&lt;='组合输入'!$M5,"A",IF(T447&lt;='组合输入'!$N5,"BBB",IF(T447&lt;='组合输入'!$O5,"BB",IF(T447&lt;='组合输入'!$P5,"B",IF(T447&lt;='组合输入'!$Q5,"CCC","D")))))))</f>
        <v/>
      </c>
      <c r="V447" s="12">
        <f>IF(U447="","",INDEX('状态价值'!$D5:$K5,MATCH(U447,'状态价值'!$D$1:$K$1,0)))</f>
        <v/>
      </c>
      <c r="W447" s="15">
        <f>NORM.S.INV(RAND())</f>
        <v/>
      </c>
      <c r="X447" s="15">
        <f>IF('组合输入'!$C6="","",'组合输入'!$H6*$B447+SQRT(1-'组合输入'!$H6^2)*W447)</f>
        <v/>
      </c>
      <c r="Y447" s="7">
        <f>IF(X447="","",NORM.S.DIST(X447,TRUE))</f>
        <v/>
      </c>
      <c r="Z447" s="13">
        <f>IF(Y447="","",IF(Y447&lt;='组合输入'!$K6,"AAA",IF(Y447&lt;='组合输入'!$L6,"AA",IF(Y447&lt;='组合输入'!$M6,"A",IF(Y447&lt;='组合输入'!$N6,"BBB",IF(Y447&lt;='组合输入'!$O6,"BB",IF(Y447&lt;='组合输入'!$P6,"B",IF(Y447&lt;='组合输入'!$Q6,"CCC","D")))))))</f>
        <v/>
      </c>
      <c r="AA447" s="12">
        <f>IF(Z447="","",INDEX('状态价值'!$D6:$K6,MATCH(Z447,'状态价值'!$D$1:$K$1,0)))</f>
        <v/>
      </c>
      <c r="AB447" s="15">
        <f>NORM.S.INV(RAND())</f>
        <v/>
      </c>
      <c r="AC447" s="15">
        <f>IF('组合输入'!$C7="","",'组合输入'!$H7*$B447+SQRT(1-'组合输入'!$H7^2)*AB447)</f>
        <v/>
      </c>
      <c r="AD447" s="7">
        <f>IF(AC447="","",NORM.S.DIST(AC447,TRUE))</f>
        <v/>
      </c>
      <c r="AE447" s="13">
        <f>IF(AD447="","",IF(AD447&lt;='组合输入'!$K7,"AAA",IF(AD447&lt;='组合输入'!$L7,"AA",IF(AD447&lt;='组合输入'!$M7,"A",IF(AD447&lt;='组合输入'!$N7,"BBB",IF(AD447&lt;='组合输入'!$O7,"BB",IF(AD447&lt;='组合输入'!$P7,"B",IF(AD447&lt;='组合输入'!$Q7,"CCC","D")))))))</f>
        <v/>
      </c>
      <c r="AF447" s="12">
        <f>IF(AE447="","",INDEX('状态价值'!$D7:$K7,MATCH(AE447,'状态价值'!$D$1:$K$1,0)))</f>
        <v/>
      </c>
      <c r="AG447" s="15">
        <f>NORM.S.INV(RAND())</f>
        <v/>
      </c>
      <c r="AH447" s="15">
        <f>IF('组合输入'!$C8="","",'组合输入'!$H8*$B447+SQRT(1-'组合输入'!$H8^2)*AG447)</f>
        <v/>
      </c>
      <c r="AI447" s="7">
        <f>IF(AH447="","",NORM.S.DIST(AH447,TRUE))</f>
        <v/>
      </c>
      <c r="AJ447" s="13">
        <f>IF(AI447="","",IF(AI447&lt;='组合输入'!$K8,"AAA",IF(AI447&lt;='组合输入'!$L8,"AA",IF(AI447&lt;='组合输入'!$M8,"A",IF(AI447&lt;='组合输入'!$N8,"BBB",IF(AI447&lt;='组合输入'!$O8,"BB",IF(AI447&lt;='组合输入'!$P8,"B",IF(AI447&lt;='组合输入'!$Q8,"CCC","D")))))))</f>
        <v/>
      </c>
      <c r="AK447" s="12">
        <f>IF(AJ447="","",INDEX('状态价值'!$D8:$K8,MATCH(AJ447,'状态价值'!$D$1:$K$1,0)))</f>
        <v/>
      </c>
      <c r="AL447" s="15">
        <f>NORM.S.INV(RAND())</f>
        <v/>
      </c>
      <c r="AM447" s="15">
        <f>IF('组合输入'!$C9="","",'组合输入'!$H9*$B447+SQRT(1-'组合输入'!$H9^2)*AL447)</f>
        <v/>
      </c>
      <c r="AN447" s="7">
        <f>IF(AM447="","",NORM.S.DIST(AM447,TRUE))</f>
        <v/>
      </c>
      <c r="AO447" s="13">
        <f>IF(AN447="","",IF(AN447&lt;='组合输入'!$K9,"AAA",IF(AN447&lt;='组合输入'!$L9,"AA",IF(AN447&lt;='组合输入'!$M9,"A",IF(AN447&lt;='组合输入'!$N9,"BBB",IF(AN447&lt;='组合输入'!$O9,"BB",IF(AN447&lt;='组合输入'!$P9,"B",IF(AN447&lt;='组合输入'!$Q9,"CCC","D")))))))</f>
        <v/>
      </c>
      <c r="AP447" s="12">
        <f>IF(AO447="","",INDEX('状态价值'!$D9:$K9,MATCH(AO447,'状态价值'!$D$1:$K$1,0)))</f>
        <v/>
      </c>
      <c r="AQ447" s="15">
        <f>NORM.S.INV(RAND())</f>
        <v/>
      </c>
      <c r="AR447" s="15">
        <f>IF('组合输入'!$C10="","",'组合输入'!$H10*$B447+SQRT(1-'组合输入'!$H10^2)*AQ447)</f>
        <v/>
      </c>
      <c r="AS447" s="7">
        <f>IF(AR447="","",NORM.S.DIST(AR447,TRUE))</f>
        <v/>
      </c>
      <c r="AT447" s="13">
        <f>IF(AS447="","",IF(AS447&lt;='组合输入'!$K10,"AAA",IF(AS447&lt;='组合输入'!$L10,"AA",IF(AS447&lt;='组合输入'!$M10,"A",IF(AS447&lt;='组合输入'!$N10,"BBB",IF(AS447&lt;='组合输入'!$O10,"BB",IF(AS447&lt;='组合输入'!$P10,"B",IF(AS447&lt;='组合输入'!$Q10,"CCC","D")))))))</f>
        <v/>
      </c>
      <c r="AU447" s="12">
        <f>IF(AT447="","",INDEX('状态价值'!$D10:$K10,MATCH(AT447,'状态价值'!$D$1:$K$1,0)))</f>
        <v/>
      </c>
      <c r="AV447" s="15">
        <f>NORM.S.INV(RAND())</f>
        <v/>
      </c>
      <c r="AW447" s="15">
        <f>IF('组合输入'!$C11="","",'组合输入'!$H11*$B447+SQRT(1-'组合输入'!$H11^2)*AV447)</f>
        <v/>
      </c>
      <c r="AX447" s="7">
        <f>IF(AW447="","",NORM.S.DIST(AW447,TRUE))</f>
        <v/>
      </c>
      <c r="AY447" s="13">
        <f>IF(AX447="","",IF(AX447&lt;='组合输入'!$K11,"AAA",IF(AX447&lt;='组合输入'!$L11,"AA",IF(AX447&lt;='组合输入'!$M11,"A",IF(AX447&lt;='组合输入'!$N11,"BBB",IF(AX447&lt;='组合输入'!$O11,"BB",IF(AX447&lt;='组合输入'!$P11,"B",IF(AX447&lt;='组合输入'!$Q11,"CCC","D")))))))</f>
        <v/>
      </c>
      <c r="AZ447" s="12">
        <f>IF(AY447="","",INDEX('状态价值'!$D11:$K11,MATCH(AY447,'状态价值'!$D$1:$K$1,0)))</f>
        <v/>
      </c>
      <c r="BA447" s="12">
        <f>G447+L447+Q447+V447+AA447+AF447+AK447+AP447+AU447+AZ447</f>
        <v/>
      </c>
      <c r="BB447" s="12">
        <f>SUM('组合输入'!$J$2:$J$11)-BA447</f>
        <v/>
      </c>
    </row>
    <row r="448">
      <c r="A448" s="11" t="n">
        <v>447</v>
      </c>
      <c r="B448" s="14">
        <f>NORM.S.INV(RAND())</f>
        <v/>
      </c>
      <c r="C448" s="14">
        <f>NORM.S.INV(RAND())</f>
        <v/>
      </c>
      <c r="D448" s="15">
        <f>IF('组合输入'!$C2="","",'组合输入'!$H2*$B448+SQRT(1-'组合输入'!$H2^2)*C448)</f>
        <v/>
      </c>
      <c r="E448" s="7">
        <f>IF(D448="","",NORM.S.DIST(D448,TRUE))</f>
        <v/>
      </c>
      <c r="F448" s="13">
        <f>IF(E448="","",IF(E448&lt;='组合输入'!$K2,"AAA",IF(E448&lt;='组合输入'!$L2,"AA",IF(E448&lt;='组合输入'!$M2,"A",IF(E448&lt;='组合输入'!$N2,"BBB",IF(E448&lt;='组合输入'!$O2,"BB",IF(E448&lt;='组合输入'!$P2,"B",IF(E448&lt;='组合输入'!$Q2,"CCC","D")))))))</f>
        <v/>
      </c>
      <c r="G448" s="12">
        <f>IF(F448="","",INDEX('状态价值'!$D2:$K2,MATCH(F448,'状态价值'!$D$1:$K$1,0)))</f>
        <v/>
      </c>
      <c r="H448" s="15">
        <f>NORM.S.INV(RAND())</f>
        <v/>
      </c>
      <c r="I448" s="15">
        <f>IF('组合输入'!$C3="","",'组合输入'!$H3*$B448+SQRT(1-'组合输入'!$H3^2)*H448)</f>
        <v/>
      </c>
      <c r="J448" s="7">
        <f>IF(I448="","",NORM.S.DIST(I448,TRUE))</f>
        <v/>
      </c>
      <c r="K448" s="13">
        <f>IF(J448="","",IF(J448&lt;='组合输入'!$K3,"AAA",IF(J448&lt;='组合输入'!$L3,"AA",IF(J448&lt;='组合输入'!$M3,"A",IF(J448&lt;='组合输入'!$N3,"BBB",IF(J448&lt;='组合输入'!$O3,"BB",IF(J448&lt;='组合输入'!$P3,"B",IF(J448&lt;='组合输入'!$Q3,"CCC","D")))))))</f>
        <v/>
      </c>
      <c r="L448" s="12">
        <f>IF(K448="","",INDEX('状态价值'!$D3:$K3,MATCH(K448,'状态价值'!$D$1:$K$1,0)))</f>
        <v/>
      </c>
      <c r="M448" s="15">
        <f>NORM.S.INV(RAND())</f>
        <v/>
      </c>
      <c r="N448" s="15">
        <f>IF('组合输入'!$C4="","",'组合输入'!$H4*$B448+SQRT(1-'组合输入'!$H4^2)*M448)</f>
        <v/>
      </c>
      <c r="O448" s="7">
        <f>IF(N448="","",NORM.S.DIST(N448,TRUE))</f>
        <v/>
      </c>
      <c r="P448" s="13">
        <f>IF(O448="","",IF(O448&lt;='组合输入'!$K4,"AAA",IF(O448&lt;='组合输入'!$L4,"AA",IF(O448&lt;='组合输入'!$M4,"A",IF(O448&lt;='组合输入'!$N4,"BBB",IF(O448&lt;='组合输入'!$O4,"BB",IF(O448&lt;='组合输入'!$P4,"B",IF(O448&lt;='组合输入'!$Q4,"CCC","D")))))))</f>
        <v/>
      </c>
      <c r="Q448" s="12">
        <f>IF(P448="","",INDEX('状态价值'!$D4:$K4,MATCH(P448,'状态价值'!$D$1:$K$1,0)))</f>
        <v/>
      </c>
      <c r="R448" s="15">
        <f>NORM.S.INV(RAND())</f>
        <v/>
      </c>
      <c r="S448" s="15">
        <f>IF('组合输入'!$C5="","",'组合输入'!$H5*$B448+SQRT(1-'组合输入'!$H5^2)*R448)</f>
        <v/>
      </c>
      <c r="T448" s="7">
        <f>IF(S448="","",NORM.S.DIST(S448,TRUE))</f>
        <v/>
      </c>
      <c r="U448" s="13">
        <f>IF(T448="","",IF(T448&lt;='组合输入'!$K5,"AAA",IF(T448&lt;='组合输入'!$L5,"AA",IF(T448&lt;='组合输入'!$M5,"A",IF(T448&lt;='组合输入'!$N5,"BBB",IF(T448&lt;='组合输入'!$O5,"BB",IF(T448&lt;='组合输入'!$P5,"B",IF(T448&lt;='组合输入'!$Q5,"CCC","D")))))))</f>
        <v/>
      </c>
      <c r="V448" s="12">
        <f>IF(U448="","",INDEX('状态价值'!$D5:$K5,MATCH(U448,'状态价值'!$D$1:$K$1,0)))</f>
        <v/>
      </c>
      <c r="W448" s="15">
        <f>NORM.S.INV(RAND())</f>
        <v/>
      </c>
      <c r="X448" s="15">
        <f>IF('组合输入'!$C6="","",'组合输入'!$H6*$B448+SQRT(1-'组合输入'!$H6^2)*W448)</f>
        <v/>
      </c>
      <c r="Y448" s="7">
        <f>IF(X448="","",NORM.S.DIST(X448,TRUE))</f>
        <v/>
      </c>
      <c r="Z448" s="13">
        <f>IF(Y448="","",IF(Y448&lt;='组合输入'!$K6,"AAA",IF(Y448&lt;='组合输入'!$L6,"AA",IF(Y448&lt;='组合输入'!$M6,"A",IF(Y448&lt;='组合输入'!$N6,"BBB",IF(Y448&lt;='组合输入'!$O6,"BB",IF(Y448&lt;='组合输入'!$P6,"B",IF(Y448&lt;='组合输入'!$Q6,"CCC","D")))))))</f>
        <v/>
      </c>
      <c r="AA448" s="12">
        <f>IF(Z448="","",INDEX('状态价值'!$D6:$K6,MATCH(Z448,'状态价值'!$D$1:$K$1,0)))</f>
        <v/>
      </c>
      <c r="AB448" s="15">
        <f>NORM.S.INV(RAND())</f>
        <v/>
      </c>
      <c r="AC448" s="15">
        <f>IF('组合输入'!$C7="","",'组合输入'!$H7*$B448+SQRT(1-'组合输入'!$H7^2)*AB448)</f>
        <v/>
      </c>
      <c r="AD448" s="7">
        <f>IF(AC448="","",NORM.S.DIST(AC448,TRUE))</f>
        <v/>
      </c>
      <c r="AE448" s="13">
        <f>IF(AD448="","",IF(AD448&lt;='组合输入'!$K7,"AAA",IF(AD448&lt;='组合输入'!$L7,"AA",IF(AD448&lt;='组合输入'!$M7,"A",IF(AD448&lt;='组合输入'!$N7,"BBB",IF(AD448&lt;='组合输入'!$O7,"BB",IF(AD448&lt;='组合输入'!$P7,"B",IF(AD448&lt;='组合输入'!$Q7,"CCC","D")))))))</f>
        <v/>
      </c>
      <c r="AF448" s="12">
        <f>IF(AE448="","",INDEX('状态价值'!$D7:$K7,MATCH(AE448,'状态价值'!$D$1:$K$1,0)))</f>
        <v/>
      </c>
      <c r="AG448" s="15">
        <f>NORM.S.INV(RAND())</f>
        <v/>
      </c>
      <c r="AH448" s="15">
        <f>IF('组合输入'!$C8="","",'组合输入'!$H8*$B448+SQRT(1-'组合输入'!$H8^2)*AG448)</f>
        <v/>
      </c>
      <c r="AI448" s="7">
        <f>IF(AH448="","",NORM.S.DIST(AH448,TRUE))</f>
        <v/>
      </c>
      <c r="AJ448" s="13">
        <f>IF(AI448="","",IF(AI448&lt;='组合输入'!$K8,"AAA",IF(AI448&lt;='组合输入'!$L8,"AA",IF(AI448&lt;='组合输入'!$M8,"A",IF(AI448&lt;='组合输入'!$N8,"BBB",IF(AI448&lt;='组合输入'!$O8,"BB",IF(AI448&lt;='组合输入'!$P8,"B",IF(AI448&lt;='组合输入'!$Q8,"CCC","D")))))))</f>
        <v/>
      </c>
      <c r="AK448" s="12">
        <f>IF(AJ448="","",INDEX('状态价值'!$D8:$K8,MATCH(AJ448,'状态价值'!$D$1:$K$1,0)))</f>
        <v/>
      </c>
      <c r="AL448" s="15">
        <f>NORM.S.INV(RAND())</f>
        <v/>
      </c>
      <c r="AM448" s="15">
        <f>IF('组合输入'!$C9="","",'组合输入'!$H9*$B448+SQRT(1-'组合输入'!$H9^2)*AL448)</f>
        <v/>
      </c>
      <c r="AN448" s="7">
        <f>IF(AM448="","",NORM.S.DIST(AM448,TRUE))</f>
        <v/>
      </c>
      <c r="AO448" s="13">
        <f>IF(AN448="","",IF(AN448&lt;='组合输入'!$K9,"AAA",IF(AN448&lt;='组合输入'!$L9,"AA",IF(AN448&lt;='组合输入'!$M9,"A",IF(AN448&lt;='组合输入'!$N9,"BBB",IF(AN448&lt;='组合输入'!$O9,"BB",IF(AN448&lt;='组合输入'!$P9,"B",IF(AN448&lt;='组合输入'!$Q9,"CCC","D")))))))</f>
        <v/>
      </c>
      <c r="AP448" s="12">
        <f>IF(AO448="","",INDEX('状态价值'!$D9:$K9,MATCH(AO448,'状态价值'!$D$1:$K$1,0)))</f>
        <v/>
      </c>
      <c r="AQ448" s="15">
        <f>NORM.S.INV(RAND())</f>
        <v/>
      </c>
      <c r="AR448" s="15">
        <f>IF('组合输入'!$C10="","",'组合输入'!$H10*$B448+SQRT(1-'组合输入'!$H10^2)*AQ448)</f>
        <v/>
      </c>
      <c r="AS448" s="7">
        <f>IF(AR448="","",NORM.S.DIST(AR448,TRUE))</f>
        <v/>
      </c>
      <c r="AT448" s="13">
        <f>IF(AS448="","",IF(AS448&lt;='组合输入'!$K10,"AAA",IF(AS448&lt;='组合输入'!$L10,"AA",IF(AS448&lt;='组合输入'!$M10,"A",IF(AS448&lt;='组合输入'!$N10,"BBB",IF(AS448&lt;='组合输入'!$O10,"BB",IF(AS448&lt;='组合输入'!$P10,"B",IF(AS448&lt;='组合输入'!$Q10,"CCC","D")))))))</f>
        <v/>
      </c>
      <c r="AU448" s="12">
        <f>IF(AT448="","",INDEX('状态价值'!$D10:$K10,MATCH(AT448,'状态价值'!$D$1:$K$1,0)))</f>
        <v/>
      </c>
      <c r="AV448" s="15">
        <f>NORM.S.INV(RAND())</f>
        <v/>
      </c>
      <c r="AW448" s="15">
        <f>IF('组合输入'!$C11="","",'组合输入'!$H11*$B448+SQRT(1-'组合输入'!$H11^2)*AV448)</f>
        <v/>
      </c>
      <c r="AX448" s="7">
        <f>IF(AW448="","",NORM.S.DIST(AW448,TRUE))</f>
        <v/>
      </c>
      <c r="AY448" s="13">
        <f>IF(AX448="","",IF(AX448&lt;='组合输入'!$K11,"AAA",IF(AX448&lt;='组合输入'!$L11,"AA",IF(AX448&lt;='组合输入'!$M11,"A",IF(AX448&lt;='组合输入'!$N11,"BBB",IF(AX448&lt;='组合输入'!$O11,"BB",IF(AX448&lt;='组合输入'!$P11,"B",IF(AX448&lt;='组合输入'!$Q11,"CCC","D")))))))</f>
        <v/>
      </c>
      <c r="AZ448" s="12">
        <f>IF(AY448="","",INDEX('状态价值'!$D11:$K11,MATCH(AY448,'状态价值'!$D$1:$K$1,0)))</f>
        <v/>
      </c>
      <c r="BA448" s="12">
        <f>G448+L448+Q448+V448+AA448+AF448+AK448+AP448+AU448+AZ448</f>
        <v/>
      </c>
      <c r="BB448" s="12">
        <f>SUM('组合输入'!$J$2:$J$11)-BA448</f>
        <v/>
      </c>
    </row>
    <row r="449">
      <c r="A449" s="11" t="n">
        <v>448</v>
      </c>
      <c r="B449" s="14">
        <f>NORM.S.INV(RAND())</f>
        <v/>
      </c>
      <c r="C449" s="14">
        <f>NORM.S.INV(RAND())</f>
        <v/>
      </c>
      <c r="D449" s="15">
        <f>IF('组合输入'!$C2="","",'组合输入'!$H2*$B449+SQRT(1-'组合输入'!$H2^2)*C449)</f>
        <v/>
      </c>
      <c r="E449" s="7">
        <f>IF(D449="","",NORM.S.DIST(D449,TRUE))</f>
        <v/>
      </c>
      <c r="F449" s="13">
        <f>IF(E449="","",IF(E449&lt;='组合输入'!$K2,"AAA",IF(E449&lt;='组合输入'!$L2,"AA",IF(E449&lt;='组合输入'!$M2,"A",IF(E449&lt;='组合输入'!$N2,"BBB",IF(E449&lt;='组合输入'!$O2,"BB",IF(E449&lt;='组合输入'!$P2,"B",IF(E449&lt;='组合输入'!$Q2,"CCC","D")))))))</f>
        <v/>
      </c>
      <c r="G449" s="12">
        <f>IF(F449="","",INDEX('状态价值'!$D2:$K2,MATCH(F449,'状态价值'!$D$1:$K$1,0)))</f>
        <v/>
      </c>
      <c r="H449" s="15">
        <f>NORM.S.INV(RAND())</f>
        <v/>
      </c>
      <c r="I449" s="15">
        <f>IF('组合输入'!$C3="","",'组合输入'!$H3*$B449+SQRT(1-'组合输入'!$H3^2)*H449)</f>
        <v/>
      </c>
      <c r="J449" s="7">
        <f>IF(I449="","",NORM.S.DIST(I449,TRUE))</f>
        <v/>
      </c>
      <c r="K449" s="13">
        <f>IF(J449="","",IF(J449&lt;='组合输入'!$K3,"AAA",IF(J449&lt;='组合输入'!$L3,"AA",IF(J449&lt;='组合输入'!$M3,"A",IF(J449&lt;='组合输入'!$N3,"BBB",IF(J449&lt;='组合输入'!$O3,"BB",IF(J449&lt;='组合输入'!$P3,"B",IF(J449&lt;='组合输入'!$Q3,"CCC","D")))))))</f>
        <v/>
      </c>
      <c r="L449" s="12">
        <f>IF(K449="","",INDEX('状态价值'!$D3:$K3,MATCH(K449,'状态价值'!$D$1:$K$1,0)))</f>
        <v/>
      </c>
      <c r="M449" s="15">
        <f>NORM.S.INV(RAND())</f>
        <v/>
      </c>
      <c r="N449" s="15">
        <f>IF('组合输入'!$C4="","",'组合输入'!$H4*$B449+SQRT(1-'组合输入'!$H4^2)*M449)</f>
        <v/>
      </c>
      <c r="O449" s="7">
        <f>IF(N449="","",NORM.S.DIST(N449,TRUE))</f>
        <v/>
      </c>
      <c r="P449" s="13">
        <f>IF(O449="","",IF(O449&lt;='组合输入'!$K4,"AAA",IF(O449&lt;='组合输入'!$L4,"AA",IF(O449&lt;='组合输入'!$M4,"A",IF(O449&lt;='组合输入'!$N4,"BBB",IF(O449&lt;='组合输入'!$O4,"BB",IF(O449&lt;='组合输入'!$P4,"B",IF(O449&lt;='组合输入'!$Q4,"CCC","D")))))))</f>
        <v/>
      </c>
      <c r="Q449" s="12">
        <f>IF(P449="","",INDEX('状态价值'!$D4:$K4,MATCH(P449,'状态价值'!$D$1:$K$1,0)))</f>
        <v/>
      </c>
      <c r="R449" s="15">
        <f>NORM.S.INV(RAND())</f>
        <v/>
      </c>
      <c r="S449" s="15">
        <f>IF('组合输入'!$C5="","",'组合输入'!$H5*$B449+SQRT(1-'组合输入'!$H5^2)*R449)</f>
        <v/>
      </c>
      <c r="T449" s="7">
        <f>IF(S449="","",NORM.S.DIST(S449,TRUE))</f>
        <v/>
      </c>
      <c r="U449" s="13">
        <f>IF(T449="","",IF(T449&lt;='组合输入'!$K5,"AAA",IF(T449&lt;='组合输入'!$L5,"AA",IF(T449&lt;='组合输入'!$M5,"A",IF(T449&lt;='组合输入'!$N5,"BBB",IF(T449&lt;='组合输入'!$O5,"BB",IF(T449&lt;='组合输入'!$P5,"B",IF(T449&lt;='组合输入'!$Q5,"CCC","D")))))))</f>
        <v/>
      </c>
      <c r="V449" s="12">
        <f>IF(U449="","",INDEX('状态价值'!$D5:$K5,MATCH(U449,'状态价值'!$D$1:$K$1,0)))</f>
        <v/>
      </c>
      <c r="W449" s="15">
        <f>NORM.S.INV(RAND())</f>
        <v/>
      </c>
      <c r="X449" s="15">
        <f>IF('组合输入'!$C6="","",'组合输入'!$H6*$B449+SQRT(1-'组合输入'!$H6^2)*W449)</f>
        <v/>
      </c>
      <c r="Y449" s="7">
        <f>IF(X449="","",NORM.S.DIST(X449,TRUE))</f>
        <v/>
      </c>
      <c r="Z449" s="13">
        <f>IF(Y449="","",IF(Y449&lt;='组合输入'!$K6,"AAA",IF(Y449&lt;='组合输入'!$L6,"AA",IF(Y449&lt;='组合输入'!$M6,"A",IF(Y449&lt;='组合输入'!$N6,"BBB",IF(Y449&lt;='组合输入'!$O6,"BB",IF(Y449&lt;='组合输入'!$P6,"B",IF(Y449&lt;='组合输入'!$Q6,"CCC","D")))))))</f>
        <v/>
      </c>
      <c r="AA449" s="12">
        <f>IF(Z449="","",INDEX('状态价值'!$D6:$K6,MATCH(Z449,'状态价值'!$D$1:$K$1,0)))</f>
        <v/>
      </c>
      <c r="AB449" s="15">
        <f>NORM.S.INV(RAND())</f>
        <v/>
      </c>
      <c r="AC449" s="15">
        <f>IF('组合输入'!$C7="","",'组合输入'!$H7*$B449+SQRT(1-'组合输入'!$H7^2)*AB449)</f>
        <v/>
      </c>
      <c r="AD449" s="7">
        <f>IF(AC449="","",NORM.S.DIST(AC449,TRUE))</f>
        <v/>
      </c>
      <c r="AE449" s="13">
        <f>IF(AD449="","",IF(AD449&lt;='组合输入'!$K7,"AAA",IF(AD449&lt;='组合输入'!$L7,"AA",IF(AD449&lt;='组合输入'!$M7,"A",IF(AD449&lt;='组合输入'!$N7,"BBB",IF(AD449&lt;='组合输入'!$O7,"BB",IF(AD449&lt;='组合输入'!$P7,"B",IF(AD449&lt;='组合输入'!$Q7,"CCC","D")))))))</f>
        <v/>
      </c>
      <c r="AF449" s="12">
        <f>IF(AE449="","",INDEX('状态价值'!$D7:$K7,MATCH(AE449,'状态价值'!$D$1:$K$1,0)))</f>
        <v/>
      </c>
      <c r="AG449" s="15">
        <f>NORM.S.INV(RAND())</f>
        <v/>
      </c>
      <c r="AH449" s="15">
        <f>IF('组合输入'!$C8="","",'组合输入'!$H8*$B449+SQRT(1-'组合输入'!$H8^2)*AG449)</f>
        <v/>
      </c>
      <c r="AI449" s="7">
        <f>IF(AH449="","",NORM.S.DIST(AH449,TRUE))</f>
        <v/>
      </c>
      <c r="AJ449" s="13">
        <f>IF(AI449="","",IF(AI449&lt;='组合输入'!$K8,"AAA",IF(AI449&lt;='组合输入'!$L8,"AA",IF(AI449&lt;='组合输入'!$M8,"A",IF(AI449&lt;='组合输入'!$N8,"BBB",IF(AI449&lt;='组合输入'!$O8,"BB",IF(AI449&lt;='组合输入'!$P8,"B",IF(AI449&lt;='组合输入'!$Q8,"CCC","D")))))))</f>
        <v/>
      </c>
      <c r="AK449" s="12">
        <f>IF(AJ449="","",INDEX('状态价值'!$D8:$K8,MATCH(AJ449,'状态价值'!$D$1:$K$1,0)))</f>
        <v/>
      </c>
      <c r="AL449" s="15">
        <f>NORM.S.INV(RAND())</f>
        <v/>
      </c>
      <c r="AM449" s="15">
        <f>IF('组合输入'!$C9="","",'组合输入'!$H9*$B449+SQRT(1-'组合输入'!$H9^2)*AL449)</f>
        <v/>
      </c>
      <c r="AN449" s="7">
        <f>IF(AM449="","",NORM.S.DIST(AM449,TRUE))</f>
        <v/>
      </c>
      <c r="AO449" s="13">
        <f>IF(AN449="","",IF(AN449&lt;='组合输入'!$K9,"AAA",IF(AN449&lt;='组合输入'!$L9,"AA",IF(AN449&lt;='组合输入'!$M9,"A",IF(AN449&lt;='组合输入'!$N9,"BBB",IF(AN449&lt;='组合输入'!$O9,"BB",IF(AN449&lt;='组合输入'!$P9,"B",IF(AN449&lt;='组合输入'!$Q9,"CCC","D")))))))</f>
        <v/>
      </c>
      <c r="AP449" s="12">
        <f>IF(AO449="","",INDEX('状态价值'!$D9:$K9,MATCH(AO449,'状态价值'!$D$1:$K$1,0)))</f>
        <v/>
      </c>
      <c r="AQ449" s="15">
        <f>NORM.S.INV(RAND())</f>
        <v/>
      </c>
      <c r="AR449" s="15">
        <f>IF('组合输入'!$C10="","",'组合输入'!$H10*$B449+SQRT(1-'组合输入'!$H10^2)*AQ449)</f>
        <v/>
      </c>
      <c r="AS449" s="7">
        <f>IF(AR449="","",NORM.S.DIST(AR449,TRUE))</f>
        <v/>
      </c>
      <c r="AT449" s="13">
        <f>IF(AS449="","",IF(AS449&lt;='组合输入'!$K10,"AAA",IF(AS449&lt;='组合输入'!$L10,"AA",IF(AS449&lt;='组合输入'!$M10,"A",IF(AS449&lt;='组合输入'!$N10,"BBB",IF(AS449&lt;='组合输入'!$O10,"BB",IF(AS449&lt;='组合输入'!$P10,"B",IF(AS449&lt;='组合输入'!$Q10,"CCC","D")))))))</f>
        <v/>
      </c>
      <c r="AU449" s="12">
        <f>IF(AT449="","",INDEX('状态价值'!$D10:$K10,MATCH(AT449,'状态价值'!$D$1:$K$1,0)))</f>
        <v/>
      </c>
      <c r="AV449" s="15">
        <f>NORM.S.INV(RAND())</f>
        <v/>
      </c>
      <c r="AW449" s="15">
        <f>IF('组合输入'!$C11="","",'组合输入'!$H11*$B449+SQRT(1-'组合输入'!$H11^2)*AV449)</f>
        <v/>
      </c>
      <c r="AX449" s="7">
        <f>IF(AW449="","",NORM.S.DIST(AW449,TRUE))</f>
        <v/>
      </c>
      <c r="AY449" s="13">
        <f>IF(AX449="","",IF(AX449&lt;='组合输入'!$K11,"AAA",IF(AX449&lt;='组合输入'!$L11,"AA",IF(AX449&lt;='组合输入'!$M11,"A",IF(AX449&lt;='组合输入'!$N11,"BBB",IF(AX449&lt;='组合输入'!$O11,"BB",IF(AX449&lt;='组合输入'!$P11,"B",IF(AX449&lt;='组合输入'!$Q11,"CCC","D")))))))</f>
        <v/>
      </c>
      <c r="AZ449" s="12">
        <f>IF(AY449="","",INDEX('状态价值'!$D11:$K11,MATCH(AY449,'状态价值'!$D$1:$K$1,0)))</f>
        <v/>
      </c>
      <c r="BA449" s="12">
        <f>G449+L449+Q449+V449+AA449+AF449+AK449+AP449+AU449+AZ449</f>
        <v/>
      </c>
      <c r="BB449" s="12">
        <f>SUM('组合输入'!$J$2:$J$11)-BA449</f>
        <v/>
      </c>
    </row>
    <row r="450">
      <c r="A450" s="11" t="n">
        <v>449</v>
      </c>
      <c r="B450" s="14">
        <f>NORM.S.INV(RAND())</f>
        <v/>
      </c>
      <c r="C450" s="14">
        <f>NORM.S.INV(RAND())</f>
        <v/>
      </c>
      <c r="D450" s="15">
        <f>IF('组合输入'!$C2="","",'组合输入'!$H2*$B450+SQRT(1-'组合输入'!$H2^2)*C450)</f>
        <v/>
      </c>
      <c r="E450" s="7">
        <f>IF(D450="","",NORM.S.DIST(D450,TRUE))</f>
        <v/>
      </c>
      <c r="F450" s="13">
        <f>IF(E450="","",IF(E450&lt;='组合输入'!$K2,"AAA",IF(E450&lt;='组合输入'!$L2,"AA",IF(E450&lt;='组合输入'!$M2,"A",IF(E450&lt;='组合输入'!$N2,"BBB",IF(E450&lt;='组合输入'!$O2,"BB",IF(E450&lt;='组合输入'!$P2,"B",IF(E450&lt;='组合输入'!$Q2,"CCC","D")))))))</f>
        <v/>
      </c>
      <c r="G450" s="12">
        <f>IF(F450="","",INDEX('状态价值'!$D2:$K2,MATCH(F450,'状态价值'!$D$1:$K$1,0)))</f>
        <v/>
      </c>
      <c r="H450" s="15">
        <f>NORM.S.INV(RAND())</f>
        <v/>
      </c>
      <c r="I450" s="15">
        <f>IF('组合输入'!$C3="","",'组合输入'!$H3*$B450+SQRT(1-'组合输入'!$H3^2)*H450)</f>
        <v/>
      </c>
      <c r="J450" s="7">
        <f>IF(I450="","",NORM.S.DIST(I450,TRUE))</f>
        <v/>
      </c>
      <c r="K450" s="13">
        <f>IF(J450="","",IF(J450&lt;='组合输入'!$K3,"AAA",IF(J450&lt;='组合输入'!$L3,"AA",IF(J450&lt;='组合输入'!$M3,"A",IF(J450&lt;='组合输入'!$N3,"BBB",IF(J450&lt;='组合输入'!$O3,"BB",IF(J450&lt;='组合输入'!$P3,"B",IF(J450&lt;='组合输入'!$Q3,"CCC","D")))))))</f>
        <v/>
      </c>
      <c r="L450" s="12">
        <f>IF(K450="","",INDEX('状态价值'!$D3:$K3,MATCH(K450,'状态价值'!$D$1:$K$1,0)))</f>
        <v/>
      </c>
      <c r="M450" s="15">
        <f>NORM.S.INV(RAND())</f>
        <v/>
      </c>
      <c r="N450" s="15">
        <f>IF('组合输入'!$C4="","",'组合输入'!$H4*$B450+SQRT(1-'组合输入'!$H4^2)*M450)</f>
        <v/>
      </c>
      <c r="O450" s="7">
        <f>IF(N450="","",NORM.S.DIST(N450,TRUE))</f>
        <v/>
      </c>
      <c r="P450" s="13">
        <f>IF(O450="","",IF(O450&lt;='组合输入'!$K4,"AAA",IF(O450&lt;='组合输入'!$L4,"AA",IF(O450&lt;='组合输入'!$M4,"A",IF(O450&lt;='组合输入'!$N4,"BBB",IF(O450&lt;='组合输入'!$O4,"BB",IF(O450&lt;='组合输入'!$P4,"B",IF(O450&lt;='组合输入'!$Q4,"CCC","D")))))))</f>
        <v/>
      </c>
      <c r="Q450" s="12">
        <f>IF(P450="","",INDEX('状态价值'!$D4:$K4,MATCH(P450,'状态价值'!$D$1:$K$1,0)))</f>
        <v/>
      </c>
      <c r="R450" s="15">
        <f>NORM.S.INV(RAND())</f>
        <v/>
      </c>
      <c r="S450" s="15">
        <f>IF('组合输入'!$C5="","",'组合输入'!$H5*$B450+SQRT(1-'组合输入'!$H5^2)*R450)</f>
        <v/>
      </c>
      <c r="T450" s="7">
        <f>IF(S450="","",NORM.S.DIST(S450,TRUE))</f>
        <v/>
      </c>
      <c r="U450" s="13">
        <f>IF(T450="","",IF(T450&lt;='组合输入'!$K5,"AAA",IF(T450&lt;='组合输入'!$L5,"AA",IF(T450&lt;='组合输入'!$M5,"A",IF(T450&lt;='组合输入'!$N5,"BBB",IF(T450&lt;='组合输入'!$O5,"BB",IF(T450&lt;='组合输入'!$P5,"B",IF(T450&lt;='组合输入'!$Q5,"CCC","D")))))))</f>
        <v/>
      </c>
      <c r="V450" s="12">
        <f>IF(U450="","",INDEX('状态价值'!$D5:$K5,MATCH(U450,'状态价值'!$D$1:$K$1,0)))</f>
        <v/>
      </c>
      <c r="W450" s="15">
        <f>NORM.S.INV(RAND())</f>
        <v/>
      </c>
      <c r="X450" s="15">
        <f>IF('组合输入'!$C6="","",'组合输入'!$H6*$B450+SQRT(1-'组合输入'!$H6^2)*W450)</f>
        <v/>
      </c>
      <c r="Y450" s="7">
        <f>IF(X450="","",NORM.S.DIST(X450,TRUE))</f>
        <v/>
      </c>
      <c r="Z450" s="13">
        <f>IF(Y450="","",IF(Y450&lt;='组合输入'!$K6,"AAA",IF(Y450&lt;='组合输入'!$L6,"AA",IF(Y450&lt;='组合输入'!$M6,"A",IF(Y450&lt;='组合输入'!$N6,"BBB",IF(Y450&lt;='组合输入'!$O6,"BB",IF(Y450&lt;='组合输入'!$P6,"B",IF(Y450&lt;='组合输入'!$Q6,"CCC","D")))))))</f>
        <v/>
      </c>
      <c r="AA450" s="12">
        <f>IF(Z450="","",INDEX('状态价值'!$D6:$K6,MATCH(Z450,'状态价值'!$D$1:$K$1,0)))</f>
        <v/>
      </c>
      <c r="AB450" s="15">
        <f>NORM.S.INV(RAND())</f>
        <v/>
      </c>
      <c r="AC450" s="15">
        <f>IF('组合输入'!$C7="","",'组合输入'!$H7*$B450+SQRT(1-'组合输入'!$H7^2)*AB450)</f>
        <v/>
      </c>
      <c r="AD450" s="7">
        <f>IF(AC450="","",NORM.S.DIST(AC450,TRUE))</f>
        <v/>
      </c>
      <c r="AE450" s="13">
        <f>IF(AD450="","",IF(AD450&lt;='组合输入'!$K7,"AAA",IF(AD450&lt;='组合输入'!$L7,"AA",IF(AD450&lt;='组合输入'!$M7,"A",IF(AD450&lt;='组合输入'!$N7,"BBB",IF(AD450&lt;='组合输入'!$O7,"BB",IF(AD450&lt;='组合输入'!$P7,"B",IF(AD450&lt;='组合输入'!$Q7,"CCC","D")))))))</f>
        <v/>
      </c>
      <c r="AF450" s="12">
        <f>IF(AE450="","",INDEX('状态价值'!$D7:$K7,MATCH(AE450,'状态价值'!$D$1:$K$1,0)))</f>
        <v/>
      </c>
      <c r="AG450" s="15">
        <f>NORM.S.INV(RAND())</f>
        <v/>
      </c>
      <c r="AH450" s="15">
        <f>IF('组合输入'!$C8="","",'组合输入'!$H8*$B450+SQRT(1-'组合输入'!$H8^2)*AG450)</f>
        <v/>
      </c>
      <c r="AI450" s="7">
        <f>IF(AH450="","",NORM.S.DIST(AH450,TRUE))</f>
        <v/>
      </c>
      <c r="AJ450" s="13">
        <f>IF(AI450="","",IF(AI450&lt;='组合输入'!$K8,"AAA",IF(AI450&lt;='组合输入'!$L8,"AA",IF(AI450&lt;='组合输入'!$M8,"A",IF(AI450&lt;='组合输入'!$N8,"BBB",IF(AI450&lt;='组合输入'!$O8,"BB",IF(AI450&lt;='组合输入'!$P8,"B",IF(AI450&lt;='组合输入'!$Q8,"CCC","D")))))))</f>
        <v/>
      </c>
      <c r="AK450" s="12">
        <f>IF(AJ450="","",INDEX('状态价值'!$D8:$K8,MATCH(AJ450,'状态价值'!$D$1:$K$1,0)))</f>
        <v/>
      </c>
      <c r="AL450" s="15">
        <f>NORM.S.INV(RAND())</f>
        <v/>
      </c>
      <c r="AM450" s="15">
        <f>IF('组合输入'!$C9="","",'组合输入'!$H9*$B450+SQRT(1-'组合输入'!$H9^2)*AL450)</f>
        <v/>
      </c>
      <c r="AN450" s="7">
        <f>IF(AM450="","",NORM.S.DIST(AM450,TRUE))</f>
        <v/>
      </c>
      <c r="AO450" s="13">
        <f>IF(AN450="","",IF(AN450&lt;='组合输入'!$K9,"AAA",IF(AN450&lt;='组合输入'!$L9,"AA",IF(AN450&lt;='组合输入'!$M9,"A",IF(AN450&lt;='组合输入'!$N9,"BBB",IF(AN450&lt;='组合输入'!$O9,"BB",IF(AN450&lt;='组合输入'!$P9,"B",IF(AN450&lt;='组合输入'!$Q9,"CCC","D")))))))</f>
        <v/>
      </c>
      <c r="AP450" s="12">
        <f>IF(AO450="","",INDEX('状态价值'!$D9:$K9,MATCH(AO450,'状态价值'!$D$1:$K$1,0)))</f>
        <v/>
      </c>
      <c r="AQ450" s="15">
        <f>NORM.S.INV(RAND())</f>
        <v/>
      </c>
      <c r="AR450" s="15">
        <f>IF('组合输入'!$C10="","",'组合输入'!$H10*$B450+SQRT(1-'组合输入'!$H10^2)*AQ450)</f>
        <v/>
      </c>
      <c r="AS450" s="7">
        <f>IF(AR450="","",NORM.S.DIST(AR450,TRUE))</f>
        <v/>
      </c>
      <c r="AT450" s="13">
        <f>IF(AS450="","",IF(AS450&lt;='组合输入'!$K10,"AAA",IF(AS450&lt;='组合输入'!$L10,"AA",IF(AS450&lt;='组合输入'!$M10,"A",IF(AS450&lt;='组合输入'!$N10,"BBB",IF(AS450&lt;='组合输入'!$O10,"BB",IF(AS450&lt;='组合输入'!$P10,"B",IF(AS450&lt;='组合输入'!$Q10,"CCC","D")))))))</f>
        <v/>
      </c>
      <c r="AU450" s="12">
        <f>IF(AT450="","",INDEX('状态价值'!$D10:$K10,MATCH(AT450,'状态价值'!$D$1:$K$1,0)))</f>
        <v/>
      </c>
      <c r="AV450" s="15">
        <f>NORM.S.INV(RAND())</f>
        <v/>
      </c>
      <c r="AW450" s="15">
        <f>IF('组合输入'!$C11="","",'组合输入'!$H11*$B450+SQRT(1-'组合输入'!$H11^2)*AV450)</f>
        <v/>
      </c>
      <c r="AX450" s="7">
        <f>IF(AW450="","",NORM.S.DIST(AW450,TRUE))</f>
        <v/>
      </c>
      <c r="AY450" s="13">
        <f>IF(AX450="","",IF(AX450&lt;='组合输入'!$K11,"AAA",IF(AX450&lt;='组合输入'!$L11,"AA",IF(AX450&lt;='组合输入'!$M11,"A",IF(AX450&lt;='组合输入'!$N11,"BBB",IF(AX450&lt;='组合输入'!$O11,"BB",IF(AX450&lt;='组合输入'!$P11,"B",IF(AX450&lt;='组合输入'!$Q11,"CCC","D")))))))</f>
        <v/>
      </c>
      <c r="AZ450" s="12">
        <f>IF(AY450="","",INDEX('状态价值'!$D11:$K11,MATCH(AY450,'状态价值'!$D$1:$K$1,0)))</f>
        <v/>
      </c>
      <c r="BA450" s="12">
        <f>G450+L450+Q450+V450+AA450+AF450+AK450+AP450+AU450+AZ450</f>
        <v/>
      </c>
      <c r="BB450" s="12">
        <f>SUM('组合输入'!$J$2:$J$11)-BA450</f>
        <v/>
      </c>
    </row>
    <row r="451">
      <c r="A451" s="11" t="n">
        <v>450</v>
      </c>
      <c r="B451" s="14">
        <f>NORM.S.INV(RAND())</f>
        <v/>
      </c>
      <c r="C451" s="14">
        <f>NORM.S.INV(RAND())</f>
        <v/>
      </c>
      <c r="D451" s="15">
        <f>IF('组合输入'!$C2="","",'组合输入'!$H2*$B451+SQRT(1-'组合输入'!$H2^2)*C451)</f>
        <v/>
      </c>
      <c r="E451" s="7">
        <f>IF(D451="","",NORM.S.DIST(D451,TRUE))</f>
        <v/>
      </c>
      <c r="F451" s="13">
        <f>IF(E451="","",IF(E451&lt;='组合输入'!$K2,"AAA",IF(E451&lt;='组合输入'!$L2,"AA",IF(E451&lt;='组合输入'!$M2,"A",IF(E451&lt;='组合输入'!$N2,"BBB",IF(E451&lt;='组合输入'!$O2,"BB",IF(E451&lt;='组合输入'!$P2,"B",IF(E451&lt;='组合输入'!$Q2,"CCC","D")))))))</f>
        <v/>
      </c>
      <c r="G451" s="12">
        <f>IF(F451="","",INDEX('状态价值'!$D2:$K2,MATCH(F451,'状态价值'!$D$1:$K$1,0)))</f>
        <v/>
      </c>
      <c r="H451" s="15">
        <f>NORM.S.INV(RAND())</f>
        <v/>
      </c>
      <c r="I451" s="15">
        <f>IF('组合输入'!$C3="","",'组合输入'!$H3*$B451+SQRT(1-'组合输入'!$H3^2)*H451)</f>
        <v/>
      </c>
      <c r="J451" s="7">
        <f>IF(I451="","",NORM.S.DIST(I451,TRUE))</f>
        <v/>
      </c>
      <c r="K451" s="13">
        <f>IF(J451="","",IF(J451&lt;='组合输入'!$K3,"AAA",IF(J451&lt;='组合输入'!$L3,"AA",IF(J451&lt;='组合输入'!$M3,"A",IF(J451&lt;='组合输入'!$N3,"BBB",IF(J451&lt;='组合输入'!$O3,"BB",IF(J451&lt;='组合输入'!$P3,"B",IF(J451&lt;='组合输入'!$Q3,"CCC","D")))))))</f>
        <v/>
      </c>
      <c r="L451" s="12">
        <f>IF(K451="","",INDEX('状态价值'!$D3:$K3,MATCH(K451,'状态价值'!$D$1:$K$1,0)))</f>
        <v/>
      </c>
      <c r="M451" s="15">
        <f>NORM.S.INV(RAND())</f>
        <v/>
      </c>
      <c r="N451" s="15">
        <f>IF('组合输入'!$C4="","",'组合输入'!$H4*$B451+SQRT(1-'组合输入'!$H4^2)*M451)</f>
        <v/>
      </c>
      <c r="O451" s="7">
        <f>IF(N451="","",NORM.S.DIST(N451,TRUE))</f>
        <v/>
      </c>
      <c r="P451" s="13">
        <f>IF(O451="","",IF(O451&lt;='组合输入'!$K4,"AAA",IF(O451&lt;='组合输入'!$L4,"AA",IF(O451&lt;='组合输入'!$M4,"A",IF(O451&lt;='组合输入'!$N4,"BBB",IF(O451&lt;='组合输入'!$O4,"BB",IF(O451&lt;='组合输入'!$P4,"B",IF(O451&lt;='组合输入'!$Q4,"CCC","D")))))))</f>
        <v/>
      </c>
      <c r="Q451" s="12">
        <f>IF(P451="","",INDEX('状态价值'!$D4:$K4,MATCH(P451,'状态价值'!$D$1:$K$1,0)))</f>
        <v/>
      </c>
      <c r="R451" s="15">
        <f>NORM.S.INV(RAND())</f>
        <v/>
      </c>
      <c r="S451" s="15">
        <f>IF('组合输入'!$C5="","",'组合输入'!$H5*$B451+SQRT(1-'组合输入'!$H5^2)*R451)</f>
        <v/>
      </c>
      <c r="T451" s="7">
        <f>IF(S451="","",NORM.S.DIST(S451,TRUE))</f>
        <v/>
      </c>
      <c r="U451" s="13">
        <f>IF(T451="","",IF(T451&lt;='组合输入'!$K5,"AAA",IF(T451&lt;='组合输入'!$L5,"AA",IF(T451&lt;='组合输入'!$M5,"A",IF(T451&lt;='组合输入'!$N5,"BBB",IF(T451&lt;='组合输入'!$O5,"BB",IF(T451&lt;='组合输入'!$P5,"B",IF(T451&lt;='组合输入'!$Q5,"CCC","D")))))))</f>
        <v/>
      </c>
      <c r="V451" s="12">
        <f>IF(U451="","",INDEX('状态价值'!$D5:$K5,MATCH(U451,'状态价值'!$D$1:$K$1,0)))</f>
        <v/>
      </c>
      <c r="W451" s="15">
        <f>NORM.S.INV(RAND())</f>
        <v/>
      </c>
      <c r="X451" s="15">
        <f>IF('组合输入'!$C6="","",'组合输入'!$H6*$B451+SQRT(1-'组合输入'!$H6^2)*W451)</f>
        <v/>
      </c>
      <c r="Y451" s="7">
        <f>IF(X451="","",NORM.S.DIST(X451,TRUE))</f>
        <v/>
      </c>
      <c r="Z451" s="13">
        <f>IF(Y451="","",IF(Y451&lt;='组合输入'!$K6,"AAA",IF(Y451&lt;='组合输入'!$L6,"AA",IF(Y451&lt;='组合输入'!$M6,"A",IF(Y451&lt;='组合输入'!$N6,"BBB",IF(Y451&lt;='组合输入'!$O6,"BB",IF(Y451&lt;='组合输入'!$P6,"B",IF(Y451&lt;='组合输入'!$Q6,"CCC","D")))))))</f>
        <v/>
      </c>
      <c r="AA451" s="12">
        <f>IF(Z451="","",INDEX('状态价值'!$D6:$K6,MATCH(Z451,'状态价值'!$D$1:$K$1,0)))</f>
        <v/>
      </c>
      <c r="AB451" s="15">
        <f>NORM.S.INV(RAND())</f>
        <v/>
      </c>
      <c r="AC451" s="15">
        <f>IF('组合输入'!$C7="","",'组合输入'!$H7*$B451+SQRT(1-'组合输入'!$H7^2)*AB451)</f>
        <v/>
      </c>
      <c r="AD451" s="7">
        <f>IF(AC451="","",NORM.S.DIST(AC451,TRUE))</f>
        <v/>
      </c>
      <c r="AE451" s="13">
        <f>IF(AD451="","",IF(AD451&lt;='组合输入'!$K7,"AAA",IF(AD451&lt;='组合输入'!$L7,"AA",IF(AD451&lt;='组合输入'!$M7,"A",IF(AD451&lt;='组合输入'!$N7,"BBB",IF(AD451&lt;='组合输入'!$O7,"BB",IF(AD451&lt;='组合输入'!$P7,"B",IF(AD451&lt;='组合输入'!$Q7,"CCC","D")))))))</f>
        <v/>
      </c>
      <c r="AF451" s="12">
        <f>IF(AE451="","",INDEX('状态价值'!$D7:$K7,MATCH(AE451,'状态价值'!$D$1:$K$1,0)))</f>
        <v/>
      </c>
      <c r="AG451" s="15">
        <f>NORM.S.INV(RAND())</f>
        <v/>
      </c>
      <c r="AH451" s="15">
        <f>IF('组合输入'!$C8="","",'组合输入'!$H8*$B451+SQRT(1-'组合输入'!$H8^2)*AG451)</f>
        <v/>
      </c>
      <c r="AI451" s="7">
        <f>IF(AH451="","",NORM.S.DIST(AH451,TRUE))</f>
        <v/>
      </c>
      <c r="AJ451" s="13">
        <f>IF(AI451="","",IF(AI451&lt;='组合输入'!$K8,"AAA",IF(AI451&lt;='组合输入'!$L8,"AA",IF(AI451&lt;='组合输入'!$M8,"A",IF(AI451&lt;='组合输入'!$N8,"BBB",IF(AI451&lt;='组合输入'!$O8,"BB",IF(AI451&lt;='组合输入'!$P8,"B",IF(AI451&lt;='组合输入'!$Q8,"CCC","D")))))))</f>
        <v/>
      </c>
      <c r="AK451" s="12">
        <f>IF(AJ451="","",INDEX('状态价值'!$D8:$K8,MATCH(AJ451,'状态价值'!$D$1:$K$1,0)))</f>
        <v/>
      </c>
      <c r="AL451" s="15">
        <f>NORM.S.INV(RAND())</f>
        <v/>
      </c>
      <c r="AM451" s="15">
        <f>IF('组合输入'!$C9="","",'组合输入'!$H9*$B451+SQRT(1-'组合输入'!$H9^2)*AL451)</f>
        <v/>
      </c>
      <c r="AN451" s="7">
        <f>IF(AM451="","",NORM.S.DIST(AM451,TRUE))</f>
        <v/>
      </c>
      <c r="AO451" s="13">
        <f>IF(AN451="","",IF(AN451&lt;='组合输入'!$K9,"AAA",IF(AN451&lt;='组合输入'!$L9,"AA",IF(AN451&lt;='组合输入'!$M9,"A",IF(AN451&lt;='组合输入'!$N9,"BBB",IF(AN451&lt;='组合输入'!$O9,"BB",IF(AN451&lt;='组合输入'!$P9,"B",IF(AN451&lt;='组合输入'!$Q9,"CCC","D")))))))</f>
        <v/>
      </c>
      <c r="AP451" s="12">
        <f>IF(AO451="","",INDEX('状态价值'!$D9:$K9,MATCH(AO451,'状态价值'!$D$1:$K$1,0)))</f>
        <v/>
      </c>
      <c r="AQ451" s="15">
        <f>NORM.S.INV(RAND())</f>
        <v/>
      </c>
      <c r="AR451" s="15">
        <f>IF('组合输入'!$C10="","",'组合输入'!$H10*$B451+SQRT(1-'组合输入'!$H10^2)*AQ451)</f>
        <v/>
      </c>
      <c r="AS451" s="7">
        <f>IF(AR451="","",NORM.S.DIST(AR451,TRUE))</f>
        <v/>
      </c>
      <c r="AT451" s="13">
        <f>IF(AS451="","",IF(AS451&lt;='组合输入'!$K10,"AAA",IF(AS451&lt;='组合输入'!$L10,"AA",IF(AS451&lt;='组合输入'!$M10,"A",IF(AS451&lt;='组合输入'!$N10,"BBB",IF(AS451&lt;='组合输入'!$O10,"BB",IF(AS451&lt;='组合输入'!$P10,"B",IF(AS451&lt;='组合输入'!$Q10,"CCC","D")))))))</f>
        <v/>
      </c>
      <c r="AU451" s="12">
        <f>IF(AT451="","",INDEX('状态价值'!$D10:$K10,MATCH(AT451,'状态价值'!$D$1:$K$1,0)))</f>
        <v/>
      </c>
      <c r="AV451" s="15">
        <f>NORM.S.INV(RAND())</f>
        <v/>
      </c>
      <c r="AW451" s="15">
        <f>IF('组合输入'!$C11="","",'组合输入'!$H11*$B451+SQRT(1-'组合输入'!$H11^2)*AV451)</f>
        <v/>
      </c>
      <c r="AX451" s="7">
        <f>IF(AW451="","",NORM.S.DIST(AW451,TRUE))</f>
        <v/>
      </c>
      <c r="AY451" s="13">
        <f>IF(AX451="","",IF(AX451&lt;='组合输入'!$K11,"AAA",IF(AX451&lt;='组合输入'!$L11,"AA",IF(AX451&lt;='组合输入'!$M11,"A",IF(AX451&lt;='组合输入'!$N11,"BBB",IF(AX451&lt;='组合输入'!$O11,"BB",IF(AX451&lt;='组合输入'!$P11,"B",IF(AX451&lt;='组合输入'!$Q11,"CCC","D")))))))</f>
        <v/>
      </c>
      <c r="AZ451" s="12">
        <f>IF(AY451="","",INDEX('状态价值'!$D11:$K11,MATCH(AY451,'状态价值'!$D$1:$K$1,0)))</f>
        <v/>
      </c>
      <c r="BA451" s="12">
        <f>G451+L451+Q451+V451+AA451+AF451+AK451+AP451+AU451+AZ451</f>
        <v/>
      </c>
      <c r="BB451" s="12">
        <f>SUM('组合输入'!$J$2:$J$11)-BA451</f>
        <v/>
      </c>
    </row>
    <row r="452">
      <c r="A452" s="11" t="n">
        <v>451</v>
      </c>
      <c r="B452" s="14">
        <f>NORM.S.INV(RAND())</f>
        <v/>
      </c>
      <c r="C452" s="14">
        <f>NORM.S.INV(RAND())</f>
        <v/>
      </c>
      <c r="D452" s="15">
        <f>IF('组合输入'!$C2="","",'组合输入'!$H2*$B452+SQRT(1-'组合输入'!$H2^2)*C452)</f>
        <v/>
      </c>
      <c r="E452" s="7">
        <f>IF(D452="","",NORM.S.DIST(D452,TRUE))</f>
        <v/>
      </c>
      <c r="F452" s="13">
        <f>IF(E452="","",IF(E452&lt;='组合输入'!$K2,"AAA",IF(E452&lt;='组合输入'!$L2,"AA",IF(E452&lt;='组合输入'!$M2,"A",IF(E452&lt;='组合输入'!$N2,"BBB",IF(E452&lt;='组合输入'!$O2,"BB",IF(E452&lt;='组合输入'!$P2,"B",IF(E452&lt;='组合输入'!$Q2,"CCC","D")))))))</f>
        <v/>
      </c>
      <c r="G452" s="12">
        <f>IF(F452="","",INDEX('状态价值'!$D2:$K2,MATCH(F452,'状态价值'!$D$1:$K$1,0)))</f>
        <v/>
      </c>
      <c r="H452" s="15">
        <f>NORM.S.INV(RAND())</f>
        <v/>
      </c>
      <c r="I452" s="15">
        <f>IF('组合输入'!$C3="","",'组合输入'!$H3*$B452+SQRT(1-'组合输入'!$H3^2)*H452)</f>
        <v/>
      </c>
      <c r="J452" s="7">
        <f>IF(I452="","",NORM.S.DIST(I452,TRUE))</f>
        <v/>
      </c>
      <c r="K452" s="13">
        <f>IF(J452="","",IF(J452&lt;='组合输入'!$K3,"AAA",IF(J452&lt;='组合输入'!$L3,"AA",IF(J452&lt;='组合输入'!$M3,"A",IF(J452&lt;='组合输入'!$N3,"BBB",IF(J452&lt;='组合输入'!$O3,"BB",IF(J452&lt;='组合输入'!$P3,"B",IF(J452&lt;='组合输入'!$Q3,"CCC","D")))))))</f>
        <v/>
      </c>
      <c r="L452" s="12">
        <f>IF(K452="","",INDEX('状态价值'!$D3:$K3,MATCH(K452,'状态价值'!$D$1:$K$1,0)))</f>
        <v/>
      </c>
      <c r="M452" s="15">
        <f>NORM.S.INV(RAND())</f>
        <v/>
      </c>
      <c r="N452" s="15">
        <f>IF('组合输入'!$C4="","",'组合输入'!$H4*$B452+SQRT(1-'组合输入'!$H4^2)*M452)</f>
        <v/>
      </c>
      <c r="O452" s="7">
        <f>IF(N452="","",NORM.S.DIST(N452,TRUE))</f>
        <v/>
      </c>
      <c r="P452" s="13">
        <f>IF(O452="","",IF(O452&lt;='组合输入'!$K4,"AAA",IF(O452&lt;='组合输入'!$L4,"AA",IF(O452&lt;='组合输入'!$M4,"A",IF(O452&lt;='组合输入'!$N4,"BBB",IF(O452&lt;='组合输入'!$O4,"BB",IF(O452&lt;='组合输入'!$P4,"B",IF(O452&lt;='组合输入'!$Q4,"CCC","D")))))))</f>
        <v/>
      </c>
      <c r="Q452" s="12">
        <f>IF(P452="","",INDEX('状态价值'!$D4:$K4,MATCH(P452,'状态价值'!$D$1:$K$1,0)))</f>
        <v/>
      </c>
      <c r="R452" s="15">
        <f>NORM.S.INV(RAND())</f>
        <v/>
      </c>
      <c r="S452" s="15">
        <f>IF('组合输入'!$C5="","",'组合输入'!$H5*$B452+SQRT(1-'组合输入'!$H5^2)*R452)</f>
        <v/>
      </c>
      <c r="T452" s="7">
        <f>IF(S452="","",NORM.S.DIST(S452,TRUE))</f>
        <v/>
      </c>
      <c r="U452" s="13">
        <f>IF(T452="","",IF(T452&lt;='组合输入'!$K5,"AAA",IF(T452&lt;='组合输入'!$L5,"AA",IF(T452&lt;='组合输入'!$M5,"A",IF(T452&lt;='组合输入'!$N5,"BBB",IF(T452&lt;='组合输入'!$O5,"BB",IF(T452&lt;='组合输入'!$P5,"B",IF(T452&lt;='组合输入'!$Q5,"CCC","D")))))))</f>
        <v/>
      </c>
      <c r="V452" s="12">
        <f>IF(U452="","",INDEX('状态价值'!$D5:$K5,MATCH(U452,'状态价值'!$D$1:$K$1,0)))</f>
        <v/>
      </c>
      <c r="W452" s="15">
        <f>NORM.S.INV(RAND())</f>
        <v/>
      </c>
      <c r="X452" s="15">
        <f>IF('组合输入'!$C6="","",'组合输入'!$H6*$B452+SQRT(1-'组合输入'!$H6^2)*W452)</f>
        <v/>
      </c>
      <c r="Y452" s="7">
        <f>IF(X452="","",NORM.S.DIST(X452,TRUE))</f>
        <v/>
      </c>
      <c r="Z452" s="13">
        <f>IF(Y452="","",IF(Y452&lt;='组合输入'!$K6,"AAA",IF(Y452&lt;='组合输入'!$L6,"AA",IF(Y452&lt;='组合输入'!$M6,"A",IF(Y452&lt;='组合输入'!$N6,"BBB",IF(Y452&lt;='组合输入'!$O6,"BB",IF(Y452&lt;='组合输入'!$P6,"B",IF(Y452&lt;='组合输入'!$Q6,"CCC","D")))))))</f>
        <v/>
      </c>
      <c r="AA452" s="12">
        <f>IF(Z452="","",INDEX('状态价值'!$D6:$K6,MATCH(Z452,'状态价值'!$D$1:$K$1,0)))</f>
        <v/>
      </c>
      <c r="AB452" s="15">
        <f>NORM.S.INV(RAND())</f>
        <v/>
      </c>
      <c r="AC452" s="15">
        <f>IF('组合输入'!$C7="","",'组合输入'!$H7*$B452+SQRT(1-'组合输入'!$H7^2)*AB452)</f>
        <v/>
      </c>
      <c r="AD452" s="7">
        <f>IF(AC452="","",NORM.S.DIST(AC452,TRUE))</f>
        <v/>
      </c>
      <c r="AE452" s="13">
        <f>IF(AD452="","",IF(AD452&lt;='组合输入'!$K7,"AAA",IF(AD452&lt;='组合输入'!$L7,"AA",IF(AD452&lt;='组合输入'!$M7,"A",IF(AD452&lt;='组合输入'!$N7,"BBB",IF(AD452&lt;='组合输入'!$O7,"BB",IF(AD452&lt;='组合输入'!$P7,"B",IF(AD452&lt;='组合输入'!$Q7,"CCC","D")))))))</f>
        <v/>
      </c>
      <c r="AF452" s="12">
        <f>IF(AE452="","",INDEX('状态价值'!$D7:$K7,MATCH(AE452,'状态价值'!$D$1:$K$1,0)))</f>
        <v/>
      </c>
      <c r="AG452" s="15">
        <f>NORM.S.INV(RAND())</f>
        <v/>
      </c>
      <c r="AH452" s="15">
        <f>IF('组合输入'!$C8="","",'组合输入'!$H8*$B452+SQRT(1-'组合输入'!$H8^2)*AG452)</f>
        <v/>
      </c>
      <c r="AI452" s="7">
        <f>IF(AH452="","",NORM.S.DIST(AH452,TRUE))</f>
        <v/>
      </c>
      <c r="AJ452" s="13">
        <f>IF(AI452="","",IF(AI452&lt;='组合输入'!$K8,"AAA",IF(AI452&lt;='组合输入'!$L8,"AA",IF(AI452&lt;='组合输入'!$M8,"A",IF(AI452&lt;='组合输入'!$N8,"BBB",IF(AI452&lt;='组合输入'!$O8,"BB",IF(AI452&lt;='组合输入'!$P8,"B",IF(AI452&lt;='组合输入'!$Q8,"CCC","D")))))))</f>
        <v/>
      </c>
      <c r="AK452" s="12">
        <f>IF(AJ452="","",INDEX('状态价值'!$D8:$K8,MATCH(AJ452,'状态价值'!$D$1:$K$1,0)))</f>
        <v/>
      </c>
      <c r="AL452" s="15">
        <f>NORM.S.INV(RAND())</f>
        <v/>
      </c>
      <c r="AM452" s="15">
        <f>IF('组合输入'!$C9="","",'组合输入'!$H9*$B452+SQRT(1-'组合输入'!$H9^2)*AL452)</f>
        <v/>
      </c>
      <c r="AN452" s="7">
        <f>IF(AM452="","",NORM.S.DIST(AM452,TRUE))</f>
        <v/>
      </c>
      <c r="AO452" s="13">
        <f>IF(AN452="","",IF(AN452&lt;='组合输入'!$K9,"AAA",IF(AN452&lt;='组合输入'!$L9,"AA",IF(AN452&lt;='组合输入'!$M9,"A",IF(AN452&lt;='组合输入'!$N9,"BBB",IF(AN452&lt;='组合输入'!$O9,"BB",IF(AN452&lt;='组合输入'!$P9,"B",IF(AN452&lt;='组合输入'!$Q9,"CCC","D")))))))</f>
        <v/>
      </c>
      <c r="AP452" s="12">
        <f>IF(AO452="","",INDEX('状态价值'!$D9:$K9,MATCH(AO452,'状态价值'!$D$1:$K$1,0)))</f>
        <v/>
      </c>
      <c r="AQ452" s="15">
        <f>NORM.S.INV(RAND())</f>
        <v/>
      </c>
      <c r="AR452" s="15">
        <f>IF('组合输入'!$C10="","",'组合输入'!$H10*$B452+SQRT(1-'组合输入'!$H10^2)*AQ452)</f>
        <v/>
      </c>
      <c r="AS452" s="7">
        <f>IF(AR452="","",NORM.S.DIST(AR452,TRUE))</f>
        <v/>
      </c>
      <c r="AT452" s="13">
        <f>IF(AS452="","",IF(AS452&lt;='组合输入'!$K10,"AAA",IF(AS452&lt;='组合输入'!$L10,"AA",IF(AS452&lt;='组合输入'!$M10,"A",IF(AS452&lt;='组合输入'!$N10,"BBB",IF(AS452&lt;='组合输入'!$O10,"BB",IF(AS452&lt;='组合输入'!$P10,"B",IF(AS452&lt;='组合输入'!$Q10,"CCC","D")))))))</f>
        <v/>
      </c>
      <c r="AU452" s="12">
        <f>IF(AT452="","",INDEX('状态价值'!$D10:$K10,MATCH(AT452,'状态价值'!$D$1:$K$1,0)))</f>
        <v/>
      </c>
      <c r="AV452" s="15">
        <f>NORM.S.INV(RAND())</f>
        <v/>
      </c>
      <c r="AW452" s="15">
        <f>IF('组合输入'!$C11="","",'组合输入'!$H11*$B452+SQRT(1-'组合输入'!$H11^2)*AV452)</f>
        <v/>
      </c>
      <c r="AX452" s="7">
        <f>IF(AW452="","",NORM.S.DIST(AW452,TRUE))</f>
        <v/>
      </c>
      <c r="AY452" s="13">
        <f>IF(AX452="","",IF(AX452&lt;='组合输入'!$K11,"AAA",IF(AX452&lt;='组合输入'!$L11,"AA",IF(AX452&lt;='组合输入'!$M11,"A",IF(AX452&lt;='组合输入'!$N11,"BBB",IF(AX452&lt;='组合输入'!$O11,"BB",IF(AX452&lt;='组合输入'!$P11,"B",IF(AX452&lt;='组合输入'!$Q11,"CCC","D")))))))</f>
        <v/>
      </c>
      <c r="AZ452" s="12">
        <f>IF(AY452="","",INDEX('状态价值'!$D11:$K11,MATCH(AY452,'状态价值'!$D$1:$K$1,0)))</f>
        <v/>
      </c>
      <c r="BA452" s="12">
        <f>G452+L452+Q452+V452+AA452+AF452+AK452+AP452+AU452+AZ452</f>
        <v/>
      </c>
      <c r="BB452" s="12">
        <f>SUM('组合输入'!$J$2:$J$11)-BA452</f>
        <v/>
      </c>
    </row>
    <row r="453">
      <c r="A453" s="11" t="n">
        <v>452</v>
      </c>
      <c r="B453" s="14">
        <f>NORM.S.INV(RAND())</f>
        <v/>
      </c>
      <c r="C453" s="14">
        <f>NORM.S.INV(RAND())</f>
        <v/>
      </c>
      <c r="D453" s="15">
        <f>IF('组合输入'!$C2="","",'组合输入'!$H2*$B453+SQRT(1-'组合输入'!$H2^2)*C453)</f>
        <v/>
      </c>
      <c r="E453" s="7">
        <f>IF(D453="","",NORM.S.DIST(D453,TRUE))</f>
        <v/>
      </c>
      <c r="F453" s="13">
        <f>IF(E453="","",IF(E453&lt;='组合输入'!$K2,"AAA",IF(E453&lt;='组合输入'!$L2,"AA",IF(E453&lt;='组合输入'!$M2,"A",IF(E453&lt;='组合输入'!$N2,"BBB",IF(E453&lt;='组合输入'!$O2,"BB",IF(E453&lt;='组合输入'!$P2,"B",IF(E453&lt;='组合输入'!$Q2,"CCC","D")))))))</f>
        <v/>
      </c>
      <c r="G453" s="12">
        <f>IF(F453="","",INDEX('状态价值'!$D2:$K2,MATCH(F453,'状态价值'!$D$1:$K$1,0)))</f>
        <v/>
      </c>
      <c r="H453" s="15">
        <f>NORM.S.INV(RAND())</f>
        <v/>
      </c>
      <c r="I453" s="15">
        <f>IF('组合输入'!$C3="","",'组合输入'!$H3*$B453+SQRT(1-'组合输入'!$H3^2)*H453)</f>
        <v/>
      </c>
      <c r="J453" s="7">
        <f>IF(I453="","",NORM.S.DIST(I453,TRUE))</f>
        <v/>
      </c>
      <c r="K453" s="13">
        <f>IF(J453="","",IF(J453&lt;='组合输入'!$K3,"AAA",IF(J453&lt;='组合输入'!$L3,"AA",IF(J453&lt;='组合输入'!$M3,"A",IF(J453&lt;='组合输入'!$N3,"BBB",IF(J453&lt;='组合输入'!$O3,"BB",IF(J453&lt;='组合输入'!$P3,"B",IF(J453&lt;='组合输入'!$Q3,"CCC","D")))))))</f>
        <v/>
      </c>
      <c r="L453" s="12">
        <f>IF(K453="","",INDEX('状态价值'!$D3:$K3,MATCH(K453,'状态价值'!$D$1:$K$1,0)))</f>
        <v/>
      </c>
      <c r="M453" s="15">
        <f>NORM.S.INV(RAND())</f>
        <v/>
      </c>
      <c r="N453" s="15">
        <f>IF('组合输入'!$C4="","",'组合输入'!$H4*$B453+SQRT(1-'组合输入'!$H4^2)*M453)</f>
        <v/>
      </c>
      <c r="O453" s="7">
        <f>IF(N453="","",NORM.S.DIST(N453,TRUE))</f>
        <v/>
      </c>
      <c r="P453" s="13">
        <f>IF(O453="","",IF(O453&lt;='组合输入'!$K4,"AAA",IF(O453&lt;='组合输入'!$L4,"AA",IF(O453&lt;='组合输入'!$M4,"A",IF(O453&lt;='组合输入'!$N4,"BBB",IF(O453&lt;='组合输入'!$O4,"BB",IF(O453&lt;='组合输入'!$P4,"B",IF(O453&lt;='组合输入'!$Q4,"CCC","D")))))))</f>
        <v/>
      </c>
      <c r="Q453" s="12">
        <f>IF(P453="","",INDEX('状态价值'!$D4:$K4,MATCH(P453,'状态价值'!$D$1:$K$1,0)))</f>
        <v/>
      </c>
      <c r="R453" s="15">
        <f>NORM.S.INV(RAND())</f>
        <v/>
      </c>
      <c r="S453" s="15">
        <f>IF('组合输入'!$C5="","",'组合输入'!$H5*$B453+SQRT(1-'组合输入'!$H5^2)*R453)</f>
        <v/>
      </c>
      <c r="T453" s="7">
        <f>IF(S453="","",NORM.S.DIST(S453,TRUE))</f>
        <v/>
      </c>
      <c r="U453" s="13">
        <f>IF(T453="","",IF(T453&lt;='组合输入'!$K5,"AAA",IF(T453&lt;='组合输入'!$L5,"AA",IF(T453&lt;='组合输入'!$M5,"A",IF(T453&lt;='组合输入'!$N5,"BBB",IF(T453&lt;='组合输入'!$O5,"BB",IF(T453&lt;='组合输入'!$P5,"B",IF(T453&lt;='组合输入'!$Q5,"CCC","D")))))))</f>
        <v/>
      </c>
      <c r="V453" s="12">
        <f>IF(U453="","",INDEX('状态价值'!$D5:$K5,MATCH(U453,'状态价值'!$D$1:$K$1,0)))</f>
        <v/>
      </c>
      <c r="W453" s="15">
        <f>NORM.S.INV(RAND())</f>
        <v/>
      </c>
      <c r="X453" s="15">
        <f>IF('组合输入'!$C6="","",'组合输入'!$H6*$B453+SQRT(1-'组合输入'!$H6^2)*W453)</f>
        <v/>
      </c>
      <c r="Y453" s="7">
        <f>IF(X453="","",NORM.S.DIST(X453,TRUE))</f>
        <v/>
      </c>
      <c r="Z453" s="13">
        <f>IF(Y453="","",IF(Y453&lt;='组合输入'!$K6,"AAA",IF(Y453&lt;='组合输入'!$L6,"AA",IF(Y453&lt;='组合输入'!$M6,"A",IF(Y453&lt;='组合输入'!$N6,"BBB",IF(Y453&lt;='组合输入'!$O6,"BB",IF(Y453&lt;='组合输入'!$P6,"B",IF(Y453&lt;='组合输入'!$Q6,"CCC","D")))))))</f>
        <v/>
      </c>
      <c r="AA453" s="12">
        <f>IF(Z453="","",INDEX('状态价值'!$D6:$K6,MATCH(Z453,'状态价值'!$D$1:$K$1,0)))</f>
        <v/>
      </c>
      <c r="AB453" s="15">
        <f>NORM.S.INV(RAND())</f>
        <v/>
      </c>
      <c r="AC453" s="15">
        <f>IF('组合输入'!$C7="","",'组合输入'!$H7*$B453+SQRT(1-'组合输入'!$H7^2)*AB453)</f>
        <v/>
      </c>
      <c r="AD453" s="7">
        <f>IF(AC453="","",NORM.S.DIST(AC453,TRUE))</f>
        <v/>
      </c>
      <c r="AE453" s="13">
        <f>IF(AD453="","",IF(AD453&lt;='组合输入'!$K7,"AAA",IF(AD453&lt;='组合输入'!$L7,"AA",IF(AD453&lt;='组合输入'!$M7,"A",IF(AD453&lt;='组合输入'!$N7,"BBB",IF(AD453&lt;='组合输入'!$O7,"BB",IF(AD453&lt;='组合输入'!$P7,"B",IF(AD453&lt;='组合输入'!$Q7,"CCC","D")))))))</f>
        <v/>
      </c>
      <c r="AF453" s="12">
        <f>IF(AE453="","",INDEX('状态价值'!$D7:$K7,MATCH(AE453,'状态价值'!$D$1:$K$1,0)))</f>
        <v/>
      </c>
      <c r="AG453" s="15">
        <f>NORM.S.INV(RAND())</f>
        <v/>
      </c>
      <c r="AH453" s="15">
        <f>IF('组合输入'!$C8="","",'组合输入'!$H8*$B453+SQRT(1-'组合输入'!$H8^2)*AG453)</f>
        <v/>
      </c>
      <c r="AI453" s="7">
        <f>IF(AH453="","",NORM.S.DIST(AH453,TRUE))</f>
        <v/>
      </c>
      <c r="AJ453" s="13">
        <f>IF(AI453="","",IF(AI453&lt;='组合输入'!$K8,"AAA",IF(AI453&lt;='组合输入'!$L8,"AA",IF(AI453&lt;='组合输入'!$M8,"A",IF(AI453&lt;='组合输入'!$N8,"BBB",IF(AI453&lt;='组合输入'!$O8,"BB",IF(AI453&lt;='组合输入'!$P8,"B",IF(AI453&lt;='组合输入'!$Q8,"CCC","D")))))))</f>
        <v/>
      </c>
      <c r="AK453" s="12">
        <f>IF(AJ453="","",INDEX('状态价值'!$D8:$K8,MATCH(AJ453,'状态价值'!$D$1:$K$1,0)))</f>
        <v/>
      </c>
      <c r="AL453" s="15">
        <f>NORM.S.INV(RAND())</f>
        <v/>
      </c>
      <c r="AM453" s="15">
        <f>IF('组合输入'!$C9="","",'组合输入'!$H9*$B453+SQRT(1-'组合输入'!$H9^2)*AL453)</f>
        <v/>
      </c>
      <c r="AN453" s="7">
        <f>IF(AM453="","",NORM.S.DIST(AM453,TRUE))</f>
        <v/>
      </c>
      <c r="AO453" s="13">
        <f>IF(AN453="","",IF(AN453&lt;='组合输入'!$K9,"AAA",IF(AN453&lt;='组合输入'!$L9,"AA",IF(AN453&lt;='组合输入'!$M9,"A",IF(AN453&lt;='组合输入'!$N9,"BBB",IF(AN453&lt;='组合输入'!$O9,"BB",IF(AN453&lt;='组合输入'!$P9,"B",IF(AN453&lt;='组合输入'!$Q9,"CCC","D")))))))</f>
        <v/>
      </c>
      <c r="AP453" s="12">
        <f>IF(AO453="","",INDEX('状态价值'!$D9:$K9,MATCH(AO453,'状态价值'!$D$1:$K$1,0)))</f>
        <v/>
      </c>
      <c r="AQ453" s="15">
        <f>NORM.S.INV(RAND())</f>
        <v/>
      </c>
      <c r="AR453" s="15">
        <f>IF('组合输入'!$C10="","",'组合输入'!$H10*$B453+SQRT(1-'组合输入'!$H10^2)*AQ453)</f>
        <v/>
      </c>
      <c r="AS453" s="7">
        <f>IF(AR453="","",NORM.S.DIST(AR453,TRUE))</f>
        <v/>
      </c>
      <c r="AT453" s="13">
        <f>IF(AS453="","",IF(AS453&lt;='组合输入'!$K10,"AAA",IF(AS453&lt;='组合输入'!$L10,"AA",IF(AS453&lt;='组合输入'!$M10,"A",IF(AS453&lt;='组合输入'!$N10,"BBB",IF(AS453&lt;='组合输入'!$O10,"BB",IF(AS453&lt;='组合输入'!$P10,"B",IF(AS453&lt;='组合输入'!$Q10,"CCC","D")))))))</f>
        <v/>
      </c>
      <c r="AU453" s="12">
        <f>IF(AT453="","",INDEX('状态价值'!$D10:$K10,MATCH(AT453,'状态价值'!$D$1:$K$1,0)))</f>
        <v/>
      </c>
      <c r="AV453" s="15">
        <f>NORM.S.INV(RAND())</f>
        <v/>
      </c>
      <c r="AW453" s="15">
        <f>IF('组合输入'!$C11="","",'组合输入'!$H11*$B453+SQRT(1-'组合输入'!$H11^2)*AV453)</f>
        <v/>
      </c>
      <c r="AX453" s="7">
        <f>IF(AW453="","",NORM.S.DIST(AW453,TRUE))</f>
        <v/>
      </c>
      <c r="AY453" s="13">
        <f>IF(AX453="","",IF(AX453&lt;='组合输入'!$K11,"AAA",IF(AX453&lt;='组合输入'!$L11,"AA",IF(AX453&lt;='组合输入'!$M11,"A",IF(AX453&lt;='组合输入'!$N11,"BBB",IF(AX453&lt;='组合输入'!$O11,"BB",IF(AX453&lt;='组合输入'!$P11,"B",IF(AX453&lt;='组合输入'!$Q11,"CCC","D")))))))</f>
        <v/>
      </c>
      <c r="AZ453" s="12">
        <f>IF(AY453="","",INDEX('状态价值'!$D11:$K11,MATCH(AY453,'状态价值'!$D$1:$K$1,0)))</f>
        <v/>
      </c>
      <c r="BA453" s="12">
        <f>G453+L453+Q453+V453+AA453+AF453+AK453+AP453+AU453+AZ453</f>
        <v/>
      </c>
      <c r="BB453" s="12">
        <f>SUM('组合输入'!$J$2:$J$11)-BA453</f>
        <v/>
      </c>
    </row>
    <row r="454">
      <c r="A454" s="11" t="n">
        <v>453</v>
      </c>
      <c r="B454" s="14">
        <f>NORM.S.INV(RAND())</f>
        <v/>
      </c>
      <c r="C454" s="14">
        <f>NORM.S.INV(RAND())</f>
        <v/>
      </c>
      <c r="D454" s="15">
        <f>IF('组合输入'!$C2="","",'组合输入'!$H2*$B454+SQRT(1-'组合输入'!$H2^2)*C454)</f>
        <v/>
      </c>
      <c r="E454" s="7">
        <f>IF(D454="","",NORM.S.DIST(D454,TRUE))</f>
        <v/>
      </c>
      <c r="F454" s="13">
        <f>IF(E454="","",IF(E454&lt;='组合输入'!$K2,"AAA",IF(E454&lt;='组合输入'!$L2,"AA",IF(E454&lt;='组合输入'!$M2,"A",IF(E454&lt;='组合输入'!$N2,"BBB",IF(E454&lt;='组合输入'!$O2,"BB",IF(E454&lt;='组合输入'!$P2,"B",IF(E454&lt;='组合输入'!$Q2,"CCC","D")))))))</f>
        <v/>
      </c>
      <c r="G454" s="12">
        <f>IF(F454="","",INDEX('状态价值'!$D2:$K2,MATCH(F454,'状态价值'!$D$1:$K$1,0)))</f>
        <v/>
      </c>
      <c r="H454" s="15">
        <f>NORM.S.INV(RAND())</f>
        <v/>
      </c>
      <c r="I454" s="15">
        <f>IF('组合输入'!$C3="","",'组合输入'!$H3*$B454+SQRT(1-'组合输入'!$H3^2)*H454)</f>
        <v/>
      </c>
      <c r="J454" s="7">
        <f>IF(I454="","",NORM.S.DIST(I454,TRUE))</f>
        <v/>
      </c>
      <c r="K454" s="13">
        <f>IF(J454="","",IF(J454&lt;='组合输入'!$K3,"AAA",IF(J454&lt;='组合输入'!$L3,"AA",IF(J454&lt;='组合输入'!$M3,"A",IF(J454&lt;='组合输入'!$N3,"BBB",IF(J454&lt;='组合输入'!$O3,"BB",IF(J454&lt;='组合输入'!$P3,"B",IF(J454&lt;='组合输入'!$Q3,"CCC","D")))))))</f>
        <v/>
      </c>
      <c r="L454" s="12">
        <f>IF(K454="","",INDEX('状态价值'!$D3:$K3,MATCH(K454,'状态价值'!$D$1:$K$1,0)))</f>
        <v/>
      </c>
      <c r="M454" s="15">
        <f>NORM.S.INV(RAND())</f>
        <v/>
      </c>
      <c r="N454" s="15">
        <f>IF('组合输入'!$C4="","",'组合输入'!$H4*$B454+SQRT(1-'组合输入'!$H4^2)*M454)</f>
        <v/>
      </c>
      <c r="O454" s="7">
        <f>IF(N454="","",NORM.S.DIST(N454,TRUE))</f>
        <v/>
      </c>
      <c r="P454" s="13">
        <f>IF(O454="","",IF(O454&lt;='组合输入'!$K4,"AAA",IF(O454&lt;='组合输入'!$L4,"AA",IF(O454&lt;='组合输入'!$M4,"A",IF(O454&lt;='组合输入'!$N4,"BBB",IF(O454&lt;='组合输入'!$O4,"BB",IF(O454&lt;='组合输入'!$P4,"B",IF(O454&lt;='组合输入'!$Q4,"CCC","D")))))))</f>
        <v/>
      </c>
      <c r="Q454" s="12">
        <f>IF(P454="","",INDEX('状态价值'!$D4:$K4,MATCH(P454,'状态价值'!$D$1:$K$1,0)))</f>
        <v/>
      </c>
      <c r="R454" s="15">
        <f>NORM.S.INV(RAND())</f>
        <v/>
      </c>
      <c r="S454" s="15">
        <f>IF('组合输入'!$C5="","",'组合输入'!$H5*$B454+SQRT(1-'组合输入'!$H5^2)*R454)</f>
        <v/>
      </c>
      <c r="T454" s="7">
        <f>IF(S454="","",NORM.S.DIST(S454,TRUE))</f>
        <v/>
      </c>
      <c r="U454" s="13">
        <f>IF(T454="","",IF(T454&lt;='组合输入'!$K5,"AAA",IF(T454&lt;='组合输入'!$L5,"AA",IF(T454&lt;='组合输入'!$M5,"A",IF(T454&lt;='组合输入'!$N5,"BBB",IF(T454&lt;='组合输入'!$O5,"BB",IF(T454&lt;='组合输入'!$P5,"B",IF(T454&lt;='组合输入'!$Q5,"CCC","D")))))))</f>
        <v/>
      </c>
      <c r="V454" s="12">
        <f>IF(U454="","",INDEX('状态价值'!$D5:$K5,MATCH(U454,'状态价值'!$D$1:$K$1,0)))</f>
        <v/>
      </c>
      <c r="W454" s="15">
        <f>NORM.S.INV(RAND())</f>
        <v/>
      </c>
      <c r="X454" s="15">
        <f>IF('组合输入'!$C6="","",'组合输入'!$H6*$B454+SQRT(1-'组合输入'!$H6^2)*W454)</f>
        <v/>
      </c>
      <c r="Y454" s="7">
        <f>IF(X454="","",NORM.S.DIST(X454,TRUE))</f>
        <v/>
      </c>
      <c r="Z454" s="13">
        <f>IF(Y454="","",IF(Y454&lt;='组合输入'!$K6,"AAA",IF(Y454&lt;='组合输入'!$L6,"AA",IF(Y454&lt;='组合输入'!$M6,"A",IF(Y454&lt;='组合输入'!$N6,"BBB",IF(Y454&lt;='组合输入'!$O6,"BB",IF(Y454&lt;='组合输入'!$P6,"B",IF(Y454&lt;='组合输入'!$Q6,"CCC","D")))))))</f>
        <v/>
      </c>
      <c r="AA454" s="12">
        <f>IF(Z454="","",INDEX('状态价值'!$D6:$K6,MATCH(Z454,'状态价值'!$D$1:$K$1,0)))</f>
        <v/>
      </c>
      <c r="AB454" s="15">
        <f>NORM.S.INV(RAND())</f>
        <v/>
      </c>
      <c r="AC454" s="15">
        <f>IF('组合输入'!$C7="","",'组合输入'!$H7*$B454+SQRT(1-'组合输入'!$H7^2)*AB454)</f>
        <v/>
      </c>
      <c r="AD454" s="7">
        <f>IF(AC454="","",NORM.S.DIST(AC454,TRUE))</f>
        <v/>
      </c>
      <c r="AE454" s="13">
        <f>IF(AD454="","",IF(AD454&lt;='组合输入'!$K7,"AAA",IF(AD454&lt;='组合输入'!$L7,"AA",IF(AD454&lt;='组合输入'!$M7,"A",IF(AD454&lt;='组合输入'!$N7,"BBB",IF(AD454&lt;='组合输入'!$O7,"BB",IF(AD454&lt;='组合输入'!$P7,"B",IF(AD454&lt;='组合输入'!$Q7,"CCC","D")))))))</f>
        <v/>
      </c>
      <c r="AF454" s="12">
        <f>IF(AE454="","",INDEX('状态价值'!$D7:$K7,MATCH(AE454,'状态价值'!$D$1:$K$1,0)))</f>
        <v/>
      </c>
      <c r="AG454" s="15">
        <f>NORM.S.INV(RAND())</f>
        <v/>
      </c>
      <c r="AH454" s="15">
        <f>IF('组合输入'!$C8="","",'组合输入'!$H8*$B454+SQRT(1-'组合输入'!$H8^2)*AG454)</f>
        <v/>
      </c>
      <c r="AI454" s="7">
        <f>IF(AH454="","",NORM.S.DIST(AH454,TRUE))</f>
        <v/>
      </c>
      <c r="AJ454" s="13">
        <f>IF(AI454="","",IF(AI454&lt;='组合输入'!$K8,"AAA",IF(AI454&lt;='组合输入'!$L8,"AA",IF(AI454&lt;='组合输入'!$M8,"A",IF(AI454&lt;='组合输入'!$N8,"BBB",IF(AI454&lt;='组合输入'!$O8,"BB",IF(AI454&lt;='组合输入'!$P8,"B",IF(AI454&lt;='组合输入'!$Q8,"CCC","D")))))))</f>
        <v/>
      </c>
      <c r="AK454" s="12">
        <f>IF(AJ454="","",INDEX('状态价值'!$D8:$K8,MATCH(AJ454,'状态价值'!$D$1:$K$1,0)))</f>
        <v/>
      </c>
      <c r="AL454" s="15">
        <f>NORM.S.INV(RAND())</f>
        <v/>
      </c>
      <c r="AM454" s="15">
        <f>IF('组合输入'!$C9="","",'组合输入'!$H9*$B454+SQRT(1-'组合输入'!$H9^2)*AL454)</f>
        <v/>
      </c>
      <c r="AN454" s="7">
        <f>IF(AM454="","",NORM.S.DIST(AM454,TRUE))</f>
        <v/>
      </c>
      <c r="AO454" s="13">
        <f>IF(AN454="","",IF(AN454&lt;='组合输入'!$K9,"AAA",IF(AN454&lt;='组合输入'!$L9,"AA",IF(AN454&lt;='组合输入'!$M9,"A",IF(AN454&lt;='组合输入'!$N9,"BBB",IF(AN454&lt;='组合输入'!$O9,"BB",IF(AN454&lt;='组合输入'!$P9,"B",IF(AN454&lt;='组合输入'!$Q9,"CCC","D")))))))</f>
        <v/>
      </c>
      <c r="AP454" s="12">
        <f>IF(AO454="","",INDEX('状态价值'!$D9:$K9,MATCH(AO454,'状态价值'!$D$1:$K$1,0)))</f>
        <v/>
      </c>
      <c r="AQ454" s="15">
        <f>NORM.S.INV(RAND())</f>
        <v/>
      </c>
      <c r="AR454" s="15">
        <f>IF('组合输入'!$C10="","",'组合输入'!$H10*$B454+SQRT(1-'组合输入'!$H10^2)*AQ454)</f>
        <v/>
      </c>
      <c r="AS454" s="7">
        <f>IF(AR454="","",NORM.S.DIST(AR454,TRUE))</f>
        <v/>
      </c>
      <c r="AT454" s="13">
        <f>IF(AS454="","",IF(AS454&lt;='组合输入'!$K10,"AAA",IF(AS454&lt;='组合输入'!$L10,"AA",IF(AS454&lt;='组合输入'!$M10,"A",IF(AS454&lt;='组合输入'!$N10,"BBB",IF(AS454&lt;='组合输入'!$O10,"BB",IF(AS454&lt;='组合输入'!$P10,"B",IF(AS454&lt;='组合输入'!$Q10,"CCC","D")))))))</f>
        <v/>
      </c>
      <c r="AU454" s="12">
        <f>IF(AT454="","",INDEX('状态价值'!$D10:$K10,MATCH(AT454,'状态价值'!$D$1:$K$1,0)))</f>
        <v/>
      </c>
      <c r="AV454" s="15">
        <f>NORM.S.INV(RAND())</f>
        <v/>
      </c>
      <c r="AW454" s="15">
        <f>IF('组合输入'!$C11="","",'组合输入'!$H11*$B454+SQRT(1-'组合输入'!$H11^2)*AV454)</f>
        <v/>
      </c>
      <c r="AX454" s="7">
        <f>IF(AW454="","",NORM.S.DIST(AW454,TRUE))</f>
        <v/>
      </c>
      <c r="AY454" s="13">
        <f>IF(AX454="","",IF(AX454&lt;='组合输入'!$K11,"AAA",IF(AX454&lt;='组合输入'!$L11,"AA",IF(AX454&lt;='组合输入'!$M11,"A",IF(AX454&lt;='组合输入'!$N11,"BBB",IF(AX454&lt;='组合输入'!$O11,"BB",IF(AX454&lt;='组合输入'!$P11,"B",IF(AX454&lt;='组合输入'!$Q11,"CCC","D")))))))</f>
        <v/>
      </c>
      <c r="AZ454" s="12">
        <f>IF(AY454="","",INDEX('状态价值'!$D11:$K11,MATCH(AY454,'状态价值'!$D$1:$K$1,0)))</f>
        <v/>
      </c>
      <c r="BA454" s="12">
        <f>G454+L454+Q454+V454+AA454+AF454+AK454+AP454+AU454+AZ454</f>
        <v/>
      </c>
      <c r="BB454" s="12">
        <f>SUM('组合输入'!$J$2:$J$11)-BA454</f>
        <v/>
      </c>
    </row>
    <row r="455">
      <c r="A455" s="11" t="n">
        <v>454</v>
      </c>
      <c r="B455" s="14">
        <f>NORM.S.INV(RAND())</f>
        <v/>
      </c>
      <c r="C455" s="14">
        <f>NORM.S.INV(RAND())</f>
        <v/>
      </c>
      <c r="D455" s="15">
        <f>IF('组合输入'!$C2="","",'组合输入'!$H2*$B455+SQRT(1-'组合输入'!$H2^2)*C455)</f>
        <v/>
      </c>
      <c r="E455" s="7">
        <f>IF(D455="","",NORM.S.DIST(D455,TRUE))</f>
        <v/>
      </c>
      <c r="F455" s="13">
        <f>IF(E455="","",IF(E455&lt;='组合输入'!$K2,"AAA",IF(E455&lt;='组合输入'!$L2,"AA",IF(E455&lt;='组合输入'!$M2,"A",IF(E455&lt;='组合输入'!$N2,"BBB",IF(E455&lt;='组合输入'!$O2,"BB",IF(E455&lt;='组合输入'!$P2,"B",IF(E455&lt;='组合输入'!$Q2,"CCC","D")))))))</f>
        <v/>
      </c>
      <c r="G455" s="12">
        <f>IF(F455="","",INDEX('状态价值'!$D2:$K2,MATCH(F455,'状态价值'!$D$1:$K$1,0)))</f>
        <v/>
      </c>
      <c r="H455" s="15">
        <f>NORM.S.INV(RAND())</f>
        <v/>
      </c>
      <c r="I455" s="15">
        <f>IF('组合输入'!$C3="","",'组合输入'!$H3*$B455+SQRT(1-'组合输入'!$H3^2)*H455)</f>
        <v/>
      </c>
      <c r="J455" s="7">
        <f>IF(I455="","",NORM.S.DIST(I455,TRUE))</f>
        <v/>
      </c>
      <c r="K455" s="13">
        <f>IF(J455="","",IF(J455&lt;='组合输入'!$K3,"AAA",IF(J455&lt;='组合输入'!$L3,"AA",IF(J455&lt;='组合输入'!$M3,"A",IF(J455&lt;='组合输入'!$N3,"BBB",IF(J455&lt;='组合输入'!$O3,"BB",IF(J455&lt;='组合输入'!$P3,"B",IF(J455&lt;='组合输入'!$Q3,"CCC","D")))))))</f>
        <v/>
      </c>
      <c r="L455" s="12">
        <f>IF(K455="","",INDEX('状态价值'!$D3:$K3,MATCH(K455,'状态价值'!$D$1:$K$1,0)))</f>
        <v/>
      </c>
      <c r="M455" s="15">
        <f>NORM.S.INV(RAND())</f>
        <v/>
      </c>
      <c r="N455" s="15">
        <f>IF('组合输入'!$C4="","",'组合输入'!$H4*$B455+SQRT(1-'组合输入'!$H4^2)*M455)</f>
        <v/>
      </c>
      <c r="O455" s="7">
        <f>IF(N455="","",NORM.S.DIST(N455,TRUE))</f>
        <v/>
      </c>
      <c r="P455" s="13">
        <f>IF(O455="","",IF(O455&lt;='组合输入'!$K4,"AAA",IF(O455&lt;='组合输入'!$L4,"AA",IF(O455&lt;='组合输入'!$M4,"A",IF(O455&lt;='组合输入'!$N4,"BBB",IF(O455&lt;='组合输入'!$O4,"BB",IF(O455&lt;='组合输入'!$P4,"B",IF(O455&lt;='组合输入'!$Q4,"CCC","D")))))))</f>
        <v/>
      </c>
      <c r="Q455" s="12">
        <f>IF(P455="","",INDEX('状态价值'!$D4:$K4,MATCH(P455,'状态价值'!$D$1:$K$1,0)))</f>
        <v/>
      </c>
      <c r="R455" s="15">
        <f>NORM.S.INV(RAND())</f>
        <v/>
      </c>
      <c r="S455" s="15">
        <f>IF('组合输入'!$C5="","",'组合输入'!$H5*$B455+SQRT(1-'组合输入'!$H5^2)*R455)</f>
        <v/>
      </c>
      <c r="T455" s="7">
        <f>IF(S455="","",NORM.S.DIST(S455,TRUE))</f>
        <v/>
      </c>
      <c r="U455" s="13">
        <f>IF(T455="","",IF(T455&lt;='组合输入'!$K5,"AAA",IF(T455&lt;='组合输入'!$L5,"AA",IF(T455&lt;='组合输入'!$M5,"A",IF(T455&lt;='组合输入'!$N5,"BBB",IF(T455&lt;='组合输入'!$O5,"BB",IF(T455&lt;='组合输入'!$P5,"B",IF(T455&lt;='组合输入'!$Q5,"CCC","D")))))))</f>
        <v/>
      </c>
      <c r="V455" s="12">
        <f>IF(U455="","",INDEX('状态价值'!$D5:$K5,MATCH(U455,'状态价值'!$D$1:$K$1,0)))</f>
        <v/>
      </c>
      <c r="W455" s="15">
        <f>NORM.S.INV(RAND())</f>
        <v/>
      </c>
      <c r="X455" s="15">
        <f>IF('组合输入'!$C6="","",'组合输入'!$H6*$B455+SQRT(1-'组合输入'!$H6^2)*W455)</f>
        <v/>
      </c>
      <c r="Y455" s="7">
        <f>IF(X455="","",NORM.S.DIST(X455,TRUE))</f>
        <v/>
      </c>
      <c r="Z455" s="13">
        <f>IF(Y455="","",IF(Y455&lt;='组合输入'!$K6,"AAA",IF(Y455&lt;='组合输入'!$L6,"AA",IF(Y455&lt;='组合输入'!$M6,"A",IF(Y455&lt;='组合输入'!$N6,"BBB",IF(Y455&lt;='组合输入'!$O6,"BB",IF(Y455&lt;='组合输入'!$P6,"B",IF(Y455&lt;='组合输入'!$Q6,"CCC","D")))))))</f>
        <v/>
      </c>
      <c r="AA455" s="12">
        <f>IF(Z455="","",INDEX('状态价值'!$D6:$K6,MATCH(Z455,'状态价值'!$D$1:$K$1,0)))</f>
        <v/>
      </c>
      <c r="AB455" s="15">
        <f>NORM.S.INV(RAND())</f>
        <v/>
      </c>
      <c r="AC455" s="15">
        <f>IF('组合输入'!$C7="","",'组合输入'!$H7*$B455+SQRT(1-'组合输入'!$H7^2)*AB455)</f>
        <v/>
      </c>
      <c r="AD455" s="7">
        <f>IF(AC455="","",NORM.S.DIST(AC455,TRUE))</f>
        <v/>
      </c>
      <c r="AE455" s="13">
        <f>IF(AD455="","",IF(AD455&lt;='组合输入'!$K7,"AAA",IF(AD455&lt;='组合输入'!$L7,"AA",IF(AD455&lt;='组合输入'!$M7,"A",IF(AD455&lt;='组合输入'!$N7,"BBB",IF(AD455&lt;='组合输入'!$O7,"BB",IF(AD455&lt;='组合输入'!$P7,"B",IF(AD455&lt;='组合输入'!$Q7,"CCC","D")))))))</f>
        <v/>
      </c>
      <c r="AF455" s="12">
        <f>IF(AE455="","",INDEX('状态价值'!$D7:$K7,MATCH(AE455,'状态价值'!$D$1:$K$1,0)))</f>
        <v/>
      </c>
      <c r="AG455" s="15">
        <f>NORM.S.INV(RAND())</f>
        <v/>
      </c>
      <c r="AH455" s="15">
        <f>IF('组合输入'!$C8="","",'组合输入'!$H8*$B455+SQRT(1-'组合输入'!$H8^2)*AG455)</f>
        <v/>
      </c>
      <c r="AI455" s="7">
        <f>IF(AH455="","",NORM.S.DIST(AH455,TRUE))</f>
        <v/>
      </c>
      <c r="AJ455" s="13">
        <f>IF(AI455="","",IF(AI455&lt;='组合输入'!$K8,"AAA",IF(AI455&lt;='组合输入'!$L8,"AA",IF(AI455&lt;='组合输入'!$M8,"A",IF(AI455&lt;='组合输入'!$N8,"BBB",IF(AI455&lt;='组合输入'!$O8,"BB",IF(AI455&lt;='组合输入'!$P8,"B",IF(AI455&lt;='组合输入'!$Q8,"CCC","D")))))))</f>
        <v/>
      </c>
      <c r="AK455" s="12">
        <f>IF(AJ455="","",INDEX('状态价值'!$D8:$K8,MATCH(AJ455,'状态价值'!$D$1:$K$1,0)))</f>
        <v/>
      </c>
      <c r="AL455" s="15">
        <f>NORM.S.INV(RAND())</f>
        <v/>
      </c>
      <c r="AM455" s="15">
        <f>IF('组合输入'!$C9="","",'组合输入'!$H9*$B455+SQRT(1-'组合输入'!$H9^2)*AL455)</f>
        <v/>
      </c>
      <c r="AN455" s="7">
        <f>IF(AM455="","",NORM.S.DIST(AM455,TRUE))</f>
        <v/>
      </c>
      <c r="AO455" s="13">
        <f>IF(AN455="","",IF(AN455&lt;='组合输入'!$K9,"AAA",IF(AN455&lt;='组合输入'!$L9,"AA",IF(AN455&lt;='组合输入'!$M9,"A",IF(AN455&lt;='组合输入'!$N9,"BBB",IF(AN455&lt;='组合输入'!$O9,"BB",IF(AN455&lt;='组合输入'!$P9,"B",IF(AN455&lt;='组合输入'!$Q9,"CCC","D")))))))</f>
        <v/>
      </c>
      <c r="AP455" s="12">
        <f>IF(AO455="","",INDEX('状态价值'!$D9:$K9,MATCH(AO455,'状态价值'!$D$1:$K$1,0)))</f>
        <v/>
      </c>
      <c r="AQ455" s="15">
        <f>NORM.S.INV(RAND())</f>
        <v/>
      </c>
      <c r="AR455" s="15">
        <f>IF('组合输入'!$C10="","",'组合输入'!$H10*$B455+SQRT(1-'组合输入'!$H10^2)*AQ455)</f>
        <v/>
      </c>
      <c r="AS455" s="7">
        <f>IF(AR455="","",NORM.S.DIST(AR455,TRUE))</f>
        <v/>
      </c>
      <c r="AT455" s="13">
        <f>IF(AS455="","",IF(AS455&lt;='组合输入'!$K10,"AAA",IF(AS455&lt;='组合输入'!$L10,"AA",IF(AS455&lt;='组合输入'!$M10,"A",IF(AS455&lt;='组合输入'!$N10,"BBB",IF(AS455&lt;='组合输入'!$O10,"BB",IF(AS455&lt;='组合输入'!$P10,"B",IF(AS455&lt;='组合输入'!$Q10,"CCC","D")))))))</f>
        <v/>
      </c>
      <c r="AU455" s="12">
        <f>IF(AT455="","",INDEX('状态价值'!$D10:$K10,MATCH(AT455,'状态价值'!$D$1:$K$1,0)))</f>
        <v/>
      </c>
      <c r="AV455" s="15">
        <f>NORM.S.INV(RAND())</f>
        <v/>
      </c>
      <c r="AW455" s="15">
        <f>IF('组合输入'!$C11="","",'组合输入'!$H11*$B455+SQRT(1-'组合输入'!$H11^2)*AV455)</f>
        <v/>
      </c>
      <c r="AX455" s="7">
        <f>IF(AW455="","",NORM.S.DIST(AW455,TRUE))</f>
        <v/>
      </c>
      <c r="AY455" s="13">
        <f>IF(AX455="","",IF(AX455&lt;='组合输入'!$K11,"AAA",IF(AX455&lt;='组合输入'!$L11,"AA",IF(AX455&lt;='组合输入'!$M11,"A",IF(AX455&lt;='组合输入'!$N11,"BBB",IF(AX455&lt;='组合输入'!$O11,"BB",IF(AX455&lt;='组合输入'!$P11,"B",IF(AX455&lt;='组合输入'!$Q11,"CCC","D")))))))</f>
        <v/>
      </c>
      <c r="AZ455" s="12">
        <f>IF(AY455="","",INDEX('状态价值'!$D11:$K11,MATCH(AY455,'状态价值'!$D$1:$K$1,0)))</f>
        <v/>
      </c>
      <c r="BA455" s="12">
        <f>G455+L455+Q455+V455+AA455+AF455+AK455+AP455+AU455+AZ455</f>
        <v/>
      </c>
      <c r="BB455" s="12">
        <f>SUM('组合输入'!$J$2:$J$11)-BA455</f>
        <v/>
      </c>
    </row>
    <row r="456">
      <c r="A456" s="11" t="n">
        <v>455</v>
      </c>
      <c r="B456" s="14">
        <f>NORM.S.INV(RAND())</f>
        <v/>
      </c>
      <c r="C456" s="14">
        <f>NORM.S.INV(RAND())</f>
        <v/>
      </c>
      <c r="D456" s="15">
        <f>IF('组合输入'!$C2="","",'组合输入'!$H2*$B456+SQRT(1-'组合输入'!$H2^2)*C456)</f>
        <v/>
      </c>
      <c r="E456" s="7">
        <f>IF(D456="","",NORM.S.DIST(D456,TRUE))</f>
        <v/>
      </c>
      <c r="F456" s="13">
        <f>IF(E456="","",IF(E456&lt;='组合输入'!$K2,"AAA",IF(E456&lt;='组合输入'!$L2,"AA",IF(E456&lt;='组合输入'!$M2,"A",IF(E456&lt;='组合输入'!$N2,"BBB",IF(E456&lt;='组合输入'!$O2,"BB",IF(E456&lt;='组合输入'!$P2,"B",IF(E456&lt;='组合输入'!$Q2,"CCC","D")))))))</f>
        <v/>
      </c>
      <c r="G456" s="12">
        <f>IF(F456="","",INDEX('状态价值'!$D2:$K2,MATCH(F456,'状态价值'!$D$1:$K$1,0)))</f>
        <v/>
      </c>
      <c r="H456" s="15">
        <f>NORM.S.INV(RAND())</f>
        <v/>
      </c>
      <c r="I456" s="15">
        <f>IF('组合输入'!$C3="","",'组合输入'!$H3*$B456+SQRT(1-'组合输入'!$H3^2)*H456)</f>
        <v/>
      </c>
      <c r="J456" s="7">
        <f>IF(I456="","",NORM.S.DIST(I456,TRUE))</f>
        <v/>
      </c>
      <c r="K456" s="13">
        <f>IF(J456="","",IF(J456&lt;='组合输入'!$K3,"AAA",IF(J456&lt;='组合输入'!$L3,"AA",IF(J456&lt;='组合输入'!$M3,"A",IF(J456&lt;='组合输入'!$N3,"BBB",IF(J456&lt;='组合输入'!$O3,"BB",IF(J456&lt;='组合输入'!$P3,"B",IF(J456&lt;='组合输入'!$Q3,"CCC","D")))))))</f>
        <v/>
      </c>
      <c r="L456" s="12">
        <f>IF(K456="","",INDEX('状态价值'!$D3:$K3,MATCH(K456,'状态价值'!$D$1:$K$1,0)))</f>
        <v/>
      </c>
      <c r="M456" s="15">
        <f>NORM.S.INV(RAND())</f>
        <v/>
      </c>
      <c r="N456" s="15">
        <f>IF('组合输入'!$C4="","",'组合输入'!$H4*$B456+SQRT(1-'组合输入'!$H4^2)*M456)</f>
        <v/>
      </c>
      <c r="O456" s="7">
        <f>IF(N456="","",NORM.S.DIST(N456,TRUE))</f>
        <v/>
      </c>
      <c r="P456" s="13">
        <f>IF(O456="","",IF(O456&lt;='组合输入'!$K4,"AAA",IF(O456&lt;='组合输入'!$L4,"AA",IF(O456&lt;='组合输入'!$M4,"A",IF(O456&lt;='组合输入'!$N4,"BBB",IF(O456&lt;='组合输入'!$O4,"BB",IF(O456&lt;='组合输入'!$P4,"B",IF(O456&lt;='组合输入'!$Q4,"CCC","D")))))))</f>
        <v/>
      </c>
      <c r="Q456" s="12">
        <f>IF(P456="","",INDEX('状态价值'!$D4:$K4,MATCH(P456,'状态价值'!$D$1:$K$1,0)))</f>
        <v/>
      </c>
      <c r="R456" s="15">
        <f>NORM.S.INV(RAND())</f>
        <v/>
      </c>
      <c r="S456" s="15">
        <f>IF('组合输入'!$C5="","",'组合输入'!$H5*$B456+SQRT(1-'组合输入'!$H5^2)*R456)</f>
        <v/>
      </c>
      <c r="T456" s="7">
        <f>IF(S456="","",NORM.S.DIST(S456,TRUE))</f>
        <v/>
      </c>
      <c r="U456" s="13">
        <f>IF(T456="","",IF(T456&lt;='组合输入'!$K5,"AAA",IF(T456&lt;='组合输入'!$L5,"AA",IF(T456&lt;='组合输入'!$M5,"A",IF(T456&lt;='组合输入'!$N5,"BBB",IF(T456&lt;='组合输入'!$O5,"BB",IF(T456&lt;='组合输入'!$P5,"B",IF(T456&lt;='组合输入'!$Q5,"CCC","D")))))))</f>
        <v/>
      </c>
      <c r="V456" s="12">
        <f>IF(U456="","",INDEX('状态价值'!$D5:$K5,MATCH(U456,'状态价值'!$D$1:$K$1,0)))</f>
        <v/>
      </c>
      <c r="W456" s="15">
        <f>NORM.S.INV(RAND())</f>
        <v/>
      </c>
      <c r="X456" s="15">
        <f>IF('组合输入'!$C6="","",'组合输入'!$H6*$B456+SQRT(1-'组合输入'!$H6^2)*W456)</f>
        <v/>
      </c>
      <c r="Y456" s="7">
        <f>IF(X456="","",NORM.S.DIST(X456,TRUE))</f>
        <v/>
      </c>
      <c r="Z456" s="13">
        <f>IF(Y456="","",IF(Y456&lt;='组合输入'!$K6,"AAA",IF(Y456&lt;='组合输入'!$L6,"AA",IF(Y456&lt;='组合输入'!$M6,"A",IF(Y456&lt;='组合输入'!$N6,"BBB",IF(Y456&lt;='组合输入'!$O6,"BB",IF(Y456&lt;='组合输入'!$P6,"B",IF(Y456&lt;='组合输入'!$Q6,"CCC","D")))))))</f>
        <v/>
      </c>
      <c r="AA456" s="12">
        <f>IF(Z456="","",INDEX('状态价值'!$D6:$K6,MATCH(Z456,'状态价值'!$D$1:$K$1,0)))</f>
        <v/>
      </c>
      <c r="AB456" s="15">
        <f>NORM.S.INV(RAND())</f>
        <v/>
      </c>
      <c r="AC456" s="15">
        <f>IF('组合输入'!$C7="","",'组合输入'!$H7*$B456+SQRT(1-'组合输入'!$H7^2)*AB456)</f>
        <v/>
      </c>
      <c r="AD456" s="7">
        <f>IF(AC456="","",NORM.S.DIST(AC456,TRUE))</f>
        <v/>
      </c>
      <c r="AE456" s="13">
        <f>IF(AD456="","",IF(AD456&lt;='组合输入'!$K7,"AAA",IF(AD456&lt;='组合输入'!$L7,"AA",IF(AD456&lt;='组合输入'!$M7,"A",IF(AD456&lt;='组合输入'!$N7,"BBB",IF(AD456&lt;='组合输入'!$O7,"BB",IF(AD456&lt;='组合输入'!$P7,"B",IF(AD456&lt;='组合输入'!$Q7,"CCC","D")))))))</f>
        <v/>
      </c>
      <c r="AF456" s="12">
        <f>IF(AE456="","",INDEX('状态价值'!$D7:$K7,MATCH(AE456,'状态价值'!$D$1:$K$1,0)))</f>
        <v/>
      </c>
      <c r="AG456" s="15">
        <f>NORM.S.INV(RAND())</f>
        <v/>
      </c>
      <c r="AH456" s="15">
        <f>IF('组合输入'!$C8="","",'组合输入'!$H8*$B456+SQRT(1-'组合输入'!$H8^2)*AG456)</f>
        <v/>
      </c>
      <c r="AI456" s="7">
        <f>IF(AH456="","",NORM.S.DIST(AH456,TRUE))</f>
        <v/>
      </c>
      <c r="AJ456" s="13">
        <f>IF(AI456="","",IF(AI456&lt;='组合输入'!$K8,"AAA",IF(AI456&lt;='组合输入'!$L8,"AA",IF(AI456&lt;='组合输入'!$M8,"A",IF(AI456&lt;='组合输入'!$N8,"BBB",IF(AI456&lt;='组合输入'!$O8,"BB",IF(AI456&lt;='组合输入'!$P8,"B",IF(AI456&lt;='组合输入'!$Q8,"CCC","D")))))))</f>
        <v/>
      </c>
      <c r="AK456" s="12">
        <f>IF(AJ456="","",INDEX('状态价值'!$D8:$K8,MATCH(AJ456,'状态价值'!$D$1:$K$1,0)))</f>
        <v/>
      </c>
      <c r="AL456" s="15">
        <f>NORM.S.INV(RAND())</f>
        <v/>
      </c>
      <c r="AM456" s="15">
        <f>IF('组合输入'!$C9="","",'组合输入'!$H9*$B456+SQRT(1-'组合输入'!$H9^2)*AL456)</f>
        <v/>
      </c>
      <c r="AN456" s="7">
        <f>IF(AM456="","",NORM.S.DIST(AM456,TRUE))</f>
        <v/>
      </c>
      <c r="AO456" s="13">
        <f>IF(AN456="","",IF(AN456&lt;='组合输入'!$K9,"AAA",IF(AN456&lt;='组合输入'!$L9,"AA",IF(AN456&lt;='组合输入'!$M9,"A",IF(AN456&lt;='组合输入'!$N9,"BBB",IF(AN456&lt;='组合输入'!$O9,"BB",IF(AN456&lt;='组合输入'!$P9,"B",IF(AN456&lt;='组合输入'!$Q9,"CCC","D")))))))</f>
        <v/>
      </c>
      <c r="AP456" s="12">
        <f>IF(AO456="","",INDEX('状态价值'!$D9:$K9,MATCH(AO456,'状态价值'!$D$1:$K$1,0)))</f>
        <v/>
      </c>
      <c r="AQ456" s="15">
        <f>NORM.S.INV(RAND())</f>
        <v/>
      </c>
      <c r="AR456" s="15">
        <f>IF('组合输入'!$C10="","",'组合输入'!$H10*$B456+SQRT(1-'组合输入'!$H10^2)*AQ456)</f>
        <v/>
      </c>
      <c r="AS456" s="7">
        <f>IF(AR456="","",NORM.S.DIST(AR456,TRUE))</f>
        <v/>
      </c>
      <c r="AT456" s="13">
        <f>IF(AS456="","",IF(AS456&lt;='组合输入'!$K10,"AAA",IF(AS456&lt;='组合输入'!$L10,"AA",IF(AS456&lt;='组合输入'!$M10,"A",IF(AS456&lt;='组合输入'!$N10,"BBB",IF(AS456&lt;='组合输入'!$O10,"BB",IF(AS456&lt;='组合输入'!$P10,"B",IF(AS456&lt;='组合输入'!$Q10,"CCC","D")))))))</f>
        <v/>
      </c>
      <c r="AU456" s="12">
        <f>IF(AT456="","",INDEX('状态价值'!$D10:$K10,MATCH(AT456,'状态价值'!$D$1:$K$1,0)))</f>
        <v/>
      </c>
      <c r="AV456" s="15">
        <f>NORM.S.INV(RAND())</f>
        <v/>
      </c>
      <c r="AW456" s="15">
        <f>IF('组合输入'!$C11="","",'组合输入'!$H11*$B456+SQRT(1-'组合输入'!$H11^2)*AV456)</f>
        <v/>
      </c>
      <c r="AX456" s="7">
        <f>IF(AW456="","",NORM.S.DIST(AW456,TRUE))</f>
        <v/>
      </c>
      <c r="AY456" s="13">
        <f>IF(AX456="","",IF(AX456&lt;='组合输入'!$K11,"AAA",IF(AX456&lt;='组合输入'!$L11,"AA",IF(AX456&lt;='组合输入'!$M11,"A",IF(AX456&lt;='组合输入'!$N11,"BBB",IF(AX456&lt;='组合输入'!$O11,"BB",IF(AX456&lt;='组合输入'!$P11,"B",IF(AX456&lt;='组合输入'!$Q11,"CCC","D")))))))</f>
        <v/>
      </c>
      <c r="AZ456" s="12">
        <f>IF(AY456="","",INDEX('状态价值'!$D11:$K11,MATCH(AY456,'状态价值'!$D$1:$K$1,0)))</f>
        <v/>
      </c>
      <c r="BA456" s="12">
        <f>G456+L456+Q456+V456+AA456+AF456+AK456+AP456+AU456+AZ456</f>
        <v/>
      </c>
      <c r="BB456" s="12">
        <f>SUM('组合输入'!$J$2:$J$11)-BA456</f>
        <v/>
      </c>
    </row>
    <row r="457">
      <c r="A457" s="11" t="n">
        <v>456</v>
      </c>
      <c r="B457" s="14">
        <f>NORM.S.INV(RAND())</f>
        <v/>
      </c>
      <c r="C457" s="14">
        <f>NORM.S.INV(RAND())</f>
        <v/>
      </c>
      <c r="D457" s="15">
        <f>IF('组合输入'!$C2="","",'组合输入'!$H2*$B457+SQRT(1-'组合输入'!$H2^2)*C457)</f>
        <v/>
      </c>
      <c r="E457" s="7">
        <f>IF(D457="","",NORM.S.DIST(D457,TRUE))</f>
        <v/>
      </c>
      <c r="F457" s="13">
        <f>IF(E457="","",IF(E457&lt;='组合输入'!$K2,"AAA",IF(E457&lt;='组合输入'!$L2,"AA",IF(E457&lt;='组合输入'!$M2,"A",IF(E457&lt;='组合输入'!$N2,"BBB",IF(E457&lt;='组合输入'!$O2,"BB",IF(E457&lt;='组合输入'!$P2,"B",IF(E457&lt;='组合输入'!$Q2,"CCC","D")))))))</f>
        <v/>
      </c>
      <c r="G457" s="12">
        <f>IF(F457="","",INDEX('状态价值'!$D2:$K2,MATCH(F457,'状态价值'!$D$1:$K$1,0)))</f>
        <v/>
      </c>
      <c r="H457" s="15">
        <f>NORM.S.INV(RAND())</f>
        <v/>
      </c>
      <c r="I457" s="15">
        <f>IF('组合输入'!$C3="","",'组合输入'!$H3*$B457+SQRT(1-'组合输入'!$H3^2)*H457)</f>
        <v/>
      </c>
      <c r="J457" s="7">
        <f>IF(I457="","",NORM.S.DIST(I457,TRUE))</f>
        <v/>
      </c>
      <c r="K457" s="13">
        <f>IF(J457="","",IF(J457&lt;='组合输入'!$K3,"AAA",IF(J457&lt;='组合输入'!$L3,"AA",IF(J457&lt;='组合输入'!$M3,"A",IF(J457&lt;='组合输入'!$N3,"BBB",IF(J457&lt;='组合输入'!$O3,"BB",IF(J457&lt;='组合输入'!$P3,"B",IF(J457&lt;='组合输入'!$Q3,"CCC","D")))))))</f>
        <v/>
      </c>
      <c r="L457" s="12">
        <f>IF(K457="","",INDEX('状态价值'!$D3:$K3,MATCH(K457,'状态价值'!$D$1:$K$1,0)))</f>
        <v/>
      </c>
      <c r="M457" s="15">
        <f>NORM.S.INV(RAND())</f>
        <v/>
      </c>
      <c r="N457" s="15">
        <f>IF('组合输入'!$C4="","",'组合输入'!$H4*$B457+SQRT(1-'组合输入'!$H4^2)*M457)</f>
        <v/>
      </c>
      <c r="O457" s="7">
        <f>IF(N457="","",NORM.S.DIST(N457,TRUE))</f>
        <v/>
      </c>
      <c r="P457" s="13">
        <f>IF(O457="","",IF(O457&lt;='组合输入'!$K4,"AAA",IF(O457&lt;='组合输入'!$L4,"AA",IF(O457&lt;='组合输入'!$M4,"A",IF(O457&lt;='组合输入'!$N4,"BBB",IF(O457&lt;='组合输入'!$O4,"BB",IF(O457&lt;='组合输入'!$P4,"B",IF(O457&lt;='组合输入'!$Q4,"CCC","D")))))))</f>
        <v/>
      </c>
      <c r="Q457" s="12">
        <f>IF(P457="","",INDEX('状态价值'!$D4:$K4,MATCH(P457,'状态价值'!$D$1:$K$1,0)))</f>
        <v/>
      </c>
      <c r="R457" s="15">
        <f>NORM.S.INV(RAND())</f>
        <v/>
      </c>
      <c r="S457" s="15">
        <f>IF('组合输入'!$C5="","",'组合输入'!$H5*$B457+SQRT(1-'组合输入'!$H5^2)*R457)</f>
        <v/>
      </c>
      <c r="T457" s="7">
        <f>IF(S457="","",NORM.S.DIST(S457,TRUE))</f>
        <v/>
      </c>
      <c r="U457" s="13">
        <f>IF(T457="","",IF(T457&lt;='组合输入'!$K5,"AAA",IF(T457&lt;='组合输入'!$L5,"AA",IF(T457&lt;='组合输入'!$M5,"A",IF(T457&lt;='组合输入'!$N5,"BBB",IF(T457&lt;='组合输入'!$O5,"BB",IF(T457&lt;='组合输入'!$P5,"B",IF(T457&lt;='组合输入'!$Q5,"CCC","D")))))))</f>
        <v/>
      </c>
      <c r="V457" s="12">
        <f>IF(U457="","",INDEX('状态价值'!$D5:$K5,MATCH(U457,'状态价值'!$D$1:$K$1,0)))</f>
        <v/>
      </c>
      <c r="W457" s="15">
        <f>NORM.S.INV(RAND())</f>
        <v/>
      </c>
      <c r="X457" s="15">
        <f>IF('组合输入'!$C6="","",'组合输入'!$H6*$B457+SQRT(1-'组合输入'!$H6^2)*W457)</f>
        <v/>
      </c>
      <c r="Y457" s="7">
        <f>IF(X457="","",NORM.S.DIST(X457,TRUE))</f>
        <v/>
      </c>
      <c r="Z457" s="13">
        <f>IF(Y457="","",IF(Y457&lt;='组合输入'!$K6,"AAA",IF(Y457&lt;='组合输入'!$L6,"AA",IF(Y457&lt;='组合输入'!$M6,"A",IF(Y457&lt;='组合输入'!$N6,"BBB",IF(Y457&lt;='组合输入'!$O6,"BB",IF(Y457&lt;='组合输入'!$P6,"B",IF(Y457&lt;='组合输入'!$Q6,"CCC","D")))))))</f>
        <v/>
      </c>
      <c r="AA457" s="12">
        <f>IF(Z457="","",INDEX('状态价值'!$D6:$K6,MATCH(Z457,'状态价值'!$D$1:$K$1,0)))</f>
        <v/>
      </c>
      <c r="AB457" s="15">
        <f>NORM.S.INV(RAND())</f>
        <v/>
      </c>
      <c r="AC457" s="15">
        <f>IF('组合输入'!$C7="","",'组合输入'!$H7*$B457+SQRT(1-'组合输入'!$H7^2)*AB457)</f>
        <v/>
      </c>
      <c r="AD457" s="7">
        <f>IF(AC457="","",NORM.S.DIST(AC457,TRUE))</f>
        <v/>
      </c>
      <c r="AE457" s="13">
        <f>IF(AD457="","",IF(AD457&lt;='组合输入'!$K7,"AAA",IF(AD457&lt;='组合输入'!$L7,"AA",IF(AD457&lt;='组合输入'!$M7,"A",IF(AD457&lt;='组合输入'!$N7,"BBB",IF(AD457&lt;='组合输入'!$O7,"BB",IF(AD457&lt;='组合输入'!$P7,"B",IF(AD457&lt;='组合输入'!$Q7,"CCC","D")))))))</f>
        <v/>
      </c>
      <c r="AF457" s="12">
        <f>IF(AE457="","",INDEX('状态价值'!$D7:$K7,MATCH(AE457,'状态价值'!$D$1:$K$1,0)))</f>
        <v/>
      </c>
      <c r="AG457" s="15">
        <f>NORM.S.INV(RAND())</f>
        <v/>
      </c>
      <c r="AH457" s="15">
        <f>IF('组合输入'!$C8="","",'组合输入'!$H8*$B457+SQRT(1-'组合输入'!$H8^2)*AG457)</f>
        <v/>
      </c>
      <c r="AI457" s="7">
        <f>IF(AH457="","",NORM.S.DIST(AH457,TRUE))</f>
        <v/>
      </c>
      <c r="AJ457" s="13">
        <f>IF(AI457="","",IF(AI457&lt;='组合输入'!$K8,"AAA",IF(AI457&lt;='组合输入'!$L8,"AA",IF(AI457&lt;='组合输入'!$M8,"A",IF(AI457&lt;='组合输入'!$N8,"BBB",IF(AI457&lt;='组合输入'!$O8,"BB",IF(AI457&lt;='组合输入'!$P8,"B",IF(AI457&lt;='组合输入'!$Q8,"CCC","D")))))))</f>
        <v/>
      </c>
      <c r="AK457" s="12">
        <f>IF(AJ457="","",INDEX('状态价值'!$D8:$K8,MATCH(AJ457,'状态价值'!$D$1:$K$1,0)))</f>
        <v/>
      </c>
      <c r="AL457" s="15">
        <f>NORM.S.INV(RAND())</f>
        <v/>
      </c>
      <c r="AM457" s="15">
        <f>IF('组合输入'!$C9="","",'组合输入'!$H9*$B457+SQRT(1-'组合输入'!$H9^2)*AL457)</f>
        <v/>
      </c>
      <c r="AN457" s="7">
        <f>IF(AM457="","",NORM.S.DIST(AM457,TRUE))</f>
        <v/>
      </c>
      <c r="AO457" s="13">
        <f>IF(AN457="","",IF(AN457&lt;='组合输入'!$K9,"AAA",IF(AN457&lt;='组合输入'!$L9,"AA",IF(AN457&lt;='组合输入'!$M9,"A",IF(AN457&lt;='组合输入'!$N9,"BBB",IF(AN457&lt;='组合输入'!$O9,"BB",IF(AN457&lt;='组合输入'!$P9,"B",IF(AN457&lt;='组合输入'!$Q9,"CCC","D")))))))</f>
        <v/>
      </c>
      <c r="AP457" s="12">
        <f>IF(AO457="","",INDEX('状态价值'!$D9:$K9,MATCH(AO457,'状态价值'!$D$1:$K$1,0)))</f>
        <v/>
      </c>
      <c r="AQ457" s="15">
        <f>NORM.S.INV(RAND())</f>
        <v/>
      </c>
      <c r="AR457" s="15">
        <f>IF('组合输入'!$C10="","",'组合输入'!$H10*$B457+SQRT(1-'组合输入'!$H10^2)*AQ457)</f>
        <v/>
      </c>
      <c r="AS457" s="7">
        <f>IF(AR457="","",NORM.S.DIST(AR457,TRUE))</f>
        <v/>
      </c>
      <c r="AT457" s="13">
        <f>IF(AS457="","",IF(AS457&lt;='组合输入'!$K10,"AAA",IF(AS457&lt;='组合输入'!$L10,"AA",IF(AS457&lt;='组合输入'!$M10,"A",IF(AS457&lt;='组合输入'!$N10,"BBB",IF(AS457&lt;='组合输入'!$O10,"BB",IF(AS457&lt;='组合输入'!$P10,"B",IF(AS457&lt;='组合输入'!$Q10,"CCC","D")))))))</f>
        <v/>
      </c>
      <c r="AU457" s="12">
        <f>IF(AT457="","",INDEX('状态价值'!$D10:$K10,MATCH(AT457,'状态价值'!$D$1:$K$1,0)))</f>
        <v/>
      </c>
      <c r="AV457" s="15">
        <f>NORM.S.INV(RAND())</f>
        <v/>
      </c>
      <c r="AW457" s="15">
        <f>IF('组合输入'!$C11="","",'组合输入'!$H11*$B457+SQRT(1-'组合输入'!$H11^2)*AV457)</f>
        <v/>
      </c>
      <c r="AX457" s="7">
        <f>IF(AW457="","",NORM.S.DIST(AW457,TRUE))</f>
        <v/>
      </c>
      <c r="AY457" s="13">
        <f>IF(AX457="","",IF(AX457&lt;='组合输入'!$K11,"AAA",IF(AX457&lt;='组合输入'!$L11,"AA",IF(AX457&lt;='组合输入'!$M11,"A",IF(AX457&lt;='组合输入'!$N11,"BBB",IF(AX457&lt;='组合输入'!$O11,"BB",IF(AX457&lt;='组合输入'!$P11,"B",IF(AX457&lt;='组合输入'!$Q11,"CCC","D")))))))</f>
        <v/>
      </c>
      <c r="AZ457" s="12">
        <f>IF(AY457="","",INDEX('状态价值'!$D11:$K11,MATCH(AY457,'状态价值'!$D$1:$K$1,0)))</f>
        <v/>
      </c>
      <c r="BA457" s="12">
        <f>G457+L457+Q457+V457+AA457+AF457+AK457+AP457+AU457+AZ457</f>
        <v/>
      </c>
      <c r="BB457" s="12">
        <f>SUM('组合输入'!$J$2:$J$11)-BA457</f>
        <v/>
      </c>
    </row>
    <row r="458">
      <c r="A458" s="11" t="n">
        <v>457</v>
      </c>
      <c r="B458" s="14">
        <f>NORM.S.INV(RAND())</f>
        <v/>
      </c>
      <c r="C458" s="14">
        <f>NORM.S.INV(RAND())</f>
        <v/>
      </c>
      <c r="D458" s="15">
        <f>IF('组合输入'!$C2="","",'组合输入'!$H2*$B458+SQRT(1-'组合输入'!$H2^2)*C458)</f>
        <v/>
      </c>
      <c r="E458" s="7">
        <f>IF(D458="","",NORM.S.DIST(D458,TRUE))</f>
        <v/>
      </c>
      <c r="F458" s="13">
        <f>IF(E458="","",IF(E458&lt;='组合输入'!$K2,"AAA",IF(E458&lt;='组合输入'!$L2,"AA",IF(E458&lt;='组合输入'!$M2,"A",IF(E458&lt;='组合输入'!$N2,"BBB",IF(E458&lt;='组合输入'!$O2,"BB",IF(E458&lt;='组合输入'!$P2,"B",IF(E458&lt;='组合输入'!$Q2,"CCC","D")))))))</f>
        <v/>
      </c>
      <c r="G458" s="12">
        <f>IF(F458="","",INDEX('状态价值'!$D2:$K2,MATCH(F458,'状态价值'!$D$1:$K$1,0)))</f>
        <v/>
      </c>
      <c r="H458" s="15">
        <f>NORM.S.INV(RAND())</f>
        <v/>
      </c>
      <c r="I458" s="15">
        <f>IF('组合输入'!$C3="","",'组合输入'!$H3*$B458+SQRT(1-'组合输入'!$H3^2)*H458)</f>
        <v/>
      </c>
      <c r="J458" s="7">
        <f>IF(I458="","",NORM.S.DIST(I458,TRUE))</f>
        <v/>
      </c>
      <c r="K458" s="13">
        <f>IF(J458="","",IF(J458&lt;='组合输入'!$K3,"AAA",IF(J458&lt;='组合输入'!$L3,"AA",IF(J458&lt;='组合输入'!$M3,"A",IF(J458&lt;='组合输入'!$N3,"BBB",IF(J458&lt;='组合输入'!$O3,"BB",IF(J458&lt;='组合输入'!$P3,"B",IF(J458&lt;='组合输入'!$Q3,"CCC","D")))))))</f>
        <v/>
      </c>
      <c r="L458" s="12">
        <f>IF(K458="","",INDEX('状态价值'!$D3:$K3,MATCH(K458,'状态价值'!$D$1:$K$1,0)))</f>
        <v/>
      </c>
      <c r="M458" s="15">
        <f>NORM.S.INV(RAND())</f>
        <v/>
      </c>
      <c r="N458" s="15">
        <f>IF('组合输入'!$C4="","",'组合输入'!$H4*$B458+SQRT(1-'组合输入'!$H4^2)*M458)</f>
        <v/>
      </c>
      <c r="O458" s="7">
        <f>IF(N458="","",NORM.S.DIST(N458,TRUE))</f>
        <v/>
      </c>
      <c r="P458" s="13">
        <f>IF(O458="","",IF(O458&lt;='组合输入'!$K4,"AAA",IF(O458&lt;='组合输入'!$L4,"AA",IF(O458&lt;='组合输入'!$M4,"A",IF(O458&lt;='组合输入'!$N4,"BBB",IF(O458&lt;='组合输入'!$O4,"BB",IF(O458&lt;='组合输入'!$P4,"B",IF(O458&lt;='组合输入'!$Q4,"CCC","D")))))))</f>
        <v/>
      </c>
      <c r="Q458" s="12">
        <f>IF(P458="","",INDEX('状态价值'!$D4:$K4,MATCH(P458,'状态价值'!$D$1:$K$1,0)))</f>
        <v/>
      </c>
      <c r="R458" s="15">
        <f>NORM.S.INV(RAND())</f>
        <v/>
      </c>
      <c r="S458" s="15">
        <f>IF('组合输入'!$C5="","",'组合输入'!$H5*$B458+SQRT(1-'组合输入'!$H5^2)*R458)</f>
        <v/>
      </c>
      <c r="T458" s="7">
        <f>IF(S458="","",NORM.S.DIST(S458,TRUE))</f>
        <v/>
      </c>
      <c r="U458" s="13">
        <f>IF(T458="","",IF(T458&lt;='组合输入'!$K5,"AAA",IF(T458&lt;='组合输入'!$L5,"AA",IF(T458&lt;='组合输入'!$M5,"A",IF(T458&lt;='组合输入'!$N5,"BBB",IF(T458&lt;='组合输入'!$O5,"BB",IF(T458&lt;='组合输入'!$P5,"B",IF(T458&lt;='组合输入'!$Q5,"CCC","D")))))))</f>
        <v/>
      </c>
      <c r="V458" s="12">
        <f>IF(U458="","",INDEX('状态价值'!$D5:$K5,MATCH(U458,'状态价值'!$D$1:$K$1,0)))</f>
        <v/>
      </c>
      <c r="W458" s="15">
        <f>NORM.S.INV(RAND())</f>
        <v/>
      </c>
      <c r="X458" s="15">
        <f>IF('组合输入'!$C6="","",'组合输入'!$H6*$B458+SQRT(1-'组合输入'!$H6^2)*W458)</f>
        <v/>
      </c>
      <c r="Y458" s="7">
        <f>IF(X458="","",NORM.S.DIST(X458,TRUE))</f>
        <v/>
      </c>
      <c r="Z458" s="13">
        <f>IF(Y458="","",IF(Y458&lt;='组合输入'!$K6,"AAA",IF(Y458&lt;='组合输入'!$L6,"AA",IF(Y458&lt;='组合输入'!$M6,"A",IF(Y458&lt;='组合输入'!$N6,"BBB",IF(Y458&lt;='组合输入'!$O6,"BB",IF(Y458&lt;='组合输入'!$P6,"B",IF(Y458&lt;='组合输入'!$Q6,"CCC","D")))))))</f>
        <v/>
      </c>
      <c r="AA458" s="12">
        <f>IF(Z458="","",INDEX('状态价值'!$D6:$K6,MATCH(Z458,'状态价值'!$D$1:$K$1,0)))</f>
        <v/>
      </c>
      <c r="AB458" s="15">
        <f>NORM.S.INV(RAND())</f>
        <v/>
      </c>
      <c r="AC458" s="15">
        <f>IF('组合输入'!$C7="","",'组合输入'!$H7*$B458+SQRT(1-'组合输入'!$H7^2)*AB458)</f>
        <v/>
      </c>
      <c r="AD458" s="7">
        <f>IF(AC458="","",NORM.S.DIST(AC458,TRUE))</f>
        <v/>
      </c>
      <c r="AE458" s="13">
        <f>IF(AD458="","",IF(AD458&lt;='组合输入'!$K7,"AAA",IF(AD458&lt;='组合输入'!$L7,"AA",IF(AD458&lt;='组合输入'!$M7,"A",IF(AD458&lt;='组合输入'!$N7,"BBB",IF(AD458&lt;='组合输入'!$O7,"BB",IF(AD458&lt;='组合输入'!$P7,"B",IF(AD458&lt;='组合输入'!$Q7,"CCC","D")))))))</f>
        <v/>
      </c>
      <c r="AF458" s="12">
        <f>IF(AE458="","",INDEX('状态价值'!$D7:$K7,MATCH(AE458,'状态价值'!$D$1:$K$1,0)))</f>
        <v/>
      </c>
      <c r="AG458" s="15">
        <f>NORM.S.INV(RAND())</f>
        <v/>
      </c>
      <c r="AH458" s="15">
        <f>IF('组合输入'!$C8="","",'组合输入'!$H8*$B458+SQRT(1-'组合输入'!$H8^2)*AG458)</f>
        <v/>
      </c>
      <c r="AI458" s="7">
        <f>IF(AH458="","",NORM.S.DIST(AH458,TRUE))</f>
        <v/>
      </c>
      <c r="AJ458" s="13">
        <f>IF(AI458="","",IF(AI458&lt;='组合输入'!$K8,"AAA",IF(AI458&lt;='组合输入'!$L8,"AA",IF(AI458&lt;='组合输入'!$M8,"A",IF(AI458&lt;='组合输入'!$N8,"BBB",IF(AI458&lt;='组合输入'!$O8,"BB",IF(AI458&lt;='组合输入'!$P8,"B",IF(AI458&lt;='组合输入'!$Q8,"CCC","D")))))))</f>
        <v/>
      </c>
      <c r="AK458" s="12">
        <f>IF(AJ458="","",INDEX('状态价值'!$D8:$K8,MATCH(AJ458,'状态价值'!$D$1:$K$1,0)))</f>
        <v/>
      </c>
      <c r="AL458" s="15">
        <f>NORM.S.INV(RAND())</f>
        <v/>
      </c>
      <c r="AM458" s="15">
        <f>IF('组合输入'!$C9="","",'组合输入'!$H9*$B458+SQRT(1-'组合输入'!$H9^2)*AL458)</f>
        <v/>
      </c>
      <c r="AN458" s="7">
        <f>IF(AM458="","",NORM.S.DIST(AM458,TRUE))</f>
        <v/>
      </c>
      <c r="AO458" s="13">
        <f>IF(AN458="","",IF(AN458&lt;='组合输入'!$K9,"AAA",IF(AN458&lt;='组合输入'!$L9,"AA",IF(AN458&lt;='组合输入'!$M9,"A",IF(AN458&lt;='组合输入'!$N9,"BBB",IF(AN458&lt;='组合输入'!$O9,"BB",IF(AN458&lt;='组合输入'!$P9,"B",IF(AN458&lt;='组合输入'!$Q9,"CCC","D")))))))</f>
        <v/>
      </c>
      <c r="AP458" s="12">
        <f>IF(AO458="","",INDEX('状态价值'!$D9:$K9,MATCH(AO458,'状态价值'!$D$1:$K$1,0)))</f>
        <v/>
      </c>
      <c r="AQ458" s="15">
        <f>NORM.S.INV(RAND())</f>
        <v/>
      </c>
      <c r="AR458" s="15">
        <f>IF('组合输入'!$C10="","",'组合输入'!$H10*$B458+SQRT(1-'组合输入'!$H10^2)*AQ458)</f>
        <v/>
      </c>
      <c r="AS458" s="7">
        <f>IF(AR458="","",NORM.S.DIST(AR458,TRUE))</f>
        <v/>
      </c>
      <c r="AT458" s="13">
        <f>IF(AS458="","",IF(AS458&lt;='组合输入'!$K10,"AAA",IF(AS458&lt;='组合输入'!$L10,"AA",IF(AS458&lt;='组合输入'!$M10,"A",IF(AS458&lt;='组合输入'!$N10,"BBB",IF(AS458&lt;='组合输入'!$O10,"BB",IF(AS458&lt;='组合输入'!$P10,"B",IF(AS458&lt;='组合输入'!$Q10,"CCC","D")))))))</f>
        <v/>
      </c>
      <c r="AU458" s="12">
        <f>IF(AT458="","",INDEX('状态价值'!$D10:$K10,MATCH(AT458,'状态价值'!$D$1:$K$1,0)))</f>
        <v/>
      </c>
      <c r="AV458" s="15">
        <f>NORM.S.INV(RAND())</f>
        <v/>
      </c>
      <c r="AW458" s="15">
        <f>IF('组合输入'!$C11="","",'组合输入'!$H11*$B458+SQRT(1-'组合输入'!$H11^2)*AV458)</f>
        <v/>
      </c>
      <c r="AX458" s="7">
        <f>IF(AW458="","",NORM.S.DIST(AW458,TRUE))</f>
        <v/>
      </c>
      <c r="AY458" s="13">
        <f>IF(AX458="","",IF(AX458&lt;='组合输入'!$K11,"AAA",IF(AX458&lt;='组合输入'!$L11,"AA",IF(AX458&lt;='组合输入'!$M11,"A",IF(AX458&lt;='组合输入'!$N11,"BBB",IF(AX458&lt;='组合输入'!$O11,"BB",IF(AX458&lt;='组合输入'!$P11,"B",IF(AX458&lt;='组合输入'!$Q11,"CCC","D")))))))</f>
        <v/>
      </c>
      <c r="AZ458" s="12">
        <f>IF(AY458="","",INDEX('状态价值'!$D11:$K11,MATCH(AY458,'状态价值'!$D$1:$K$1,0)))</f>
        <v/>
      </c>
      <c r="BA458" s="12">
        <f>G458+L458+Q458+V458+AA458+AF458+AK458+AP458+AU458+AZ458</f>
        <v/>
      </c>
      <c r="BB458" s="12">
        <f>SUM('组合输入'!$J$2:$J$11)-BA458</f>
        <v/>
      </c>
    </row>
    <row r="459">
      <c r="A459" s="11" t="n">
        <v>458</v>
      </c>
      <c r="B459" s="14">
        <f>NORM.S.INV(RAND())</f>
        <v/>
      </c>
      <c r="C459" s="14">
        <f>NORM.S.INV(RAND())</f>
        <v/>
      </c>
      <c r="D459" s="15">
        <f>IF('组合输入'!$C2="","",'组合输入'!$H2*$B459+SQRT(1-'组合输入'!$H2^2)*C459)</f>
        <v/>
      </c>
      <c r="E459" s="7">
        <f>IF(D459="","",NORM.S.DIST(D459,TRUE))</f>
        <v/>
      </c>
      <c r="F459" s="13">
        <f>IF(E459="","",IF(E459&lt;='组合输入'!$K2,"AAA",IF(E459&lt;='组合输入'!$L2,"AA",IF(E459&lt;='组合输入'!$M2,"A",IF(E459&lt;='组合输入'!$N2,"BBB",IF(E459&lt;='组合输入'!$O2,"BB",IF(E459&lt;='组合输入'!$P2,"B",IF(E459&lt;='组合输入'!$Q2,"CCC","D")))))))</f>
        <v/>
      </c>
      <c r="G459" s="12">
        <f>IF(F459="","",INDEX('状态价值'!$D2:$K2,MATCH(F459,'状态价值'!$D$1:$K$1,0)))</f>
        <v/>
      </c>
      <c r="H459" s="15">
        <f>NORM.S.INV(RAND())</f>
        <v/>
      </c>
      <c r="I459" s="15">
        <f>IF('组合输入'!$C3="","",'组合输入'!$H3*$B459+SQRT(1-'组合输入'!$H3^2)*H459)</f>
        <v/>
      </c>
      <c r="J459" s="7">
        <f>IF(I459="","",NORM.S.DIST(I459,TRUE))</f>
        <v/>
      </c>
      <c r="K459" s="13">
        <f>IF(J459="","",IF(J459&lt;='组合输入'!$K3,"AAA",IF(J459&lt;='组合输入'!$L3,"AA",IF(J459&lt;='组合输入'!$M3,"A",IF(J459&lt;='组合输入'!$N3,"BBB",IF(J459&lt;='组合输入'!$O3,"BB",IF(J459&lt;='组合输入'!$P3,"B",IF(J459&lt;='组合输入'!$Q3,"CCC","D")))))))</f>
        <v/>
      </c>
      <c r="L459" s="12">
        <f>IF(K459="","",INDEX('状态价值'!$D3:$K3,MATCH(K459,'状态价值'!$D$1:$K$1,0)))</f>
        <v/>
      </c>
      <c r="M459" s="15">
        <f>NORM.S.INV(RAND())</f>
        <v/>
      </c>
      <c r="N459" s="15">
        <f>IF('组合输入'!$C4="","",'组合输入'!$H4*$B459+SQRT(1-'组合输入'!$H4^2)*M459)</f>
        <v/>
      </c>
      <c r="O459" s="7">
        <f>IF(N459="","",NORM.S.DIST(N459,TRUE))</f>
        <v/>
      </c>
      <c r="P459" s="13">
        <f>IF(O459="","",IF(O459&lt;='组合输入'!$K4,"AAA",IF(O459&lt;='组合输入'!$L4,"AA",IF(O459&lt;='组合输入'!$M4,"A",IF(O459&lt;='组合输入'!$N4,"BBB",IF(O459&lt;='组合输入'!$O4,"BB",IF(O459&lt;='组合输入'!$P4,"B",IF(O459&lt;='组合输入'!$Q4,"CCC","D")))))))</f>
        <v/>
      </c>
      <c r="Q459" s="12">
        <f>IF(P459="","",INDEX('状态价值'!$D4:$K4,MATCH(P459,'状态价值'!$D$1:$K$1,0)))</f>
        <v/>
      </c>
      <c r="R459" s="15">
        <f>NORM.S.INV(RAND())</f>
        <v/>
      </c>
      <c r="S459" s="15">
        <f>IF('组合输入'!$C5="","",'组合输入'!$H5*$B459+SQRT(1-'组合输入'!$H5^2)*R459)</f>
        <v/>
      </c>
      <c r="T459" s="7">
        <f>IF(S459="","",NORM.S.DIST(S459,TRUE))</f>
        <v/>
      </c>
      <c r="U459" s="13">
        <f>IF(T459="","",IF(T459&lt;='组合输入'!$K5,"AAA",IF(T459&lt;='组合输入'!$L5,"AA",IF(T459&lt;='组合输入'!$M5,"A",IF(T459&lt;='组合输入'!$N5,"BBB",IF(T459&lt;='组合输入'!$O5,"BB",IF(T459&lt;='组合输入'!$P5,"B",IF(T459&lt;='组合输入'!$Q5,"CCC","D")))))))</f>
        <v/>
      </c>
      <c r="V459" s="12">
        <f>IF(U459="","",INDEX('状态价值'!$D5:$K5,MATCH(U459,'状态价值'!$D$1:$K$1,0)))</f>
        <v/>
      </c>
      <c r="W459" s="15">
        <f>NORM.S.INV(RAND())</f>
        <v/>
      </c>
      <c r="X459" s="15">
        <f>IF('组合输入'!$C6="","",'组合输入'!$H6*$B459+SQRT(1-'组合输入'!$H6^2)*W459)</f>
        <v/>
      </c>
      <c r="Y459" s="7">
        <f>IF(X459="","",NORM.S.DIST(X459,TRUE))</f>
        <v/>
      </c>
      <c r="Z459" s="13">
        <f>IF(Y459="","",IF(Y459&lt;='组合输入'!$K6,"AAA",IF(Y459&lt;='组合输入'!$L6,"AA",IF(Y459&lt;='组合输入'!$M6,"A",IF(Y459&lt;='组合输入'!$N6,"BBB",IF(Y459&lt;='组合输入'!$O6,"BB",IF(Y459&lt;='组合输入'!$P6,"B",IF(Y459&lt;='组合输入'!$Q6,"CCC","D")))))))</f>
        <v/>
      </c>
      <c r="AA459" s="12">
        <f>IF(Z459="","",INDEX('状态价值'!$D6:$K6,MATCH(Z459,'状态价值'!$D$1:$K$1,0)))</f>
        <v/>
      </c>
      <c r="AB459" s="15">
        <f>NORM.S.INV(RAND())</f>
        <v/>
      </c>
      <c r="AC459" s="15">
        <f>IF('组合输入'!$C7="","",'组合输入'!$H7*$B459+SQRT(1-'组合输入'!$H7^2)*AB459)</f>
        <v/>
      </c>
      <c r="AD459" s="7">
        <f>IF(AC459="","",NORM.S.DIST(AC459,TRUE))</f>
        <v/>
      </c>
      <c r="AE459" s="13">
        <f>IF(AD459="","",IF(AD459&lt;='组合输入'!$K7,"AAA",IF(AD459&lt;='组合输入'!$L7,"AA",IF(AD459&lt;='组合输入'!$M7,"A",IF(AD459&lt;='组合输入'!$N7,"BBB",IF(AD459&lt;='组合输入'!$O7,"BB",IF(AD459&lt;='组合输入'!$P7,"B",IF(AD459&lt;='组合输入'!$Q7,"CCC","D")))))))</f>
        <v/>
      </c>
      <c r="AF459" s="12">
        <f>IF(AE459="","",INDEX('状态价值'!$D7:$K7,MATCH(AE459,'状态价值'!$D$1:$K$1,0)))</f>
        <v/>
      </c>
      <c r="AG459" s="15">
        <f>NORM.S.INV(RAND())</f>
        <v/>
      </c>
      <c r="AH459" s="15">
        <f>IF('组合输入'!$C8="","",'组合输入'!$H8*$B459+SQRT(1-'组合输入'!$H8^2)*AG459)</f>
        <v/>
      </c>
      <c r="AI459" s="7">
        <f>IF(AH459="","",NORM.S.DIST(AH459,TRUE))</f>
        <v/>
      </c>
      <c r="AJ459" s="13">
        <f>IF(AI459="","",IF(AI459&lt;='组合输入'!$K8,"AAA",IF(AI459&lt;='组合输入'!$L8,"AA",IF(AI459&lt;='组合输入'!$M8,"A",IF(AI459&lt;='组合输入'!$N8,"BBB",IF(AI459&lt;='组合输入'!$O8,"BB",IF(AI459&lt;='组合输入'!$P8,"B",IF(AI459&lt;='组合输入'!$Q8,"CCC","D")))))))</f>
        <v/>
      </c>
      <c r="AK459" s="12">
        <f>IF(AJ459="","",INDEX('状态价值'!$D8:$K8,MATCH(AJ459,'状态价值'!$D$1:$K$1,0)))</f>
        <v/>
      </c>
      <c r="AL459" s="15">
        <f>NORM.S.INV(RAND())</f>
        <v/>
      </c>
      <c r="AM459" s="15">
        <f>IF('组合输入'!$C9="","",'组合输入'!$H9*$B459+SQRT(1-'组合输入'!$H9^2)*AL459)</f>
        <v/>
      </c>
      <c r="AN459" s="7">
        <f>IF(AM459="","",NORM.S.DIST(AM459,TRUE))</f>
        <v/>
      </c>
      <c r="AO459" s="13">
        <f>IF(AN459="","",IF(AN459&lt;='组合输入'!$K9,"AAA",IF(AN459&lt;='组合输入'!$L9,"AA",IF(AN459&lt;='组合输入'!$M9,"A",IF(AN459&lt;='组合输入'!$N9,"BBB",IF(AN459&lt;='组合输入'!$O9,"BB",IF(AN459&lt;='组合输入'!$P9,"B",IF(AN459&lt;='组合输入'!$Q9,"CCC","D")))))))</f>
        <v/>
      </c>
      <c r="AP459" s="12">
        <f>IF(AO459="","",INDEX('状态价值'!$D9:$K9,MATCH(AO459,'状态价值'!$D$1:$K$1,0)))</f>
        <v/>
      </c>
      <c r="AQ459" s="15">
        <f>NORM.S.INV(RAND())</f>
        <v/>
      </c>
      <c r="AR459" s="15">
        <f>IF('组合输入'!$C10="","",'组合输入'!$H10*$B459+SQRT(1-'组合输入'!$H10^2)*AQ459)</f>
        <v/>
      </c>
      <c r="AS459" s="7">
        <f>IF(AR459="","",NORM.S.DIST(AR459,TRUE))</f>
        <v/>
      </c>
      <c r="AT459" s="13">
        <f>IF(AS459="","",IF(AS459&lt;='组合输入'!$K10,"AAA",IF(AS459&lt;='组合输入'!$L10,"AA",IF(AS459&lt;='组合输入'!$M10,"A",IF(AS459&lt;='组合输入'!$N10,"BBB",IF(AS459&lt;='组合输入'!$O10,"BB",IF(AS459&lt;='组合输入'!$P10,"B",IF(AS459&lt;='组合输入'!$Q10,"CCC","D")))))))</f>
        <v/>
      </c>
      <c r="AU459" s="12">
        <f>IF(AT459="","",INDEX('状态价值'!$D10:$K10,MATCH(AT459,'状态价值'!$D$1:$K$1,0)))</f>
        <v/>
      </c>
      <c r="AV459" s="15">
        <f>NORM.S.INV(RAND())</f>
        <v/>
      </c>
      <c r="AW459" s="15">
        <f>IF('组合输入'!$C11="","",'组合输入'!$H11*$B459+SQRT(1-'组合输入'!$H11^2)*AV459)</f>
        <v/>
      </c>
      <c r="AX459" s="7">
        <f>IF(AW459="","",NORM.S.DIST(AW459,TRUE))</f>
        <v/>
      </c>
      <c r="AY459" s="13">
        <f>IF(AX459="","",IF(AX459&lt;='组合输入'!$K11,"AAA",IF(AX459&lt;='组合输入'!$L11,"AA",IF(AX459&lt;='组合输入'!$M11,"A",IF(AX459&lt;='组合输入'!$N11,"BBB",IF(AX459&lt;='组合输入'!$O11,"BB",IF(AX459&lt;='组合输入'!$P11,"B",IF(AX459&lt;='组合输入'!$Q11,"CCC","D")))))))</f>
        <v/>
      </c>
      <c r="AZ459" s="12">
        <f>IF(AY459="","",INDEX('状态价值'!$D11:$K11,MATCH(AY459,'状态价值'!$D$1:$K$1,0)))</f>
        <v/>
      </c>
      <c r="BA459" s="12">
        <f>G459+L459+Q459+V459+AA459+AF459+AK459+AP459+AU459+AZ459</f>
        <v/>
      </c>
      <c r="BB459" s="12">
        <f>SUM('组合输入'!$J$2:$J$11)-BA459</f>
        <v/>
      </c>
    </row>
    <row r="460">
      <c r="A460" s="11" t="n">
        <v>459</v>
      </c>
      <c r="B460" s="14">
        <f>NORM.S.INV(RAND())</f>
        <v/>
      </c>
      <c r="C460" s="14">
        <f>NORM.S.INV(RAND())</f>
        <v/>
      </c>
      <c r="D460" s="15">
        <f>IF('组合输入'!$C2="","",'组合输入'!$H2*$B460+SQRT(1-'组合输入'!$H2^2)*C460)</f>
        <v/>
      </c>
      <c r="E460" s="7">
        <f>IF(D460="","",NORM.S.DIST(D460,TRUE))</f>
        <v/>
      </c>
      <c r="F460" s="13">
        <f>IF(E460="","",IF(E460&lt;='组合输入'!$K2,"AAA",IF(E460&lt;='组合输入'!$L2,"AA",IF(E460&lt;='组合输入'!$M2,"A",IF(E460&lt;='组合输入'!$N2,"BBB",IF(E460&lt;='组合输入'!$O2,"BB",IF(E460&lt;='组合输入'!$P2,"B",IF(E460&lt;='组合输入'!$Q2,"CCC","D")))))))</f>
        <v/>
      </c>
      <c r="G460" s="12">
        <f>IF(F460="","",INDEX('状态价值'!$D2:$K2,MATCH(F460,'状态价值'!$D$1:$K$1,0)))</f>
        <v/>
      </c>
      <c r="H460" s="15">
        <f>NORM.S.INV(RAND())</f>
        <v/>
      </c>
      <c r="I460" s="15">
        <f>IF('组合输入'!$C3="","",'组合输入'!$H3*$B460+SQRT(1-'组合输入'!$H3^2)*H460)</f>
        <v/>
      </c>
      <c r="J460" s="7">
        <f>IF(I460="","",NORM.S.DIST(I460,TRUE))</f>
        <v/>
      </c>
      <c r="K460" s="13">
        <f>IF(J460="","",IF(J460&lt;='组合输入'!$K3,"AAA",IF(J460&lt;='组合输入'!$L3,"AA",IF(J460&lt;='组合输入'!$M3,"A",IF(J460&lt;='组合输入'!$N3,"BBB",IF(J460&lt;='组合输入'!$O3,"BB",IF(J460&lt;='组合输入'!$P3,"B",IF(J460&lt;='组合输入'!$Q3,"CCC","D")))))))</f>
        <v/>
      </c>
      <c r="L460" s="12">
        <f>IF(K460="","",INDEX('状态价值'!$D3:$K3,MATCH(K460,'状态价值'!$D$1:$K$1,0)))</f>
        <v/>
      </c>
      <c r="M460" s="15">
        <f>NORM.S.INV(RAND())</f>
        <v/>
      </c>
      <c r="N460" s="15">
        <f>IF('组合输入'!$C4="","",'组合输入'!$H4*$B460+SQRT(1-'组合输入'!$H4^2)*M460)</f>
        <v/>
      </c>
      <c r="O460" s="7">
        <f>IF(N460="","",NORM.S.DIST(N460,TRUE))</f>
        <v/>
      </c>
      <c r="P460" s="13">
        <f>IF(O460="","",IF(O460&lt;='组合输入'!$K4,"AAA",IF(O460&lt;='组合输入'!$L4,"AA",IF(O460&lt;='组合输入'!$M4,"A",IF(O460&lt;='组合输入'!$N4,"BBB",IF(O460&lt;='组合输入'!$O4,"BB",IF(O460&lt;='组合输入'!$P4,"B",IF(O460&lt;='组合输入'!$Q4,"CCC","D")))))))</f>
        <v/>
      </c>
      <c r="Q460" s="12">
        <f>IF(P460="","",INDEX('状态价值'!$D4:$K4,MATCH(P460,'状态价值'!$D$1:$K$1,0)))</f>
        <v/>
      </c>
      <c r="R460" s="15">
        <f>NORM.S.INV(RAND())</f>
        <v/>
      </c>
      <c r="S460" s="15">
        <f>IF('组合输入'!$C5="","",'组合输入'!$H5*$B460+SQRT(1-'组合输入'!$H5^2)*R460)</f>
        <v/>
      </c>
      <c r="T460" s="7">
        <f>IF(S460="","",NORM.S.DIST(S460,TRUE))</f>
        <v/>
      </c>
      <c r="U460" s="13">
        <f>IF(T460="","",IF(T460&lt;='组合输入'!$K5,"AAA",IF(T460&lt;='组合输入'!$L5,"AA",IF(T460&lt;='组合输入'!$M5,"A",IF(T460&lt;='组合输入'!$N5,"BBB",IF(T460&lt;='组合输入'!$O5,"BB",IF(T460&lt;='组合输入'!$P5,"B",IF(T460&lt;='组合输入'!$Q5,"CCC","D")))))))</f>
        <v/>
      </c>
      <c r="V460" s="12">
        <f>IF(U460="","",INDEX('状态价值'!$D5:$K5,MATCH(U460,'状态价值'!$D$1:$K$1,0)))</f>
        <v/>
      </c>
      <c r="W460" s="15">
        <f>NORM.S.INV(RAND())</f>
        <v/>
      </c>
      <c r="X460" s="15">
        <f>IF('组合输入'!$C6="","",'组合输入'!$H6*$B460+SQRT(1-'组合输入'!$H6^2)*W460)</f>
        <v/>
      </c>
      <c r="Y460" s="7">
        <f>IF(X460="","",NORM.S.DIST(X460,TRUE))</f>
        <v/>
      </c>
      <c r="Z460" s="13">
        <f>IF(Y460="","",IF(Y460&lt;='组合输入'!$K6,"AAA",IF(Y460&lt;='组合输入'!$L6,"AA",IF(Y460&lt;='组合输入'!$M6,"A",IF(Y460&lt;='组合输入'!$N6,"BBB",IF(Y460&lt;='组合输入'!$O6,"BB",IF(Y460&lt;='组合输入'!$P6,"B",IF(Y460&lt;='组合输入'!$Q6,"CCC","D")))))))</f>
        <v/>
      </c>
      <c r="AA460" s="12">
        <f>IF(Z460="","",INDEX('状态价值'!$D6:$K6,MATCH(Z460,'状态价值'!$D$1:$K$1,0)))</f>
        <v/>
      </c>
      <c r="AB460" s="15">
        <f>NORM.S.INV(RAND())</f>
        <v/>
      </c>
      <c r="AC460" s="15">
        <f>IF('组合输入'!$C7="","",'组合输入'!$H7*$B460+SQRT(1-'组合输入'!$H7^2)*AB460)</f>
        <v/>
      </c>
      <c r="AD460" s="7">
        <f>IF(AC460="","",NORM.S.DIST(AC460,TRUE))</f>
        <v/>
      </c>
      <c r="AE460" s="13">
        <f>IF(AD460="","",IF(AD460&lt;='组合输入'!$K7,"AAA",IF(AD460&lt;='组合输入'!$L7,"AA",IF(AD460&lt;='组合输入'!$M7,"A",IF(AD460&lt;='组合输入'!$N7,"BBB",IF(AD460&lt;='组合输入'!$O7,"BB",IF(AD460&lt;='组合输入'!$P7,"B",IF(AD460&lt;='组合输入'!$Q7,"CCC","D")))))))</f>
        <v/>
      </c>
      <c r="AF460" s="12">
        <f>IF(AE460="","",INDEX('状态价值'!$D7:$K7,MATCH(AE460,'状态价值'!$D$1:$K$1,0)))</f>
        <v/>
      </c>
      <c r="AG460" s="15">
        <f>NORM.S.INV(RAND())</f>
        <v/>
      </c>
      <c r="AH460" s="15">
        <f>IF('组合输入'!$C8="","",'组合输入'!$H8*$B460+SQRT(1-'组合输入'!$H8^2)*AG460)</f>
        <v/>
      </c>
      <c r="AI460" s="7">
        <f>IF(AH460="","",NORM.S.DIST(AH460,TRUE))</f>
        <v/>
      </c>
      <c r="AJ460" s="13">
        <f>IF(AI460="","",IF(AI460&lt;='组合输入'!$K8,"AAA",IF(AI460&lt;='组合输入'!$L8,"AA",IF(AI460&lt;='组合输入'!$M8,"A",IF(AI460&lt;='组合输入'!$N8,"BBB",IF(AI460&lt;='组合输入'!$O8,"BB",IF(AI460&lt;='组合输入'!$P8,"B",IF(AI460&lt;='组合输入'!$Q8,"CCC","D")))))))</f>
        <v/>
      </c>
      <c r="AK460" s="12">
        <f>IF(AJ460="","",INDEX('状态价值'!$D8:$K8,MATCH(AJ460,'状态价值'!$D$1:$K$1,0)))</f>
        <v/>
      </c>
      <c r="AL460" s="15">
        <f>NORM.S.INV(RAND())</f>
        <v/>
      </c>
      <c r="AM460" s="15">
        <f>IF('组合输入'!$C9="","",'组合输入'!$H9*$B460+SQRT(1-'组合输入'!$H9^2)*AL460)</f>
        <v/>
      </c>
      <c r="AN460" s="7">
        <f>IF(AM460="","",NORM.S.DIST(AM460,TRUE))</f>
        <v/>
      </c>
      <c r="AO460" s="13">
        <f>IF(AN460="","",IF(AN460&lt;='组合输入'!$K9,"AAA",IF(AN460&lt;='组合输入'!$L9,"AA",IF(AN460&lt;='组合输入'!$M9,"A",IF(AN460&lt;='组合输入'!$N9,"BBB",IF(AN460&lt;='组合输入'!$O9,"BB",IF(AN460&lt;='组合输入'!$P9,"B",IF(AN460&lt;='组合输入'!$Q9,"CCC","D")))))))</f>
        <v/>
      </c>
      <c r="AP460" s="12">
        <f>IF(AO460="","",INDEX('状态价值'!$D9:$K9,MATCH(AO460,'状态价值'!$D$1:$K$1,0)))</f>
        <v/>
      </c>
      <c r="AQ460" s="15">
        <f>NORM.S.INV(RAND())</f>
        <v/>
      </c>
      <c r="AR460" s="15">
        <f>IF('组合输入'!$C10="","",'组合输入'!$H10*$B460+SQRT(1-'组合输入'!$H10^2)*AQ460)</f>
        <v/>
      </c>
      <c r="AS460" s="7">
        <f>IF(AR460="","",NORM.S.DIST(AR460,TRUE))</f>
        <v/>
      </c>
      <c r="AT460" s="13">
        <f>IF(AS460="","",IF(AS460&lt;='组合输入'!$K10,"AAA",IF(AS460&lt;='组合输入'!$L10,"AA",IF(AS460&lt;='组合输入'!$M10,"A",IF(AS460&lt;='组合输入'!$N10,"BBB",IF(AS460&lt;='组合输入'!$O10,"BB",IF(AS460&lt;='组合输入'!$P10,"B",IF(AS460&lt;='组合输入'!$Q10,"CCC","D")))))))</f>
        <v/>
      </c>
      <c r="AU460" s="12">
        <f>IF(AT460="","",INDEX('状态价值'!$D10:$K10,MATCH(AT460,'状态价值'!$D$1:$K$1,0)))</f>
        <v/>
      </c>
      <c r="AV460" s="15">
        <f>NORM.S.INV(RAND())</f>
        <v/>
      </c>
      <c r="AW460" s="15">
        <f>IF('组合输入'!$C11="","",'组合输入'!$H11*$B460+SQRT(1-'组合输入'!$H11^2)*AV460)</f>
        <v/>
      </c>
      <c r="AX460" s="7">
        <f>IF(AW460="","",NORM.S.DIST(AW460,TRUE))</f>
        <v/>
      </c>
      <c r="AY460" s="13">
        <f>IF(AX460="","",IF(AX460&lt;='组合输入'!$K11,"AAA",IF(AX460&lt;='组合输入'!$L11,"AA",IF(AX460&lt;='组合输入'!$M11,"A",IF(AX460&lt;='组合输入'!$N11,"BBB",IF(AX460&lt;='组合输入'!$O11,"BB",IF(AX460&lt;='组合输入'!$P11,"B",IF(AX460&lt;='组合输入'!$Q11,"CCC","D")))))))</f>
        <v/>
      </c>
      <c r="AZ460" s="12">
        <f>IF(AY460="","",INDEX('状态价值'!$D11:$K11,MATCH(AY460,'状态价值'!$D$1:$K$1,0)))</f>
        <v/>
      </c>
      <c r="BA460" s="12">
        <f>G460+L460+Q460+V460+AA460+AF460+AK460+AP460+AU460+AZ460</f>
        <v/>
      </c>
      <c r="BB460" s="12">
        <f>SUM('组合输入'!$J$2:$J$11)-BA460</f>
        <v/>
      </c>
    </row>
    <row r="461">
      <c r="A461" s="11" t="n">
        <v>460</v>
      </c>
      <c r="B461" s="14">
        <f>NORM.S.INV(RAND())</f>
        <v/>
      </c>
      <c r="C461" s="14">
        <f>NORM.S.INV(RAND())</f>
        <v/>
      </c>
      <c r="D461" s="15">
        <f>IF('组合输入'!$C2="","",'组合输入'!$H2*$B461+SQRT(1-'组合输入'!$H2^2)*C461)</f>
        <v/>
      </c>
      <c r="E461" s="7">
        <f>IF(D461="","",NORM.S.DIST(D461,TRUE))</f>
        <v/>
      </c>
      <c r="F461" s="13">
        <f>IF(E461="","",IF(E461&lt;='组合输入'!$K2,"AAA",IF(E461&lt;='组合输入'!$L2,"AA",IF(E461&lt;='组合输入'!$M2,"A",IF(E461&lt;='组合输入'!$N2,"BBB",IF(E461&lt;='组合输入'!$O2,"BB",IF(E461&lt;='组合输入'!$P2,"B",IF(E461&lt;='组合输入'!$Q2,"CCC","D")))))))</f>
        <v/>
      </c>
      <c r="G461" s="12">
        <f>IF(F461="","",INDEX('状态价值'!$D2:$K2,MATCH(F461,'状态价值'!$D$1:$K$1,0)))</f>
        <v/>
      </c>
      <c r="H461" s="15">
        <f>NORM.S.INV(RAND())</f>
        <v/>
      </c>
      <c r="I461" s="15">
        <f>IF('组合输入'!$C3="","",'组合输入'!$H3*$B461+SQRT(1-'组合输入'!$H3^2)*H461)</f>
        <v/>
      </c>
      <c r="J461" s="7">
        <f>IF(I461="","",NORM.S.DIST(I461,TRUE))</f>
        <v/>
      </c>
      <c r="K461" s="13">
        <f>IF(J461="","",IF(J461&lt;='组合输入'!$K3,"AAA",IF(J461&lt;='组合输入'!$L3,"AA",IF(J461&lt;='组合输入'!$M3,"A",IF(J461&lt;='组合输入'!$N3,"BBB",IF(J461&lt;='组合输入'!$O3,"BB",IF(J461&lt;='组合输入'!$P3,"B",IF(J461&lt;='组合输入'!$Q3,"CCC","D")))))))</f>
        <v/>
      </c>
      <c r="L461" s="12">
        <f>IF(K461="","",INDEX('状态价值'!$D3:$K3,MATCH(K461,'状态价值'!$D$1:$K$1,0)))</f>
        <v/>
      </c>
      <c r="M461" s="15">
        <f>NORM.S.INV(RAND())</f>
        <v/>
      </c>
      <c r="N461" s="15">
        <f>IF('组合输入'!$C4="","",'组合输入'!$H4*$B461+SQRT(1-'组合输入'!$H4^2)*M461)</f>
        <v/>
      </c>
      <c r="O461" s="7">
        <f>IF(N461="","",NORM.S.DIST(N461,TRUE))</f>
        <v/>
      </c>
      <c r="P461" s="13">
        <f>IF(O461="","",IF(O461&lt;='组合输入'!$K4,"AAA",IF(O461&lt;='组合输入'!$L4,"AA",IF(O461&lt;='组合输入'!$M4,"A",IF(O461&lt;='组合输入'!$N4,"BBB",IF(O461&lt;='组合输入'!$O4,"BB",IF(O461&lt;='组合输入'!$P4,"B",IF(O461&lt;='组合输入'!$Q4,"CCC","D")))))))</f>
        <v/>
      </c>
      <c r="Q461" s="12">
        <f>IF(P461="","",INDEX('状态价值'!$D4:$K4,MATCH(P461,'状态价值'!$D$1:$K$1,0)))</f>
        <v/>
      </c>
      <c r="R461" s="15">
        <f>NORM.S.INV(RAND())</f>
        <v/>
      </c>
      <c r="S461" s="15">
        <f>IF('组合输入'!$C5="","",'组合输入'!$H5*$B461+SQRT(1-'组合输入'!$H5^2)*R461)</f>
        <v/>
      </c>
      <c r="T461" s="7">
        <f>IF(S461="","",NORM.S.DIST(S461,TRUE))</f>
        <v/>
      </c>
      <c r="U461" s="13">
        <f>IF(T461="","",IF(T461&lt;='组合输入'!$K5,"AAA",IF(T461&lt;='组合输入'!$L5,"AA",IF(T461&lt;='组合输入'!$M5,"A",IF(T461&lt;='组合输入'!$N5,"BBB",IF(T461&lt;='组合输入'!$O5,"BB",IF(T461&lt;='组合输入'!$P5,"B",IF(T461&lt;='组合输入'!$Q5,"CCC","D")))))))</f>
        <v/>
      </c>
      <c r="V461" s="12">
        <f>IF(U461="","",INDEX('状态价值'!$D5:$K5,MATCH(U461,'状态价值'!$D$1:$K$1,0)))</f>
        <v/>
      </c>
      <c r="W461" s="15">
        <f>NORM.S.INV(RAND())</f>
        <v/>
      </c>
      <c r="X461" s="15">
        <f>IF('组合输入'!$C6="","",'组合输入'!$H6*$B461+SQRT(1-'组合输入'!$H6^2)*W461)</f>
        <v/>
      </c>
      <c r="Y461" s="7">
        <f>IF(X461="","",NORM.S.DIST(X461,TRUE))</f>
        <v/>
      </c>
      <c r="Z461" s="13">
        <f>IF(Y461="","",IF(Y461&lt;='组合输入'!$K6,"AAA",IF(Y461&lt;='组合输入'!$L6,"AA",IF(Y461&lt;='组合输入'!$M6,"A",IF(Y461&lt;='组合输入'!$N6,"BBB",IF(Y461&lt;='组合输入'!$O6,"BB",IF(Y461&lt;='组合输入'!$P6,"B",IF(Y461&lt;='组合输入'!$Q6,"CCC","D")))))))</f>
        <v/>
      </c>
      <c r="AA461" s="12">
        <f>IF(Z461="","",INDEX('状态价值'!$D6:$K6,MATCH(Z461,'状态价值'!$D$1:$K$1,0)))</f>
        <v/>
      </c>
      <c r="AB461" s="15">
        <f>NORM.S.INV(RAND())</f>
        <v/>
      </c>
      <c r="AC461" s="15">
        <f>IF('组合输入'!$C7="","",'组合输入'!$H7*$B461+SQRT(1-'组合输入'!$H7^2)*AB461)</f>
        <v/>
      </c>
      <c r="AD461" s="7">
        <f>IF(AC461="","",NORM.S.DIST(AC461,TRUE))</f>
        <v/>
      </c>
      <c r="AE461" s="13">
        <f>IF(AD461="","",IF(AD461&lt;='组合输入'!$K7,"AAA",IF(AD461&lt;='组合输入'!$L7,"AA",IF(AD461&lt;='组合输入'!$M7,"A",IF(AD461&lt;='组合输入'!$N7,"BBB",IF(AD461&lt;='组合输入'!$O7,"BB",IF(AD461&lt;='组合输入'!$P7,"B",IF(AD461&lt;='组合输入'!$Q7,"CCC","D")))))))</f>
        <v/>
      </c>
      <c r="AF461" s="12">
        <f>IF(AE461="","",INDEX('状态价值'!$D7:$K7,MATCH(AE461,'状态价值'!$D$1:$K$1,0)))</f>
        <v/>
      </c>
      <c r="AG461" s="15">
        <f>NORM.S.INV(RAND())</f>
        <v/>
      </c>
      <c r="AH461" s="15">
        <f>IF('组合输入'!$C8="","",'组合输入'!$H8*$B461+SQRT(1-'组合输入'!$H8^2)*AG461)</f>
        <v/>
      </c>
      <c r="AI461" s="7">
        <f>IF(AH461="","",NORM.S.DIST(AH461,TRUE))</f>
        <v/>
      </c>
      <c r="AJ461" s="13">
        <f>IF(AI461="","",IF(AI461&lt;='组合输入'!$K8,"AAA",IF(AI461&lt;='组合输入'!$L8,"AA",IF(AI461&lt;='组合输入'!$M8,"A",IF(AI461&lt;='组合输入'!$N8,"BBB",IF(AI461&lt;='组合输入'!$O8,"BB",IF(AI461&lt;='组合输入'!$P8,"B",IF(AI461&lt;='组合输入'!$Q8,"CCC","D")))))))</f>
        <v/>
      </c>
      <c r="AK461" s="12">
        <f>IF(AJ461="","",INDEX('状态价值'!$D8:$K8,MATCH(AJ461,'状态价值'!$D$1:$K$1,0)))</f>
        <v/>
      </c>
      <c r="AL461" s="15">
        <f>NORM.S.INV(RAND())</f>
        <v/>
      </c>
      <c r="AM461" s="15">
        <f>IF('组合输入'!$C9="","",'组合输入'!$H9*$B461+SQRT(1-'组合输入'!$H9^2)*AL461)</f>
        <v/>
      </c>
      <c r="AN461" s="7">
        <f>IF(AM461="","",NORM.S.DIST(AM461,TRUE))</f>
        <v/>
      </c>
      <c r="AO461" s="13">
        <f>IF(AN461="","",IF(AN461&lt;='组合输入'!$K9,"AAA",IF(AN461&lt;='组合输入'!$L9,"AA",IF(AN461&lt;='组合输入'!$M9,"A",IF(AN461&lt;='组合输入'!$N9,"BBB",IF(AN461&lt;='组合输入'!$O9,"BB",IF(AN461&lt;='组合输入'!$P9,"B",IF(AN461&lt;='组合输入'!$Q9,"CCC","D")))))))</f>
        <v/>
      </c>
      <c r="AP461" s="12">
        <f>IF(AO461="","",INDEX('状态价值'!$D9:$K9,MATCH(AO461,'状态价值'!$D$1:$K$1,0)))</f>
        <v/>
      </c>
      <c r="AQ461" s="15">
        <f>NORM.S.INV(RAND())</f>
        <v/>
      </c>
      <c r="AR461" s="15">
        <f>IF('组合输入'!$C10="","",'组合输入'!$H10*$B461+SQRT(1-'组合输入'!$H10^2)*AQ461)</f>
        <v/>
      </c>
      <c r="AS461" s="7">
        <f>IF(AR461="","",NORM.S.DIST(AR461,TRUE))</f>
        <v/>
      </c>
      <c r="AT461" s="13">
        <f>IF(AS461="","",IF(AS461&lt;='组合输入'!$K10,"AAA",IF(AS461&lt;='组合输入'!$L10,"AA",IF(AS461&lt;='组合输入'!$M10,"A",IF(AS461&lt;='组合输入'!$N10,"BBB",IF(AS461&lt;='组合输入'!$O10,"BB",IF(AS461&lt;='组合输入'!$P10,"B",IF(AS461&lt;='组合输入'!$Q10,"CCC","D")))))))</f>
        <v/>
      </c>
      <c r="AU461" s="12">
        <f>IF(AT461="","",INDEX('状态价值'!$D10:$K10,MATCH(AT461,'状态价值'!$D$1:$K$1,0)))</f>
        <v/>
      </c>
      <c r="AV461" s="15">
        <f>NORM.S.INV(RAND())</f>
        <v/>
      </c>
      <c r="AW461" s="15">
        <f>IF('组合输入'!$C11="","",'组合输入'!$H11*$B461+SQRT(1-'组合输入'!$H11^2)*AV461)</f>
        <v/>
      </c>
      <c r="AX461" s="7">
        <f>IF(AW461="","",NORM.S.DIST(AW461,TRUE))</f>
        <v/>
      </c>
      <c r="AY461" s="13">
        <f>IF(AX461="","",IF(AX461&lt;='组合输入'!$K11,"AAA",IF(AX461&lt;='组合输入'!$L11,"AA",IF(AX461&lt;='组合输入'!$M11,"A",IF(AX461&lt;='组合输入'!$N11,"BBB",IF(AX461&lt;='组合输入'!$O11,"BB",IF(AX461&lt;='组合输入'!$P11,"B",IF(AX461&lt;='组合输入'!$Q11,"CCC","D")))))))</f>
        <v/>
      </c>
      <c r="AZ461" s="12">
        <f>IF(AY461="","",INDEX('状态价值'!$D11:$K11,MATCH(AY461,'状态价值'!$D$1:$K$1,0)))</f>
        <v/>
      </c>
      <c r="BA461" s="12">
        <f>G461+L461+Q461+V461+AA461+AF461+AK461+AP461+AU461+AZ461</f>
        <v/>
      </c>
      <c r="BB461" s="12">
        <f>SUM('组合输入'!$J$2:$J$11)-BA461</f>
        <v/>
      </c>
    </row>
    <row r="462">
      <c r="A462" s="11" t="n">
        <v>461</v>
      </c>
      <c r="B462" s="14">
        <f>NORM.S.INV(RAND())</f>
        <v/>
      </c>
      <c r="C462" s="14">
        <f>NORM.S.INV(RAND())</f>
        <v/>
      </c>
      <c r="D462" s="15">
        <f>IF('组合输入'!$C2="","",'组合输入'!$H2*$B462+SQRT(1-'组合输入'!$H2^2)*C462)</f>
        <v/>
      </c>
      <c r="E462" s="7">
        <f>IF(D462="","",NORM.S.DIST(D462,TRUE))</f>
        <v/>
      </c>
      <c r="F462" s="13">
        <f>IF(E462="","",IF(E462&lt;='组合输入'!$K2,"AAA",IF(E462&lt;='组合输入'!$L2,"AA",IF(E462&lt;='组合输入'!$M2,"A",IF(E462&lt;='组合输入'!$N2,"BBB",IF(E462&lt;='组合输入'!$O2,"BB",IF(E462&lt;='组合输入'!$P2,"B",IF(E462&lt;='组合输入'!$Q2,"CCC","D")))))))</f>
        <v/>
      </c>
      <c r="G462" s="12">
        <f>IF(F462="","",INDEX('状态价值'!$D2:$K2,MATCH(F462,'状态价值'!$D$1:$K$1,0)))</f>
        <v/>
      </c>
      <c r="H462" s="15">
        <f>NORM.S.INV(RAND())</f>
        <v/>
      </c>
      <c r="I462" s="15">
        <f>IF('组合输入'!$C3="","",'组合输入'!$H3*$B462+SQRT(1-'组合输入'!$H3^2)*H462)</f>
        <v/>
      </c>
      <c r="J462" s="7">
        <f>IF(I462="","",NORM.S.DIST(I462,TRUE))</f>
        <v/>
      </c>
      <c r="K462" s="13">
        <f>IF(J462="","",IF(J462&lt;='组合输入'!$K3,"AAA",IF(J462&lt;='组合输入'!$L3,"AA",IF(J462&lt;='组合输入'!$M3,"A",IF(J462&lt;='组合输入'!$N3,"BBB",IF(J462&lt;='组合输入'!$O3,"BB",IF(J462&lt;='组合输入'!$P3,"B",IF(J462&lt;='组合输入'!$Q3,"CCC","D")))))))</f>
        <v/>
      </c>
      <c r="L462" s="12">
        <f>IF(K462="","",INDEX('状态价值'!$D3:$K3,MATCH(K462,'状态价值'!$D$1:$K$1,0)))</f>
        <v/>
      </c>
      <c r="M462" s="15">
        <f>NORM.S.INV(RAND())</f>
        <v/>
      </c>
      <c r="N462" s="15">
        <f>IF('组合输入'!$C4="","",'组合输入'!$H4*$B462+SQRT(1-'组合输入'!$H4^2)*M462)</f>
        <v/>
      </c>
      <c r="O462" s="7">
        <f>IF(N462="","",NORM.S.DIST(N462,TRUE))</f>
        <v/>
      </c>
      <c r="P462" s="13">
        <f>IF(O462="","",IF(O462&lt;='组合输入'!$K4,"AAA",IF(O462&lt;='组合输入'!$L4,"AA",IF(O462&lt;='组合输入'!$M4,"A",IF(O462&lt;='组合输入'!$N4,"BBB",IF(O462&lt;='组合输入'!$O4,"BB",IF(O462&lt;='组合输入'!$P4,"B",IF(O462&lt;='组合输入'!$Q4,"CCC","D")))))))</f>
        <v/>
      </c>
      <c r="Q462" s="12">
        <f>IF(P462="","",INDEX('状态价值'!$D4:$K4,MATCH(P462,'状态价值'!$D$1:$K$1,0)))</f>
        <v/>
      </c>
      <c r="R462" s="15">
        <f>NORM.S.INV(RAND())</f>
        <v/>
      </c>
      <c r="S462" s="15">
        <f>IF('组合输入'!$C5="","",'组合输入'!$H5*$B462+SQRT(1-'组合输入'!$H5^2)*R462)</f>
        <v/>
      </c>
      <c r="T462" s="7">
        <f>IF(S462="","",NORM.S.DIST(S462,TRUE))</f>
        <v/>
      </c>
      <c r="U462" s="13">
        <f>IF(T462="","",IF(T462&lt;='组合输入'!$K5,"AAA",IF(T462&lt;='组合输入'!$L5,"AA",IF(T462&lt;='组合输入'!$M5,"A",IF(T462&lt;='组合输入'!$N5,"BBB",IF(T462&lt;='组合输入'!$O5,"BB",IF(T462&lt;='组合输入'!$P5,"B",IF(T462&lt;='组合输入'!$Q5,"CCC","D")))))))</f>
        <v/>
      </c>
      <c r="V462" s="12">
        <f>IF(U462="","",INDEX('状态价值'!$D5:$K5,MATCH(U462,'状态价值'!$D$1:$K$1,0)))</f>
        <v/>
      </c>
      <c r="W462" s="15">
        <f>NORM.S.INV(RAND())</f>
        <v/>
      </c>
      <c r="X462" s="15">
        <f>IF('组合输入'!$C6="","",'组合输入'!$H6*$B462+SQRT(1-'组合输入'!$H6^2)*W462)</f>
        <v/>
      </c>
      <c r="Y462" s="7">
        <f>IF(X462="","",NORM.S.DIST(X462,TRUE))</f>
        <v/>
      </c>
      <c r="Z462" s="13">
        <f>IF(Y462="","",IF(Y462&lt;='组合输入'!$K6,"AAA",IF(Y462&lt;='组合输入'!$L6,"AA",IF(Y462&lt;='组合输入'!$M6,"A",IF(Y462&lt;='组合输入'!$N6,"BBB",IF(Y462&lt;='组合输入'!$O6,"BB",IF(Y462&lt;='组合输入'!$P6,"B",IF(Y462&lt;='组合输入'!$Q6,"CCC","D")))))))</f>
        <v/>
      </c>
      <c r="AA462" s="12">
        <f>IF(Z462="","",INDEX('状态价值'!$D6:$K6,MATCH(Z462,'状态价值'!$D$1:$K$1,0)))</f>
        <v/>
      </c>
      <c r="AB462" s="15">
        <f>NORM.S.INV(RAND())</f>
        <v/>
      </c>
      <c r="AC462" s="15">
        <f>IF('组合输入'!$C7="","",'组合输入'!$H7*$B462+SQRT(1-'组合输入'!$H7^2)*AB462)</f>
        <v/>
      </c>
      <c r="AD462" s="7">
        <f>IF(AC462="","",NORM.S.DIST(AC462,TRUE))</f>
        <v/>
      </c>
      <c r="AE462" s="13">
        <f>IF(AD462="","",IF(AD462&lt;='组合输入'!$K7,"AAA",IF(AD462&lt;='组合输入'!$L7,"AA",IF(AD462&lt;='组合输入'!$M7,"A",IF(AD462&lt;='组合输入'!$N7,"BBB",IF(AD462&lt;='组合输入'!$O7,"BB",IF(AD462&lt;='组合输入'!$P7,"B",IF(AD462&lt;='组合输入'!$Q7,"CCC","D")))))))</f>
        <v/>
      </c>
      <c r="AF462" s="12">
        <f>IF(AE462="","",INDEX('状态价值'!$D7:$K7,MATCH(AE462,'状态价值'!$D$1:$K$1,0)))</f>
        <v/>
      </c>
      <c r="AG462" s="15">
        <f>NORM.S.INV(RAND())</f>
        <v/>
      </c>
      <c r="AH462" s="15">
        <f>IF('组合输入'!$C8="","",'组合输入'!$H8*$B462+SQRT(1-'组合输入'!$H8^2)*AG462)</f>
        <v/>
      </c>
      <c r="AI462" s="7">
        <f>IF(AH462="","",NORM.S.DIST(AH462,TRUE))</f>
        <v/>
      </c>
      <c r="AJ462" s="13">
        <f>IF(AI462="","",IF(AI462&lt;='组合输入'!$K8,"AAA",IF(AI462&lt;='组合输入'!$L8,"AA",IF(AI462&lt;='组合输入'!$M8,"A",IF(AI462&lt;='组合输入'!$N8,"BBB",IF(AI462&lt;='组合输入'!$O8,"BB",IF(AI462&lt;='组合输入'!$P8,"B",IF(AI462&lt;='组合输入'!$Q8,"CCC","D")))))))</f>
        <v/>
      </c>
      <c r="AK462" s="12">
        <f>IF(AJ462="","",INDEX('状态价值'!$D8:$K8,MATCH(AJ462,'状态价值'!$D$1:$K$1,0)))</f>
        <v/>
      </c>
      <c r="AL462" s="15">
        <f>NORM.S.INV(RAND())</f>
        <v/>
      </c>
      <c r="AM462" s="15">
        <f>IF('组合输入'!$C9="","",'组合输入'!$H9*$B462+SQRT(1-'组合输入'!$H9^2)*AL462)</f>
        <v/>
      </c>
      <c r="AN462" s="7">
        <f>IF(AM462="","",NORM.S.DIST(AM462,TRUE))</f>
        <v/>
      </c>
      <c r="AO462" s="13">
        <f>IF(AN462="","",IF(AN462&lt;='组合输入'!$K9,"AAA",IF(AN462&lt;='组合输入'!$L9,"AA",IF(AN462&lt;='组合输入'!$M9,"A",IF(AN462&lt;='组合输入'!$N9,"BBB",IF(AN462&lt;='组合输入'!$O9,"BB",IF(AN462&lt;='组合输入'!$P9,"B",IF(AN462&lt;='组合输入'!$Q9,"CCC","D")))))))</f>
        <v/>
      </c>
      <c r="AP462" s="12">
        <f>IF(AO462="","",INDEX('状态价值'!$D9:$K9,MATCH(AO462,'状态价值'!$D$1:$K$1,0)))</f>
        <v/>
      </c>
      <c r="AQ462" s="15">
        <f>NORM.S.INV(RAND())</f>
        <v/>
      </c>
      <c r="AR462" s="15">
        <f>IF('组合输入'!$C10="","",'组合输入'!$H10*$B462+SQRT(1-'组合输入'!$H10^2)*AQ462)</f>
        <v/>
      </c>
      <c r="AS462" s="7">
        <f>IF(AR462="","",NORM.S.DIST(AR462,TRUE))</f>
        <v/>
      </c>
      <c r="AT462" s="13">
        <f>IF(AS462="","",IF(AS462&lt;='组合输入'!$K10,"AAA",IF(AS462&lt;='组合输入'!$L10,"AA",IF(AS462&lt;='组合输入'!$M10,"A",IF(AS462&lt;='组合输入'!$N10,"BBB",IF(AS462&lt;='组合输入'!$O10,"BB",IF(AS462&lt;='组合输入'!$P10,"B",IF(AS462&lt;='组合输入'!$Q10,"CCC","D")))))))</f>
        <v/>
      </c>
      <c r="AU462" s="12">
        <f>IF(AT462="","",INDEX('状态价值'!$D10:$K10,MATCH(AT462,'状态价值'!$D$1:$K$1,0)))</f>
        <v/>
      </c>
      <c r="AV462" s="15">
        <f>NORM.S.INV(RAND())</f>
        <v/>
      </c>
      <c r="AW462" s="15">
        <f>IF('组合输入'!$C11="","",'组合输入'!$H11*$B462+SQRT(1-'组合输入'!$H11^2)*AV462)</f>
        <v/>
      </c>
      <c r="AX462" s="7">
        <f>IF(AW462="","",NORM.S.DIST(AW462,TRUE))</f>
        <v/>
      </c>
      <c r="AY462" s="13">
        <f>IF(AX462="","",IF(AX462&lt;='组合输入'!$K11,"AAA",IF(AX462&lt;='组合输入'!$L11,"AA",IF(AX462&lt;='组合输入'!$M11,"A",IF(AX462&lt;='组合输入'!$N11,"BBB",IF(AX462&lt;='组合输入'!$O11,"BB",IF(AX462&lt;='组合输入'!$P11,"B",IF(AX462&lt;='组合输入'!$Q11,"CCC","D")))))))</f>
        <v/>
      </c>
      <c r="AZ462" s="12">
        <f>IF(AY462="","",INDEX('状态价值'!$D11:$K11,MATCH(AY462,'状态价值'!$D$1:$K$1,0)))</f>
        <v/>
      </c>
      <c r="BA462" s="12">
        <f>G462+L462+Q462+V462+AA462+AF462+AK462+AP462+AU462+AZ462</f>
        <v/>
      </c>
      <c r="BB462" s="12">
        <f>SUM('组合输入'!$J$2:$J$11)-BA462</f>
        <v/>
      </c>
    </row>
    <row r="463">
      <c r="A463" s="11" t="n">
        <v>462</v>
      </c>
      <c r="B463" s="14">
        <f>NORM.S.INV(RAND())</f>
        <v/>
      </c>
      <c r="C463" s="14">
        <f>NORM.S.INV(RAND())</f>
        <v/>
      </c>
      <c r="D463" s="15">
        <f>IF('组合输入'!$C2="","",'组合输入'!$H2*$B463+SQRT(1-'组合输入'!$H2^2)*C463)</f>
        <v/>
      </c>
      <c r="E463" s="7">
        <f>IF(D463="","",NORM.S.DIST(D463,TRUE))</f>
        <v/>
      </c>
      <c r="F463" s="13">
        <f>IF(E463="","",IF(E463&lt;='组合输入'!$K2,"AAA",IF(E463&lt;='组合输入'!$L2,"AA",IF(E463&lt;='组合输入'!$M2,"A",IF(E463&lt;='组合输入'!$N2,"BBB",IF(E463&lt;='组合输入'!$O2,"BB",IF(E463&lt;='组合输入'!$P2,"B",IF(E463&lt;='组合输入'!$Q2,"CCC","D")))))))</f>
        <v/>
      </c>
      <c r="G463" s="12">
        <f>IF(F463="","",INDEX('状态价值'!$D2:$K2,MATCH(F463,'状态价值'!$D$1:$K$1,0)))</f>
        <v/>
      </c>
      <c r="H463" s="15">
        <f>NORM.S.INV(RAND())</f>
        <v/>
      </c>
      <c r="I463" s="15">
        <f>IF('组合输入'!$C3="","",'组合输入'!$H3*$B463+SQRT(1-'组合输入'!$H3^2)*H463)</f>
        <v/>
      </c>
      <c r="J463" s="7">
        <f>IF(I463="","",NORM.S.DIST(I463,TRUE))</f>
        <v/>
      </c>
      <c r="K463" s="13">
        <f>IF(J463="","",IF(J463&lt;='组合输入'!$K3,"AAA",IF(J463&lt;='组合输入'!$L3,"AA",IF(J463&lt;='组合输入'!$M3,"A",IF(J463&lt;='组合输入'!$N3,"BBB",IF(J463&lt;='组合输入'!$O3,"BB",IF(J463&lt;='组合输入'!$P3,"B",IF(J463&lt;='组合输入'!$Q3,"CCC","D")))))))</f>
        <v/>
      </c>
      <c r="L463" s="12">
        <f>IF(K463="","",INDEX('状态价值'!$D3:$K3,MATCH(K463,'状态价值'!$D$1:$K$1,0)))</f>
        <v/>
      </c>
      <c r="M463" s="15">
        <f>NORM.S.INV(RAND())</f>
        <v/>
      </c>
      <c r="N463" s="15">
        <f>IF('组合输入'!$C4="","",'组合输入'!$H4*$B463+SQRT(1-'组合输入'!$H4^2)*M463)</f>
        <v/>
      </c>
      <c r="O463" s="7">
        <f>IF(N463="","",NORM.S.DIST(N463,TRUE))</f>
        <v/>
      </c>
      <c r="P463" s="13">
        <f>IF(O463="","",IF(O463&lt;='组合输入'!$K4,"AAA",IF(O463&lt;='组合输入'!$L4,"AA",IF(O463&lt;='组合输入'!$M4,"A",IF(O463&lt;='组合输入'!$N4,"BBB",IF(O463&lt;='组合输入'!$O4,"BB",IF(O463&lt;='组合输入'!$P4,"B",IF(O463&lt;='组合输入'!$Q4,"CCC","D")))))))</f>
        <v/>
      </c>
      <c r="Q463" s="12">
        <f>IF(P463="","",INDEX('状态价值'!$D4:$K4,MATCH(P463,'状态价值'!$D$1:$K$1,0)))</f>
        <v/>
      </c>
      <c r="R463" s="15">
        <f>NORM.S.INV(RAND())</f>
        <v/>
      </c>
      <c r="S463" s="15">
        <f>IF('组合输入'!$C5="","",'组合输入'!$H5*$B463+SQRT(1-'组合输入'!$H5^2)*R463)</f>
        <v/>
      </c>
      <c r="T463" s="7">
        <f>IF(S463="","",NORM.S.DIST(S463,TRUE))</f>
        <v/>
      </c>
      <c r="U463" s="13">
        <f>IF(T463="","",IF(T463&lt;='组合输入'!$K5,"AAA",IF(T463&lt;='组合输入'!$L5,"AA",IF(T463&lt;='组合输入'!$M5,"A",IF(T463&lt;='组合输入'!$N5,"BBB",IF(T463&lt;='组合输入'!$O5,"BB",IF(T463&lt;='组合输入'!$P5,"B",IF(T463&lt;='组合输入'!$Q5,"CCC","D")))))))</f>
        <v/>
      </c>
      <c r="V463" s="12">
        <f>IF(U463="","",INDEX('状态价值'!$D5:$K5,MATCH(U463,'状态价值'!$D$1:$K$1,0)))</f>
        <v/>
      </c>
      <c r="W463" s="15">
        <f>NORM.S.INV(RAND())</f>
        <v/>
      </c>
      <c r="X463" s="15">
        <f>IF('组合输入'!$C6="","",'组合输入'!$H6*$B463+SQRT(1-'组合输入'!$H6^2)*W463)</f>
        <v/>
      </c>
      <c r="Y463" s="7">
        <f>IF(X463="","",NORM.S.DIST(X463,TRUE))</f>
        <v/>
      </c>
      <c r="Z463" s="13">
        <f>IF(Y463="","",IF(Y463&lt;='组合输入'!$K6,"AAA",IF(Y463&lt;='组合输入'!$L6,"AA",IF(Y463&lt;='组合输入'!$M6,"A",IF(Y463&lt;='组合输入'!$N6,"BBB",IF(Y463&lt;='组合输入'!$O6,"BB",IF(Y463&lt;='组合输入'!$P6,"B",IF(Y463&lt;='组合输入'!$Q6,"CCC","D")))))))</f>
        <v/>
      </c>
      <c r="AA463" s="12">
        <f>IF(Z463="","",INDEX('状态价值'!$D6:$K6,MATCH(Z463,'状态价值'!$D$1:$K$1,0)))</f>
        <v/>
      </c>
      <c r="AB463" s="15">
        <f>NORM.S.INV(RAND())</f>
        <v/>
      </c>
      <c r="AC463" s="15">
        <f>IF('组合输入'!$C7="","",'组合输入'!$H7*$B463+SQRT(1-'组合输入'!$H7^2)*AB463)</f>
        <v/>
      </c>
      <c r="AD463" s="7">
        <f>IF(AC463="","",NORM.S.DIST(AC463,TRUE))</f>
        <v/>
      </c>
      <c r="AE463" s="13">
        <f>IF(AD463="","",IF(AD463&lt;='组合输入'!$K7,"AAA",IF(AD463&lt;='组合输入'!$L7,"AA",IF(AD463&lt;='组合输入'!$M7,"A",IF(AD463&lt;='组合输入'!$N7,"BBB",IF(AD463&lt;='组合输入'!$O7,"BB",IF(AD463&lt;='组合输入'!$P7,"B",IF(AD463&lt;='组合输入'!$Q7,"CCC","D")))))))</f>
        <v/>
      </c>
      <c r="AF463" s="12">
        <f>IF(AE463="","",INDEX('状态价值'!$D7:$K7,MATCH(AE463,'状态价值'!$D$1:$K$1,0)))</f>
        <v/>
      </c>
      <c r="AG463" s="15">
        <f>NORM.S.INV(RAND())</f>
        <v/>
      </c>
      <c r="AH463" s="15">
        <f>IF('组合输入'!$C8="","",'组合输入'!$H8*$B463+SQRT(1-'组合输入'!$H8^2)*AG463)</f>
        <v/>
      </c>
      <c r="AI463" s="7">
        <f>IF(AH463="","",NORM.S.DIST(AH463,TRUE))</f>
        <v/>
      </c>
      <c r="AJ463" s="13">
        <f>IF(AI463="","",IF(AI463&lt;='组合输入'!$K8,"AAA",IF(AI463&lt;='组合输入'!$L8,"AA",IF(AI463&lt;='组合输入'!$M8,"A",IF(AI463&lt;='组合输入'!$N8,"BBB",IF(AI463&lt;='组合输入'!$O8,"BB",IF(AI463&lt;='组合输入'!$P8,"B",IF(AI463&lt;='组合输入'!$Q8,"CCC","D")))))))</f>
        <v/>
      </c>
      <c r="AK463" s="12">
        <f>IF(AJ463="","",INDEX('状态价值'!$D8:$K8,MATCH(AJ463,'状态价值'!$D$1:$K$1,0)))</f>
        <v/>
      </c>
      <c r="AL463" s="15">
        <f>NORM.S.INV(RAND())</f>
        <v/>
      </c>
      <c r="AM463" s="15">
        <f>IF('组合输入'!$C9="","",'组合输入'!$H9*$B463+SQRT(1-'组合输入'!$H9^2)*AL463)</f>
        <v/>
      </c>
      <c r="AN463" s="7">
        <f>IF(AM463="","",NORM.S.DIST(AM463,TRUE))</f>
        <v/>
      </c>
      <c r="AO463" s="13">
        <f>IF(AN463="","",IF(AN463&lt;='组合输入'!$K9,"AAA",IF(AN463&lt;='组合输入'!$L9,"AA",IF(AN463&lt;='组合输入'!$M9,"A",IF(AN463&lt;='组合输入'!$N9,"BBB",IF(AN463&lt;='组合输入'!$O9,"BB",IF(AN463&lt;='组合输入'!$P9,"B",IF(AN463&lt;='组合输入'!$Q9,"CCC","D")))))))</f>
        <v/>
      </c>
      <c r="AP463" s="12">
        <f>IF(AO463="","",INDEX('状态价值'!$D9:$K9,MATCH(AO463,'状态价值'!$D$1:$K$1,0)))</f>
        <v/>
      </c>
      <c r="AQ463" s="15">
        <f>NORM.S.INV(RAND())</f>
        <v/>
      </c>
      <c r="AR463" s="15">
        <f>IF('组合输入'!$C10="","",'组合输入'!$H10*$B463+SQRT(1-'组合输入'!$H10^2)*AQ463)</f>
        <v/>
      </c>
      <c r="AS463" s="7">
        <f>IF(AR463="","",NORM.S.DIST(AR463,TRUE))</f>
        <v/>
      </c>
      <c r="AT463" s="13">
        <f>IF(AS463="","",IF(AS463&lt;='组合输入'!$K10,"AAA",IF(AS463&lt;='组合输入'!$L10,"AA",IF(AS463&lt;='组合输入'!$M10,"A",IF(AS463&lt;='组合输入'!$N10,"BBB",IF(AS463&lt;='组合输入'!$O10,"BB",IF(AS463&lt;='组合输入'!$P10,"B",IF(AS463&lt;='组合输入'!$Q10,"CCC","D")))))))</f>
        <v/>
      </c>
      <c r="AU463" s="12">
        <f>IF(AT463="","",INDEX('状态价值'!$D10:$K10,MATCH(AT463,'状态价值'!$D$1:$K$1,0)))</f>
        <v/>
      </c>
      <c r="AV463" s="15">
        <f>NORM.S.INV(RAND())</f>
        <v/>
      </c>
      <c r="AW463" s="15">
        <f>IF('组合输入'!$C11="","",'组合输入'!$H11*$B463+SQRT(1-'组合输入'!$H11^2)*AV463)</f>
        <v/>
      </c>
      <c r="AX463" s="7">
        <f>IF(AW463="","",NORM.S.DIST(AW463,TRUE))</f>
        <v/>
      </c>
      <c r="AY463" s="13">
        <f>IF(AX463="","",IF(AX463&lt;='组合输入'!$K11,"AAA",IF(AX463&lt;='组合输入'!$L11,"AA",IF(AX463&lt;='组合输入'!$M11,"A",IF(AX463&lt;='组合输入'!$N11,"BBB",IF(AX463&lt;='组合输入'!$O11,"BB",IF(AX463&lt;='组合输入'!$P11,"B",IF(AX463&lt;='组合输入'!$Q11,"CCC","D")))))))</f>
        <v/>
      </c>
      <c r="AZ463" s="12">
        <f>IF(AY463="","",INDEX('状态价值'!$D11:$K11,MATCH(AY463,'状态价值'!$D$1:$K$1,0)))</f>
        <v/>
      </c>
      <c r="BA463" s="12">
        <f>G463+L463+Q463+V463+AA463+AF463+AK463+AP463+AU463+AZ463</f>
        <v/>
      </c>
      <c r="BB463" s="12">
        <f>SUM('组合输入'!$J$2:$J$11)-BA463</f>
        <v/>
      </c>
    </row>
    <row r="464">
      <c r="A464" s="11" t="n">
        <v>463</v>
      </c>
      <c r="B464" s="14">
        <f>NORM.S.INV(RAND())</f>
        <v/>
      </c>
      <c r="C464" s="14">
        <f>NORM.S.INV(RAND())</f>
        <v/>
      </c>
      <c r="D464" s="15">
        <f>IF('组合输入'!$C2="","",'组合输入'!$H2*$B464+SQRT(1-'组合输入'!$H2^2)*C464)</f>
        <v/>
      </c>
      <c r="E464" s="7">
        <f>IF(D464="","",NORM.S.DIST(D464,TRUE))</f>
        <v/>
      </c>
      <c r="F464" s="13">
        <f>IF(E464="","",IF(E464&lt;='组合输入'!$K2,"AAA",IF(E464&lt;='组合输入'!$L2,"AA",IF(E464&lt;='组合输入'!$M2,"A",IF(E464&lt;='组合输入'!$N2,"BBB",IF(E464&lt;='组合输入'!$O2,"BB",IF(E464&lt;='组合输入'!$P2,"B",IF(E464&lt;='组合输入'!$Q2,"CCC","D")))))))</f>
        <v/>
      </c>
      <c r="G464" s="12">
        <f>IF(F464="","",INDEX('状态价值'!$D2:$K2,MATCH(F464,'状态价值'!$D$1:$K$1,0)))</f>
        <v/>
      </c>
      <c r="H464" s="15">
        <f>NORM.S.INV(RAND())</f>
        <v/>
      </c>
      <c r="I464" s="15">
        <f>IF('组合输入'!$C3="","",'组合输入'!$H3*$B464+SQRT(1-'组合输入'!$H3^2)*H464)</f>
        <v/>
      </c>
      <c r="J464" s="7">
        <f>IF(I464="","",NORM.S.DIST(I464,TRUE))</f>
        <v/>
      </c>
      <c r="K464" s="13">
        <f>IF(J464="","",IF(J464&lt;='组合输入'!$K3,"AAA",IF(J464&lt;='组合输入'!$L3,"AA",IF(J464&lt;='组合输入'!$M3,"A",IF(J464&lt;='组合输入'!$N3,"BBB",IF(J464&lt;='组合输入'!$O3,"BB",IF(J464&lt;='组合输入'!$P3,"B",IF(J464&lt;='组合输入'!$Q3,"CCC","D")))))))</f>
        <v/>
      </c>
      <c r="L464" s="12">
        <f>IF(K464="","",INDEX('状态价值'!$D3:$K3,MATCH(K464,'状态价值'!$D$1:$K$1,0)))</f>
        <v/>
      </c>
      <c r="M464" s="15">
        <f>NORM.S.INV(RAND())</f>
        <v/>
      </c>
      <c r="N464" s="15">
        <f>IF('组合输入'!$C4="","",'组合输入'!$H4*$B464+SQRT(1-'组合输入'!$H4^2)*M464)</f>
        <v/>
      </c>
      <c r="O464" s="7">
        <f>IF(N464="","",NORM.S.DIST(N464,TRUE))</f>
        <v/>
      </c>
      <c r="P464" s="13">
        <f>IF(O464="","",IF(O464&lt;='组合输入'!$K4,"AAA",IF(O464&lt;='组合输入'!$L4,"AA",IF(O464&lt;='组合输入'!$M4,"A",IF(O464&lt;='组合输入'!$N4,"BBB",IF(O464&lt;='组合输入'!$O4,"BB",IF(O464&lt;='组合输入'!$P4,"B",IF(O464&lt;='组合输入'!$Q4,"CCC","D")))))))</f>
        <v/>
      </c>
      <c r="Q464" s="12">
        <f>IF(P464="","",INDEX('状态价值'!$D4:$K4,MATCH(P464,'状态价值'!$D$1:$K$1,0)))</f>
        <v/>
      </c>
      <c r="R464" s="15">
        <f>NORM.S.INV(RAND())</f>
        <v/>
      </c>
      <c r="S464" s="15">
        <f>IF('组合输入'!$C5="","",'组合输入'!$H5*$B464+SQRT(1-'组合输入'!$H5^2)*R464)</f>
        <v/>
      </c>
      <c r="T464" s="7">
        <f>IF(S464="","",NORM.S.DIST(S464,TRUE))</f>
        <v/>
      </c>
      <c r="U464" s="13">
        <f>IF(T464="","",IF(T464&lt;='组合输入'!$K5,"AAA",IF(T464&lt;='组合输入'!$L5,"AA",IF(T464&lt;='组合输入'!$M5,"A",IF(T464&lt;='组合输入'!$N5,"BBB",IF(T464&lt;='组合输入'!$O5,"BB",IF(T464&lt;='组合输入'!$P5,"B",IF(T464&lt;='组合输入'!$Q5,"CCC","D")))))))</f>
        <v/>
      </c>
      <c r="V464" s="12">
        <f>IF(U464="","",INDEX('状态价值'!$D5:$K5,MATCH(U464,'状态价值'!$D$1:$K$1,0)))</f>
        <v/>
      </c>
      <c r="W464" s="15">
        <f>NORM.S.INV(RAND())</f>
        <v/>
      </c>
      <c r="X464" s="15">
        <f>IF('组合输入'!$C6="","",'组合输入'!$H6*$B464+SQRT(1-'组合输入'!$H6^2)*W464)</f>
        <v/>
      </c>
      <c r="Y464" s="7">
        <f>IF(X464="","",NORM.S.DIST(X464,TRUE))</f>
        <v/>
      </c>
      <c r="Z464" s="13">
        <f>IF(Y464="","",IF(Y464&lt;='组合输入'!$K6,"AAA",IF(Y464&lt;='组合输入'!$L6,"AA",IF(Y464&lt;='组合输入'!$M6,"A",IF(Y464&lt;='组合输入'!$N6,"BBB",IF(Y464&lt;='组合输入'!$O6,"BB",IF(Y464&lt;='组合输入'!$P6,"B",IF(Y464&lt;='组合输入'!$Q6,"CCC","D")))))))</f>
        <v/>
      </c>
      <c r="AA464" s="12">
        <f>IF(Z464="","",INDEX('状态价值'!$D6:$K6,MATCH(Z464,'状态价值'!$D$1:$K$1,0)))</f>
        <v/>
      </c>
      <c r="AB464" s="15">
        <f>NORM.S.INV(RAND())</f>
        <v/>
      </c>
      <c r="AC464" s="15">
        <f>IF('组合输入'!$C7="","",'组合输入'!$H7*$B464+SQRT(1-'组合输入'!$H7^2)*AB464)</f>
        <v/>
      </c>
      <c r="AD464" s="7">
        <f>IF(AC464="","",NORM.S.DIST(AC464,TRUE))</f>
        <v/>
      </c>
      <c r="AE464" s="13">
        <f>IF(AD464="","",IF(AD464&lt;='组合输入'!$K7,"AAA",IF(AD464&lt;='组合输入'!$L7,"AA",IF(AD464&lt;='组合输入'!$M7,"A",IF(AD464&lt;='组合输入'!$N7,"BBB",IF(AD464&lt;='组合输入'!$O7,"BB",IF(AD464&lt;='组合输入'!$P7,"B",IF(AD464&lt;='组合输入'!$Q7,"CCC","D")))))))</f>
        <v/>
      </c>
      <c r="AF464" s="12">
        <f>IF(AE464="","",INDEX('状态价值'!$D7:$K7,MATCH(AE464,'状态价值'!$D$1:$K$1,0)))</f>
        <v/>
      </c>
      <c r="AG464" s="15">
        <f>NORM.S.INV(RAND())</f>
        <v/>
      </c>
      <c r="AH464" s="15">
        <f>IF('组合输入'!$C8="","",'组合输入'!$H8*$B464+SQRT(1-'组合输入'!$H8^2)*AG464)</f>
        <v/>
      </c>
      <c r="AI464" s="7">
        <f>IF(AH464="","",NORM.S.DIST(AH464,TRUE))</f>
        <v/>
      </c>
      <c r="AJ464" s="13">
        <f>IF(AI464="","",IF(AI464&lt;='组合输入'!$K8,"AAA",IF(AI464&lt;='组合输入'!$L8,"AA",IF(AI464&lt;='组合输入'!$M8,"A",IF(AI464&lt;='组合输入'!$N8,"BBB",IF(AI464&lt;='组合输入'!$O8,"BB",IF(AI464&lt;='组合输入'!$P8,"B",IF(AI464&lt;='组合输入'!$Q8,"CCC","D")))))))</f>
        <v/>
      </c>
      <c r="AK464" s="12">
        <f>IF(AJ464="","",INDEX('状态价值'!$D8:$K8,MATCH(AJ464,'状态价值'!$D$1:$K$1,0)))</f>
        <v/>
      </c>
      <c r="AL464" s="15">
        <f>NORM.S.INV(RAND())</f>
        <v/>
      </c>
      <c r="AM464" s="15">
        <f>IF('组合输入'!$C9="","",'组合输入'!$H9*$B464+SQRT(1-'组合输入'!$H9^2)*AL464)</f>
        <v/>
      </c>
      <c r="AN464" s="7">
        <f>IF(AM464="","",NORM.S.DIST(AM464,TRUE))</f>
        <v/>
      </c>
      <c r="AO464" s="13">
        <f>IF(AN464="","",IF(AN464&lt;='组合输入'!$K9,"AAA",IF(AN464&lt;='组合输入'!$L9,"AA",IF(AN464&lt;='组合输入'!$M9,"A",IF(AN464&lt;='组合输入'!$N9,"BBB",IF(AN464&lt;='组合输入'!$O9,"BB",IF(AN464&lt;='组合输入'!$P9,"B",IF(AN464&lt;='组合输入'!$Q9,"CCC","D")))))))</f>
        <v/>
      </c>
      <c r="AP464" s="12">
        <f>IF(AO464="","",INDEX('状态价值'!$D9:$K9,MATCH(AO464,'状态价值'!$D$1:$K$1,0)))</f>
        <v/>
      </c>
      <c r="AQ464" s="15">
        <f>NORM.S.INV(RAND())</f>
        <v/>
      </c>
      <c r="AR464" s="15">
        <f>IF('组合输入'!$C10="","",'组合输入'!$H10*$B464+SQRT(1-'组合输入'!$H10^2)*AQ464)</f>
        <v/>
      </c>
      <c r="AS464" s="7">
        <f>IF(AR464="","",NORM.S.DIST(AR464,TRUE))</f>
        <v/>
      </c>
      <c r="AT464" s="13">
        <f>IF(AS464="","",IF(AS464&lt;='组合输入'!$K10,"AAA",IF(AS464&lt;='组合输入'!$L10,"AA",IF(AS464&lt;='组合输入'!$M10,"A",IF(AS464&lt;='组合输入'!$N10,"BBB",IF(AS464&lt;='组合输入'!$O10,"BB",IF(AS464&lt;='组合输入'!$P10,"B",IF(AS464&lt;='组合输入'!$Q10,"CCC","D")))))))</f>
        <v/>
      </c>
      <c r="AU464" s="12">
        <f>IF(AT464="","",INDEX('状态价值'!$D10:$K10,MATCH(AT464,'状态价值'!$D$1:$K$1,0)))</f>
        <v/>
      </c>
      <c r="AV464" s="15">
        <f>NORM.S.INV(RAND())</f>
        <v/>
      </c>
      <c r="AW464" s="15">
        <f>IF('组合输入'!$C11="","",'组合输入'!$H11*$B464+SQRT(1-'组合输入'!$H11^2)*AV464)</f>
        <v/>
      </c>
      <c r="AX464" s="7">
        <f>IF(AW464="","",NORM.S.DIST(AW464,TRUE))</f>
        <v/>
      </c>
      <c r="AY464" s="13">
        <f>IF(AX464="","",IF(AX464&lt;='组合输入'!$K11,"AAA",IF(AX464&lt;='组合输入'!$L11,"AA",IF(AX464&lt;='组合输入'!$M11,"A",IF(AX464&lt;='组合输入'!$N11,"BBB",IF(AX464&lt;='组合输入'!$O11,"BB",IF(AX464&lt;='组合输入'!$P11,"B",IF(AX464&lt;='组合输入'!$Q11,"CCC","D")))))))</f>
        <v/>
      </c>
      <c r="AZ464" s="12">
        <f>IF(AY464="","",INDEX('状态价值'!$D11:$K11,MATCH(AY464,'状态价值'!$D$1:$K$1,0)))</f>
        <v/>
      </c>
      <c r="BA464" s="12">
        <f>G464+L464+Q464+V464+AA464+AF464+AK464+AP464+AU464+AZ464</f>
        <v/>
      </c>
      <c r="BB464" s="12">
        <f>SUM('组合输入'!$J$2:$J$11)-BA464</f>
        <v/>
      </c>
    </row>
    <row r="465">
      <c r="A465" s="11" t="n">
        <v>464</v>
      </c>
      <c r="B465" s="14">
        <f>NORM.S.INV(RAND())</f>
        <v/>
      </c>
      <c r="C465" s="14">
        <f>NORM.S.INV(RAND())</f>
        <v/>
      </c>
      <c r="D465" s="15">
        <f>IF('组合输入'!$C2="","",'组合输入'!$H2*$B465+SQRT(1-'组合输入'!$H2^2)*C465)</f>
        <v/>
      </c>
      <c r="E465" s="7">
        <f>IF(D465="","",NORM.S.DIST(D465,TRUE))</f>
        <v/>
      </c>
      <c r="F465" s="13">
        <f>IF(E465="","",IF(E465&lt;='组合输入'!$K2,"AAA",IF(E465&lt;='组合输入'!$L2,"AA",IF(E465&lt;='组合输入'!$M2,"A",IF(E465&lt;='组合输入'!$N2,"BBB",IF(E465&lt;='组合输入'!$O2,"BB",IF(E465&lt;='组合输入'!$P2,"B",IF(E465&lt;='组合输入'!$Q2,"CCC","D")))))))</f>
        <v/>
      </c>
      <c r="G465" s="12">
        <f>IF(F465="","",INDEX('状态价值'!$D2:$K2,MATCH(F465,'状态价值'!$D$1:$K$1,0)))</f>
        <v/>
      </c>
      <c r="H465" s="15">
        <f>NORM.S.INV(RAND())</f>
        <v/>
      </c>
      <c r="I465" s="15">
        <f>IF('组合输入'!$C3="","",'组合输入'!$H3*$B465+SQRT(1-'组合输入'!$H3^2)*H465)</f>
        <v/>
      </c>
      <c r="J465" s="7">
        <f>IF(I465="","",NORM.S.DIST(I465,TRUE))</f>
        <v/>
      </c>
      <c r="K465" s="13">
        <f>IF(J465="","",IF(J465&lt;='组合输入'!$K3,"AAA",IF(J465&lt;='组合输入'!$L3,"AA",IF(J465&lt;='组合输入'!$M3,"A",IF(J465&lt;='组合输入'!$N3,"BBB",IF(J465&lt;='组合输入'!$O3,"BB",IF(J465&lt;='组合输入'!$P3,"B",IF(J465&lt;='组合输入'!$Q3,"CCC","D")))))))</f>
        <v/>
      </c>
      <c r="L465" s="12">
        <f>IF(K465="","",INDEX('状态价值'!$D3:$K3,MATCH(K465,'状态价值'!$D$1:$K$1,0)))</f>
        <v/>
      </c>
      <c r="M465" s="15">
        <f>NORM.S.INV(RAND())</f>
        <v/>
      </c>
      <c r="N465" s="15">
        <f>IF('组合输入'!$C4="","",'组合输入'!$H4*$B465+SQRT(1-'组合输入'!$H4^2)*M465)</f>
        <v/>
      </c>
      <c r="O465" s="7">
        <f>IF(N465="","",NORM.S.DIST(N465,TRUE))</f>
        <v/>
      </c>
      <c r="P465" s="13">
        <f>IF(O465="","",IF(O465&lt;='组合输入'!$K4,"AAA",IF(O465&lt;='组合输入'!$L4,"AA",IF(O465&lt;='组合输入'!$M4,"A",IF(O465&lt;='组合输入'!$N4,"BBB",IF(O465&lt;='组合输入'!$O4,"BB",IF(O465&lt;='组合输入'!$P4,"B",IF(O465&lt;='组合输入'!$Q4,"CCC","D")))))))</f>
        <v/>
      </c>
      <c r="Q465" s="12">
        <f>IF(P465="","",INDEX('状态价值'!$D4:$K4,MATCH(P465,'状态价值'!$D$1:$K$1,0)))</f>
        <v/>
      </c>
      <c r="R465" s="15">
        <f>NORM.S.INV(RAND())</f>
        <v/>
      </c>
      <c r="S465" s="15">
        <f>IF('组合输入'!$C5="","",'组合输入'!$H5*$B465+SQRT(1-'组合输入'!$H5^2)*R465)</f>
        <v/>
      </c>
      <c r="T465" s="7">
        <f>IF(S465="","",NORM.S.DIST(S465,TRUE))</f>
        <v/>
      </c>
      <c r="U465" s="13">
        <f>IF(T465="","",IF(T465&lt;='组合输入'!$K5,"AAA",IF(T465&lt;='组合输入'!$L5,"AA",IF(T465&lt;='组合输入'!$M5,"A",IF(T465&lt;='组合输入'!$N5,"BBB",IF(T465&lt;='组合输入'!$O5,"BB",IF(T465&lt;='组合输入'!$P5,"B",IF(T465&lt;='组合输入'!$Q5,"CCC","D")))))))</f>
        <v/>
      </c>
      <c r="V465" s="12">
        <f>IF(U465="","",INDEX('状态价值'!$D5:$K5,MATCH(U465,'状态价值'!$D$1:$K$1,0)))</f>
        <v/>
      </c>
      <c r="W465" s="15">
        <f>NORM.S.INV(RAND())</f>
        <v/>
      </c>
      <c r="X465" s="15">
        <f>IF('组合输入'!$C6="","",'组合输入'!$H6*$B465+SQRT(1-'组合输入'!$H6^2)*W465)</f>
        <v/>
      </c>
      <c r="Y465" s="7">
        <f>IF(X465="","",NORM.S.DIST(X465,TRUE))</f>
        <v/>
      </c>
      <c r="Z465" s="13">
        <f>IF(Y465="","",IF(Y465&lt;='组合输入'!$K6,"AAA",IF(Y465&lt;='组合输入'!$L6,"AA",IF(Y465&lt;='组合输入'!$M6,"A",IF(Y465&lt;='组合输入'!$N6,"BBB",IF(Y465&lt;='组合输入'!$O6,"BB",IF(Y465&lt;='组合输入'!$P6,"B",IF(Y465&lt;='组合输入'!$Q6,"CCC","D")))))))</f>
        <v/>
      </c>
      <c r="AA465" s="12">
        <f>IF(Z465="","",INDEX('状态价值'!$D6:$K6,MATCH(Z465,'状态价值'!$D$1:$K$1,0)))</f>
        <v/>
      </c>
      <c r="AB465" s="15">
        <f>NORM.S.INV(RAND())</f>
        <v/>
      </c>
      <c r="AC465" s="15">
        <f>IF('组合输入'!$C7="","",'组合输入'!$H7*$B465+SQRT(1-'组合输入'!$H7^2)*AB465)</f>
        <v/>
      </c>
      <c r="AD465" s="7">
        <f>IF(AC465="","",NORM.S.DIST(AC465,TRUE))</f>
        <v/>
      </c>
      <c r="AE465" s="13">
        <f>IF(AD465="","",IF(AD465&lt;='组合输入'!$K7,"AAA",IF(AD465&lt;='组合输入'!$L7,"AA",IF(AD465&lt;='组合输入'!$M7,"A",IF(AD465&lt;='组合输入'!$N7,"BBB",IF(AD465&lt;='组合输入'!$O7,"BB",IF(AD465&lt;='组合输入'!$P7,"B",IF(AD465&lt;='组合输入'!$Q7,"CCC","D")))))))</f>
        <v/>
      </c>
      <c r="AF465" s="12">
        <f>IF(AE465="","",INDEX('状态价值'!$D7:$K7,MATCH(AE465,'状态价值'!$D$1:$K$1,0)))</f>
        <v/>
      </c>
      <c r="AG465" s="15">
        <f>NORM.S.INV(RAND())</f>
        <v/>
      </c>
      <c r="AH465" s="15">
        <f>IF('组合输入'!$C8="","",'组合输入'!$H8*$B465+SQRT(1-'组合输入'!$H8^2)*AG465)</f>
        <v/>
      </c>
      <c r="AI465" s="7">
        <f>IF(AH465="","",NORM.S.DIST(AH465,TRUE))</f>
        <v/>
      </c>
      <c r="AJ465" s="13">
        <f>IF(AI465="","",IF(AI465&lt;='组合输入'!$K8,"AAA",IF(AI465&lt;='组合输入'!$L8,"AA",IF(AI465&lt;='组合输入'!$M8,"A",IF(AI465&lt;='组合输入'!$N8,"BBB",IF(AI465&lt;='组合输入'!$O8,"BB",IF(AI465&lt;='组合输入'!$P8,"B",IF(AI465&lt;='组合输入'!$Q8,"CCC","D")))))))</f>
        <v/>
      </c>
      <c r="AK465" s="12">
        <f>IF(AJ465="","",INDEX('状态价值'!$D8:$K8,MATCH(AJ465,'状态价值'!$D$1:$K$1,0)))</f>
        <v/>
      </c>
      <c r="AL465" s="15">
        <f>NORM.S.INV(RAND())</f>
        <v/>
      </c>
      <c r="AM465" s="15">
        <f>IF('组合输入'!$C9="","",'组合输入'!$H9*$B465+SQRT(1-'组合输入'!$H9^2)*AL465)</f>
        <v/>
      </c>
      <c r="AN465" s="7">
        <f>IF(AM465="","",NORM.S.DIST(AM465,TRUE))</f>
        <v/>
      </c>
      <c r="AO465" s="13">
        <f>IF(AN465="","",IF(AN465&lt;='组合输入'!$K9,"AAA",IF(AN465&lt;='组合输入'!$L9,"AA",IF(AN465&lt;='组合输入'!$M9,"A",IF(AN465&lt;='组合输入'!$N9,"BBB",IF(AN465&lt;='组合输入'!$O9,"BB",IF(AN465&lt;='组合输入'!$P9,"B",IF(AN465&lt;='组合输入'!$Q9,"CCC","D")))))))</f>
        <v/>
      </c>
      <c r="AP465" s="12">
        <f>IF(AO465="","",INDEX('状态价值'!$D9:$K9,MATCH(AO465,'状态价值'!$D$1:$K$1,0)))</f>
        <v/>
      </c>
      <c r="AQ465" s="15">
        <f>NORM.S.INV(RAND())</f>
        <v/>
      </c>
      <c r="AR465" s="15">
        <f>IF('组合输入'!$C10="","",'组合输入'!$H10*$B465+SQRT(1-'组合输入'!$H10^2)*AQ465)</f>
        <v/>
      </c>
      <c r="AS465" s="7">
        <f>IF(AR465="","",NORM.S.DIST(AR465,TRUE))</f>
        <v/>
      </c>
      <c r="AT465" s="13">
        <f>IF(AS465="","",IF(AS465&lt;='组合输入'!$K10,"AAA",IF(AS465&lt;='组合输入'!$L10,"AA",IF(AS465&lt;='组合输入'!$M10,"A",IF(AS465&lt;='组合输入'!$N10,"BBB",IF(AS465&lt;='组合输入'!$O10,"BB",IF(AS465&lt;='组合输入'!$P10,"B",IF(AS465&lt;='组合输入'!$Q10,"CCC","D")))))))</f>
        <v/>
      </c>
      <c r="AU465" s="12">
        <f>IF(AT465="","",INDEX('状态价值'!$D10:$K10,MATCH(AT465,'状态价值'!$D$1:$K$1,0)))</f>
        <v/>
      </c>
      <c r="AV465" s="15">
        <f>NORM.S.INV(RAND())</f>
        <v/>
      </c>
      <c r="AW465" s="15">
        <f>IF('组合输入'!$C11="","",'组合输入'!$H11*$B465+SQRT(1-'组合输入'!$H11^2)*AV465)</f>
        <v/>
      </c>
      <c r="AX465" s="7">
        <f>IF(AW465="","",NORM.S.DIST(AW465,TRUE))</f>
        <v/>
      </c>
      <c r="AY465" s="13">
        <f>IF(AX465="","",IF(AX465&lt;='组合输入'!$K11,"AAA",IF(AX465&lt;='组合输入'!$L11,"AA",IF(AX465&lt;='组合输入'!$M11,"A",IF(AX465&lt;='组合输入'!$N11,"BBB",IF(AX465&lt;='组合输入'!$O11,"BB",IF(AX465&lt;='组合输入'!$P11,"B",IF(AX465&lt;='组合输入'!$Q11,"CCC","D")))))))</f>
        <v/>
      </c>
      <c r="AZ465" s="12">
        <f>IF(AY465="","",INDEX('状态价值'!$D11:$K11,MATCH(AY465,'状态价值'!$D$1:$K$1,0)))</f>
        <v/>
      </c>
      <c r="BA465" s="12">
        <f>G465+L465+Q465+V465+AA465+AF465+AK465+AP465+AU465+AZ465</f>
        <v/>
      </c>
      <c r="BB465" s="12">
        <f>SUM('组合输入'!$J$2:$J$11)-BA465</f>
        <v/>
      </c>
    </row>
    <row r="466">
      <c r="A466" s="11" t="n">
        <v>465</v>
      </c>
      <c r="B466" s="14">
        <f>NORM.S.INV(RAND())</f>
        <v/>
      </c>
      <c r="C466" s="14">
        <f>NORM.S.INV(RAND())</f>
        <v/>
      </c>
      <c r="D466" s="15">
        <f>IF('组合输入'!$C2="","",'组合输入'!$H2*$B466+SQRT(1-'组合输入'!$H2^2)*C466)</f>
        <v/>
      </c>
      <c r="E466" s="7">
        <f>IF(D466="","",NORM.S.DIST(D466,TRUE))</f>
        <v/>
      </c>
      <c r="F466" s="13">
        <f>IF(E466="","",IF(E466&lt;='组合输入'!$K2,"AAA",IF(E466&lt;='组合输入'!$L2,"AA",IF(E466&lt;='组合输入'!$M2,"A",IF(E466&lt;='组合输入'!$N2,"BBB",IF(E466&lt;='组合输入'!$O2,"BB",IF(E466&lt;='组合输入'!$P2,"B",IF(E466&lt;='组合输入'!$Q2,"CCC","D")))))))</f>
        <v/>
      </c>
      <c r="G466" s="12">
        <f>IF(F466="","",INDEX('状态价值'!$D2:$K2,MATCH(F466,'状态价值'!$D$1:$K$1,0)))</f>
        <v/>
      </c>
      <c r="H466" s="15">
        <f>NORM.S.INV(RAND())</f>
        <v/>
      </c>
      <c r="I466" s="15">
        <f>IF('组合输入'!$C3="","",'组合输入'!$H3*$B466+SQRT(1-'组合输入'!$H3^2)*H466)</f>
        <v/>
      </c>
      <c r="J466" s="7">
        <f>IF(I466="","",NORM.S.DIST(I466,TRUE))</f>
        <v/>
      </c>
      <c r="K466" s="13">
        <f>IF(J466="","",IF(J466&lt;='组合输入'!$K3,"AAA",IF(J466&lt;='组合输入'!$L3,"AA",IF(J466&lt;='组合输入'!$M3,"A",IF(J466&lt;='组合输入'!$N3,"BBB",IF(J466&lt;='组合输入'!$O3,"BB",IF(J466&lt;='组合输入'!$P3,"B",IF(J466&lt;='组合输入'!$Q3,"CCC","D")))))))</f>
        <v/>
      </c>
      <c r="L466" s="12">
        <f>IF(K466="","",INDEX('状态价值'!$D3:$K3,MATCH(K466,'状态价值'!$D$1:$K$1,0)))</f>
        <v/>
      </c>
      <c r="M466" s="15">
        <f>NORM.S.INV(RAND())</f>
        <v/>
      </c>
      <c r="N466" s="15">
        <f>IF('组合输入'!$C4="","",'组合输入'!$H4*$B466+SQRT(1-'组合输入'!$H4^2)*M466)</f>
        <v/>
      </c>
      <c r="O466" s="7">
        <f>IF(N466="","",NORM.S.DIST(N466,TRUE))</f>
        <v/>
      </c>
      <c r="P466" s="13">
        <f>IF(O466="","",IF(O466&lt;='组合输入'!$K4,"AAA",IF(O466&lt;='组合输入'!$L4,"AA",IF(O466&lt;='组合输入'!$M4,"A",IF(O466&lt;='组合输入'!$N4,"BBB",IF(O466&lt;='组合输入'!$O4,"BB",IF(O466&lt;='组合输入'!$P4,"B",IF(O466&lt;='组合输入'!$Q4,"CCC","D")))))))</f>
        <v/>
      </c>
      <c r="Q466" s="12">
        <f>IF(P466="","",INDEX('状态价值'!$D4:$K4,MATCH(P466,'状态价值'!$D$1:$K$1,0)))</f>
        <v/>
      </c>
      <c r="R466" s="15">
        <f>NORM.S.INV(RAND())</f>
        <v/>
      </c>
      <c r="S466" s="15">
        <f>IF('组合输入'!$C5="","",'组合输入'!$H5*$B466+SQRT(1-'组合输入'!$H5^2)*R466)</f>
        <v/>
      </c>
      <c r="T466" s="7">
        <f>IF(S466="","",NORM.S.DIST(S466,TRUE))</f>
        <v/>
      </c>
      <c r="U466" s="13">
        <f>IF(T466="","",IF(T466&lt;='组合输入'!$K5,"AAA",IF(T466&lt;='组合输入'!$L5,"AA",IF(T466&lt;='组合输入'!$M5,"A",IF(T466&lt;='组合输入'!$N5,"BBB",IF(T466&lt;='组合输入'!$O5,"BB",IF(T466&lt;='组合输入'!$P5,"B",IF(T466&lt;='组合输入'!$Q5,"CCC","D")))))))</f>
        <v/>
      </c>
      <c r="V466" s="12">
        <f>IF(U466="","",INDEX('状态价值'!$D5:$K5,MATCH(U466,'状态价值'!$D$1:$K$1,0)))</f>
        <v/>
      </c>
      <c r="W466" s="15">
        <f>NORM.S.INV(RAND())</f>
        <v/>
      </c>
      <c r="X466" s="15">
        <f>IF('组合输入'!$C6="","",'组合输入'!$H6*$B466+SQRT(1-'组合输入'!$H6^2)*W466)</f>
        <v/>
      </c>
      <c r="Y466" s="7">
        <f>IF(X466="","",NORM.S.DIST(X466,TRUE))</f>
        <v/>
      </c>
      <c r="Z466" s="13">
        <f>IF(Y466="","",IF(Y466&lt;='组合输入'!$K6,"AAA",IF(Y466&lt;='组合输入'!$L6,"AA",IF(Y466&lt;='组合输入'!$M6,"A",IF(Y466&lt;='组合输入'!$N6,"BBB",IF(Y466&lt;='组合输入'!$O6,"BB",IF(Y466&lt;='组合输入'!$P6,"B",IF(Y466&lt;='组合输入'!$Q6,"CCC","D")))))))</f>
        <v/>
      </c>
      <c r="AA466" s="12">
        <f>IF(Z466="","",INDEX('状态价值'!$D6:$K6,MATCH(Z466,'状态价值'!$D$1:$K$1,0)))</f>
        <v/>
      </c>
      <c r="AB466" s="15">
        <f>NORM.S.INV(RAND())</f>
        <v/>
      </c>
      <c r="AC466" s="15">
        <f>IF('组合输入'!$C7="","",'组合输入'!$H7*$B466+SQRT(1-'组合输入'!$H7^2)*AB466)</f>
        <v/>
      </c>
      <c r="AD466" s="7">
        <f>IF(AC466="","",NORM.S.DIST(AC466,TRUE))</f>
        <v/>
      </c>
      <c r="AE466" s="13">
        <f>IF(AD466="","",IF(AD466&lt;='组合输入'!$K7,"AAA",IF(AD466&lt;='组合输入'!$L7,"AA",IF(AD466&lt;='组合输入'!$M7,"A",IF(AD466&lt;='组合输入'!$N7,"BBB",IF(AD466&lt;='组合输入'!$O7,"BB",IF(AD466&lt;='组合输入'!$P7,"B",IF(AD466&lt;='组合输入'!$Q7,"CCC","D")))))))</f>
        <v/>
      </c>
      <c r="AF466" s="12">
        <f>IF(AE466="","",INDEX('状态价值'!$D7:$K7,MATCH(AE466,'状态价值'!$D$1:$K$1,0)))</f>
        <v/>
      </c>
      <c r="AG466" s="15">
        <f>NORM.S.INV(RAND())</f>
        <v/>
      </c>
      <c r="AH466" s="15">
        <f>IF('组合输入'!$C8="","",'组合输入'!$H8*$B466+SQRT(1-'组合输入'!$H8^2)*AG466)</f>
        <v/>
      </c>
      <c r="AI466" s="7">
        <f>IF(AH466="","",NORM.S.DIST(AH466,TRUE))</f>
        <v/>
      </c>
      <c r="AJ466" s="13">
        <f>IF(AI466="","",IF(AI466&lt;='组合输入'!$K8,"AAA",IF(AI466&lt;='组合输入'!$L8,"AA",IF(AI466&lt;='组合输入'!$M8,"A",IF(AI466&lt;='组合输入'!$N8,"BBB",IF(AI466&lt;='组合输入'!$O8,"BB",IF(AI466&lt;='组合输入'!$P8,"B",IF(AI466&lt;='组合输入'!$Q8,"CCC","D")))))))</f>
        <v/>
      </c>
      <c r="AK466" s="12">
        <f>IF(AJ466="","",INDEX('状态价值'!$D8:$K8,MATCH(AJ466,'状态价值'!$D$1:$K$1,0)))</f>
        <v/>
      </c>
      <c r="AL466" s="15">
        <f>NORM.S.INV(RAND())</f>
        <v/>
      </c>
      <c r="AM466" s="15">
        <f>IF('组合输入'!$C9="","",'组合输入'!$H9*$B466+SQRT(1-'组合输入'!$H9^2)*AL466)</f>
        <v/>
      </c>
      <c r="AN466" s="7">
        <f>IF(AM466="","",NORM.S.DIST(AM466,TRUE))</f>
        <v/>
      </c>
      <c r="AO466" s="13">
        <f>IF(AN466="","",IF(AN466&lt;='组合输入'!$K9,"AAA",IF(AN466&lt;='组合输入'!$L9,"AA",IF(AN466&lt;='组合输入'!$M9,"A",IF(AN466&lt;='组合输入'!$N9,"BBB",IF(AN466&lt;='组合输入'!$O9,"BB",IF(AN466&lt;='组合输入'!$P9,"B",IF(AN466&lt;='组合输入'!$Q9,"CCC","D")))))))</f>
        <v/>
      </c>
      <c r="AP466" s="12">
        <f>IF(AO466="","",INDEX('状态价值'!$D9:$K9,MATCH(AO466,'状态价值'!$D$1:$K$1,0)))</f>
        <v/>
      </c>
      <c r="AQ466" s="15">
        <f>NORM.S.INV(RAND())</f>
        <v/>
      </c>
      <c r="AR466" s="15">
        <f>IF('组合输入'!$C10="","",'组合输入'!$H10*$B466+SQRT(1-'组合输入'!$H10^2)*AQ466)</f>
        <v/>
      </c>
      <c r="AS466" s="7">
        <f>IF(AR466="","",NORM.S.DIST(AR466,TRUE))</f>
        <v/>
      </c>
      <c r="AT466" s="13">
        <f>IF(AS466="","",IF(AS466&lt;='组合输入'!$K10,"AAA",IF(AS466&lt;='组合输入'!$L10,"AA",IF(AS466&lt;='组合输入'!$M10,"A",IF(AS466&lt;='组合输入'!$N10,"BBB",IF(AS466&lt;='组合输入'!$O10,"BB",IF(AS466&lt;='组合输入'!$P10,"B",IF(AS466&lt;='组合输入'!$Q10,"CCC","D")))))))</f>
        <v/>
      </c>
      <c r="AU466" s="12">
        <f>IF(AT466="","",INDEX('状态价值'!$D10:$K10,MATCH(AT466,'状态价值'!$D$1:$K$1,0)))</f>
        <v/>
      </c>
      <c r="AV466" s="15">
        <f>NORM.S.INV(RAND())</f>
        <v/>
      </c>
      <c r="AW466" s="15">
        <f>IF('组合输入'!$C11="","",'组合输入'!$H11*$B466+SQRT(1-'组合输入'!$H11^2)*AV466)</f>
        <v/>
      </c>
      <c r="AX466" s="7">
        <f>IF(AW466="","",NORM.S.DIST(AW466,TRUE))</f>
        <v/>
      </c>
      <c r="AY466" s="13">
        <f>IF(AX466="","",IF(AX466&lt;='组合输入'!$K11,"AAA",IF(AX466&lt;='组合输入'!$L11,"AA",IF(AX466&lt;='组合输入'!$M11,"A",IF(AX466&lt;='组合输入'!$N11,"BBB",IF(AX466&lt;='组合输入'!$O11,"BB",IF(AX466&lt;='组合输入'!$P11,"B",IF(AX466&lt;='组合输入'!$Q11,"CCC","D")))))))</f>
        <v/>
      </c>
      <c r="AZ466" s="12">
        <f>IF(AY466="","",INDEX('状态价值'!$D11:$K11,MATCH(AY466,'状态价值'!$D$1:$K$1,0)))</f>
        <v/>
      </c>
      <c r="BA466" s="12">
        <f>G466+L466+Q466+V466+AA466+AF466+AK466+AP466+AU466+AZ466</f>
        <v/>
      </c>
      <c r="BB466" s="12">
        <f>SUM('组合输入'!$J$2:$J$11)-BA466</f>
        <v/>
      </c>
    </row>
    <row r="467">
      <c r="A467" s="11" t="n">
        <v>466</v>
      </c>
      <c r="B467" s="14">
        <f>NORM.S.INV(RAND())</f>
        <v/>
      </c>
      <c r="C467" s="14">
        <f>NORM.S.INV(RAND())</f>
        <v/>
      </c>
      <c r="D467" s="15">
        <f>IF('组合输入'!$C2="","",'组合输入'!$H2*$B467+SQRT(1-'组合输入'!$H2^2)*C467)</f>
        <v/>
      </c>
      <c r="E467" s="7">
        <f>IF(D467="","",NORM.S.DIST(D467,TRUE))</f>
        <v/>
      </c>
      <c r="F467" s="13">
        <f>IF(E467="","",IF(E467&lt;='组合输入'!$K2,"AAA",IF(E467&lt;='组合输入'!$L2,"AA",IF(E467&lt;='组合输入'!$M2,"A",IF(E467&lt;='组合输入'!$N2,"BBB",IF(E467&lt;='组合输入'!$O2,"BB",IF(E467&lt;='组合输入'!$P2,"B",IF(E467&lt;='组合输入'!$Q2,"CCC","D")))))))</f>
        <v/>
      </c>
      <c r="G467" s="12">
        <f>IF(F467="","",INDEX('状态价值'!$D2:$K2,MATCH(F467,'状态价值'!$D$1:$K$1,0)))</f>
        <v/>
      </c>
      <c r="H467" s="15">
        <f>NORM.S.INV(RAND())</f>
        <v/>
      </c>
      <c r="I467" s="15">
        <f>IF('组合输入'!$C3="","",'组合输入'!$H3*$B467+SQRT(1-'组合输入'!$H3^2)*H467)</f>
        <v/>
      </c>
      <c r="J467" s="7">
        <f>IF(I467="","",NORM.S.DIST(I467,TRUE))</f>
        <v/>
      </c>
      <c r="K467" s="13">
        <f>IF(J467="","",IF(J467&lt;='组合输入'!$K3,"AAA",IF(J467&lt;='组合输入'!$L3,"AA",IF(J467&lt;='组合输入'!$M3,"A",IF(J467&lt;='组合输入'!$N3,"BBB",IF(J467&lt;='组合输入'!$O3,"BB",IF(J467&lt;='组合输入'!$P3,"B",IF(J467&lt;='组合输入'!$Q3,"CCC","D")))))))</f>
        <v/>
      </c>
      <c r="L467" s="12">
        <f>IF(K467="","",INDEX('状态价值'!$D3:$K3,MATCH(K467,'状态价值'!$D$1:$K$1,0)))</f>
        <v/>
      </c>
      <c r="M467" s="15">
        <f>NORM.S.INV(RAND())</f>
        <v/>
      </c>
      <c r="N467" s="15">
        <f>IF('组合输入'!$C4="","",'组合输入'!$H4*$B467+SQRT(1-'组合输入'!$H4^2)*M467)</f>
        <v/>
      </c>
      <c r="O467" s="7">
        <f>IF(N467="","",NORM.S.DIST(N467,TRUE))</f>
        <v/>
      </c>
      <c r="P467" s="13">
        <f>IF(O467="","",IF(O467&lt;='组合输入'!$K4,"AAA",IF(O467&lt;='组合输入'!$L4,"AA",IF(O467&lt;='组合输入'!$M4,"A",IF(O467&lt;='组合输入'!$N4,"BBB",IF(O467&lt;='组合输入'!$O4,"BB",IF(O467&lt;='组合输入'!$P4,"B",IF(O467&lt;='组合输入'!$Q4,"CCC","D")))))))</f>
        <v/>
      </c>
      <c r="Q467" s="12">
        <f>IF(P467="","",INDEX('状态价值'!$D4:$K4,MATCH(P467,'状态价值'!$D$1:$K$1,0)))</f>
        <v/>
      </c>
      <c r="R467" s="15">
        <f>NORM.S.INV(RAND())</f>
        <v/>
      </c>
      <c r="S467" s="15">
        <f>IF('组合输入'!$C5="","",'组合输入'!$H5*$B467+SQRT(1-'组合输入'!$H5^2)*R467)</f>
        <v/>
      </c>
      <c r="T467" s="7">
        <f>IF(S467="","",NORM.S.DIST(S467,TRUE))</f>
        <v/>
      </c>
      <c r="U467" s="13">
        <f>IF(T467="","",IF(T467&lt;='组合输入'!$K5,"AAA",IF(T467&lt;='组合输入'!$L5,"AA",IF(T467&lt;='组合输入'!$M5,"A",IF(T467&lt;='组合输入'!$N5,"BBB",IF(T467&lt;='组合输入'!$O5,"BB",IF(T467&lt;='组合输入'!$P5,"B",IF(T467&lt;='组合输入'!$Q5,"CCC","D")))))))</f>
        <v/>
      </c>
      <c r="V467" s="12">
        <f>IF(U467="","",INDEX('状态价值'!$D5:$K5,MATCH(U467,'状态价值'!$D$1:$K$1,0)))</f>
        <v/>
      </c>
      <c r="W467" s="15">
        <f>NORM.S.INV(RAND())</f>
        <v/>
      </c>
      <c r="X467" s="15">
        <f>IF('组合输入'!$C6="","",'组合输入'!$H6*$B467+SQRT(1-'组合输入'!$H6^2)*W467)</f>
        <v/>
      </c>
      <c r="Y467" s="7">
        <f>IF(X467="","",NORM.S.DIST(X467,TRUE))</f>
        <v/>
      </c>
      <c r="Z467" s="13">
        <f>IF(Y467="","",IF(Y467&lt;='组合输入'!$K6,"AAA",IF(Y467&lt;='组合输入'!$L6,"AA",IF(Y467&lt;='组合输入'!$M6,"A",IF(Y467&lt;='组合输入'!$N6,"BBB",IF(Y467&lt;='组合输入'!$O6,"BB",IF(Y467&lt;='组合输入'!$P6,"B",IF(Y467&lt;='组合输入'!$Q6,"CCC","D")))))))</f>
        <v/>
      </c>
      <c r="AA467" s="12">
        <f>IF(Z467="","",INDEX('状态价值'!$D6:$K6,MATCH(Z467,'状态价值'!$D$1:$K$1,0)))</f>
        <v/>
      </c>
      <c r="AB467" s="15">
        <f>NORM.S.INV(RAND())</f>
        <v/>
      </c>
      <c r="AC467" s="15">
        <f>IF('组合输入'!$C7="","",'组合输入'!$H7*$B467+SQRT(1-'组合输入'!$H7^2)*AB467)</f>
        <v/>
      </c>
      <c r="AD467" s="7">
        <f>IF(AC467="","",NORM.S.DIST(AC467,TRUE))</f>
        <v/>
      </c>
      <c r="AE467" s="13">
        <f>IF(AD467="","",IF(AD467&lt;='组合输入'!$K7,"AAA",IF(AD467&lt;='组合输入'!$L7,"AA",IF(AD467&lt;='组合输入'!$M7,"A",IF(AD467&lt;='组合输入'!$N7,"BBB",IF(AD467&lt;='组合输入'!$O7,"BB",IF(AD467&lt;='组合输入'!$P7,"B",IF(AD467&lt;='组合输入'!$Q7,"CCC","D")))))))</f>
        <v/>
      </c>
      <c r="AF467" s="12">
        <f>IF(AE467="","",INDEX('状态价值'!$D7:$K7,MATCH(AE467,'状态价值'!$D$1:$K$1,0)))</f>
        <v/>
      </c>
      <c r="AG467" s="15">
        <f>NORM.S.INV(RAND())</f>
        <v/>
      </c>
      <c r="AH467" s="15">
        <f>IF('组合输入'!$C8="","",'组合输入'!$H8*$B467+SQRT(1-'组合输入'!$H8^2)*AG467)</f>
        <v/>
      </c>
      <c r="AI467" s="7">
        <f>IF(AH467="","",NORM.S.DIST(AH467,TRUE))</f>
        <v/>
      </c>
      <c r="AJ467" s="13">
        <f>IF(AI467="","",IF(AI467&lt;='组合输入'!$K8,"AAA",IF(AI467&lt;='组合输入'!$L8,"AA",IF(AI467&lt;='组合输入'!$M8,"A",IF(AI467&lt;='组合输入'!$N8,"BBB",IF(AI467&lt;='组合输入'!$O8,"BB",IF(AI467&lt;='组合输入'!$P8,"B",IF(AI467&lt;='组合输入'!$Q8,"CCC","D")))))))</f>
        <v/>
      </c>
      <c r="AK467" s="12">
        <f>IF(AJ467="","",INDEX('状态价值'!$D8:$K8,MATCH(AJ467,'状态价值'!$D$1:$K$1,0)))</f>
        <v/>
      </c>
      <c r="AL467" s="15">
        <f>NORM.S.INV(RAND())</f>
        <v/>
      </c>
      <c r="AM467" s="15">
        <f>IF('组合输入'!$C9="","",'组合输入'!$H9*$B467+SQRT(1-'组合输入'!$H9^2)*AL467)</f>
        <v/>
      </c>
      <c r="AN467" s="7">
        <f>IF(AM467="","",NORM.S.DIST(AM467,TRUE))</f>
        <v/>
      </c>
      <c r="AO467" s="13">
        <f>IF(AN467="","",IF(AN467&lt;='组合输入'!$K9,"AAA",IF(AN467&lt;='组合输入'!$L9,"AA",IF(AN467&lt;='组合输入'!$M9,"A",IF(AN467&lt;='组合输入'!$N9,"BBB",IF(AN467&lt;='组合输入'!$O9,"BB",IF(AN467&lt;='组合输入'!$P9,"B",IF(AN467&lt;='组合输入'!$Q9,"CCC","D")))))))</f>
        <v/>
      </c>
      <c r="AP467" s="12">
        <f>IF(AO467="","",INDEX('状态价值'!$D9:$K9,MATCH(AO467,'状态价值'!$D$1:$K$1,0)))</f>
        <v/>
      </c>
      <c r="AQ467" s="15">
        <f>NORM.S.INV(RAND())</f>
        <v/>
      </c>
      <c r="AR467" s="15">
        <f>IF('组合输入'!$C10="","",'组合输入'!$H10*$B467+SQRT(1-'组合输入'!$H10^2)*AQ467)</f>
        <v/>
      </c>
      <c r="AS467" s="7">
        <f>IF(AR467="","",NORM.S.DIST(AR467,TRUE))</f>
        <v/>
      </c>
      <c r="AT467" s="13">
        <f>IF(AS467="","",IF(AS467&lt;='组合输入'!$K10,"AAA",IF(AS467&lt;='组合输入'!$L10,"AA",IF(AS467&lt;='组合输入'!$M10,"A",IF(AS467&lt;='组合输入'!$N10,"BBB",IF(AS467&lt;='组合输入'!$O10,"BB",IF(AS467&lt;='组合输入'!$P10,"B",IF(AS467&lt;='组合输入'!$Q10,"CCC","D")))))))</f>
        <v/>
      </c>
      <c r="AU467" s="12">
        <f>IF(AT467="","",INDEX('状态价值'!$D10:$K10,MATCH(AT467,'状态价值'!$D$1:$K$1,0)))</f>
        <v/>
      </c>
      <c r="AV467" s="15">
        <f>NORM.S.INV(RAND())</f>
        <v/>
      </c>
      <c r="AW467" s="15">
        <f>IF('组合输入'!$C11="","",'组合输入'!$H11*$B467+SQRT(1-'组合输入'!$H11^2)*AV467)</f>
        <v/>
      </c>
      <c r="AX467" s="7">
        <f>IF(AW467="","",NORM.S.DIST(AW467,TRUE))</f>
        <v/>
      </c>
      <c r="AY467" s="13">
        <f>IF(AX467="","",IF(AX467&lt;='组合输入'!$K11,"AAA",IF(AX467&lt;='组合输入'!$L11,"AA",IF(AX467&lt;='组合输入'!$M11,"A",IF(AX467&lt;='组合输入'!$N11,"BBB",IF(AX467&lt;='组合输入'!$O11,"BB",IF(AX467&lt;='组合输入'!$P11,"B",IF(AX467&lt;='组合输入'!$Q11,"CCC","D")))))))</f>
        <v/>
      </c>
      <c r="AZ467" s="12">
        <f>IF(AY467="","",INDEX('状态价值'!$D11:$K11,MATCH(AY467,'状态价值'!$D$1:$K$1,0)))</f>
        <v/>
      </c>
      <c r="BA467" s="12">
        <f>G467+L467+Q467+V467+AA467+AF467+AK467+AP467+AU467+AZ467</f>
        <v/>
      </c>
      <c r="BB467" s="12">
        <f>SUM('组合输入'!$J$2:$J$11)-BA467</f>
        <v/>
      </c>
    </row>
    <row r="468">
      <c r="A468" s="11" t="n">
        <v>467</v>
      </c>
      <c r="B468" s="14">
        <f>NORM.S.INV(RAND())</f>
        <v/>
      </c>
      <c r="C468" s="14">
        <f>NORM.S.INV(RAND())</f>
        <v/>
      </c>
      <c r="D468" s="15">
        <f>IF('组合输入'!$C2="","",'组合输入'!$H2*$B468+SQRT(1-'组合输入'!$H2^2)*C468)</f>
        <v/>
      </c>
      <c r="E468" s="7">
        <f>IF(D468="","",NORM.S.DIST(D468,TRUE))</f>
        <v/>
      </c>
      <c r="F468" s="13">
        <f>IF(E468="","",IF(E468&lt;='组合输入'!$K2,"AAA",IF(E468&lt;='组合输入'!$L2,"AA",IF(E468&lt;='组合输入'!$M2,"A",IF(E468&lt;='组合输入'!$N2,"BBB",IF(E468&lt;='组合输入'!$O2,"BB",IF(E468&lt;='组合输入'!$P2,"B",IF(E468&lt;='组合输入'!$Q2,"CCC","D")))))))</f>
        <v/>
      </c>
      <c r="G468" s="12">
        <f>IF(F468="","",INDEX('状态价值'!$D2:$K2,MATCH(F468,'状态价值'!$D$1:$K$1,0)))</f>
        <v/>
      </c>
      <c r="H468" s="15">
        <f>NORM.S.INV(RAND())</f>
        <v/>
      </c>
      <c r="I468" s="15">
        <f>IF('组合输入'!$C3="","",'组合输入'!$H3*$B468+SQRT(1-'组合输入'!$H3^2)*H468)</f>
        <v/>
      </c>
      <c r="J468" s="7">
        <f>IF(I468="","",NORM.S.DIST(I468,TRUE))</f>
        <v/>
      </c>
      <c r="K468" s="13">
        <f>IF(J468="","",IF(J468&lt;='组合输入'!$K3,"AAA",IF(J468&lt;='组合输入'!$L3,"AA",IF(J468&lt;='组合输入'!$M3,"A",IF(J468&lt;='组合输入'!$N3,"BBB",IF(J468&lt;='组合输入'!$O3,"BB",IF(J468&lt;='组合输入'!$P3,"B",IF(J468&lt;='组合输入'!$Q3,"CCC","D")))))))</f>
        <v/>
      </c>
      <c r="L468" s="12">
        <f>IF(K468="","",INDEX('状态价值'!$D3:$K3,MATCH(K468,'状态价值'!$D$1:$K$1,0)))</f>
        <v/>
      </c>
      <c r="M468" s="15">
        <f>NORM.S.INV(RAND())</f>
        <v/>
      </c>
      <c r="N468" s="15">
        <f>IF('组合输入'!$C4="","",'组合输入'!$H4*$B468+SQRT(1-'组合输入'!$H4^2)*M468)</f>
        <v/>
      </c>
      <c r="O468" s="7">
        <f>IF(N468="","",NORM.S.DIST(N468,TRUE))</f>
        <v/>
      </c>
      <c r="P468" s="13">
        <f>IF(O468="","",IF(O468&lt;='组合输入'!$K4,"AAA",IF(O468&lt;='组合输入'!$L4,"AA",IF(O468&lt;='组合输入'!$M4,"A",IF(O468&lt;='组合输入'!$N4,"BBB",IF(O468&lt;='组合输入'!$O4,"BB",IF(O468&lt;='组合输入'!$P4,"B",IF(O468&lt;='组合输入'!$Q4,"CCC","D")))))))</f>
        <v/>
      </c>
      <c r="Q468" s="12">
        <f>IF(P468="","",INDEX('状态价值'!$D4:$K4,MATCH(P468,'状态价值'!$D$1:$K$1,0)))</f>
        <v/>
      </c>
      <c r="R468" s="15">
        <f>NORM.S.INV(RAND())</f>
        <v/>
      </c>
      <c r="S468" s="15">
        <f>IF('组合输入'!$C5="","",'组合输入'!$H5*$B468+SQRT(1-'组合输入'!$H5^2)*R468)</f>
        <v/>
      </c>
      <c r="T468" s="7">
        <f>IF(S468="","",NORM.S.DIST(S468,TRUE))</f>
        <v/>
      </c>
      <c r="U468" s="13">
        <f>IF(T468="","",IF(T468&lt;='组合输入'!$K5,"AAA",IF(T468&lt;='组合输入'!$L5,"AA",IF(T468&lt;='组合输入'!$M5,"A",IF(T468&lt;='组合输入'!$N5,"BBB",IF(T468&lt;='组合输入'!$O5,"BB",IF(T468&lt;='组合输入'!$P5,"B",IF(T468&lt;='组合输入'!$Q5,"CCC","D")))))))</f>
        <v/>
      </c>
      <c r="V468" s="12">
        <f>IF(U468="","",INDEX('状态价值'!$D5:$K5,MATCH(U468,'状态价值'!$D$1:$K$1,0)))</f>
        <v/>
      </c>
      <c r="W468" s="15">
        <f>NORM.S.INV(RAND())</f>
        <v/>
      </c>
      <c r="X468" s="15">
        <f>IF('组合输入'!$C6="","",'组合输入'!$H6*$B468+SQRT(1-'组合输入'!$H6^2)*W468)</f>
        <v/>
      </c>
      <c r="Y468" s="7">
        <f>IF(X468="","",NORM.S.DIST(X468,TRUE))</f>
        <v/>
      </c>
      <c r="Z468" s="13">
        <f>IF(Y468="","",IF(Y468&lt;='组合输入'!$K6,"AAA",IF(Y468&lt;='组合输入'!$L6,"AA",IF(Y468&lt;='组合输入'!$M6,"A",IF(Y468&lt;='组合输入'!$N6,"BBB",IF(Y468&lt;='组合输入'!$O6,"BB",IF(Y468&lt;='组合输入'!$P6,"B",IF(Y468&lt;='组合输入'!$Q6,"CCC","D")))))))</f>
        <v/>
      </c>
      <c r="AA468" s="12">
        <f>IF(Z468="","",INDEX('状态价值'!$D6:$K6,MATCH(Z468,'状态价值'!$D$1:$K$1,0)))</f>
        <v/>
      </c>
      <c r="AB468" s="15">
        <f>NORM.S.INV(RAND())</f>
        <v/>
      </c>
      <c r="AC468" s="15">
        <f>IF('组合输入'!$C7="","",'组合输入'!$H7*$B468+SQRT(1-'组合输入'!$H7^2)*AB468)</f>
        <v/>
      </c>
      <c r="AD468" s="7">
        <f>IF(AC468="","",NORM.S.DIST(AC468,TRUE))</f>
        <v/>
      </c>
      <c r="AE468" s="13">
        <f>IF(AD468="","",IF(AD468&lt;='组合输入'!$K7,"AAA",IF(AD468&lt;='组合输入'!$L7,"AA",IF(AD468&lt;='组合输入'!$M7,"A",IF(AD468&lt;='组合输入'!$N7,"BBB",IF(AD468&lt;='组合输入'!$O7,"BB",IF(AD468&lt;='组合输入'!$P7,"B",IF(AD468&lt;='组合输入'!$Q7,"CCC","D")))))))</f>
        <v/>
      </c>
      <c r="AF468" s="12">
        <f>IF(AE468="","",INDEX('状态价值'!$D7:$K7,MATCH(AE468,'状态价值'!$D$1:$K$1,0)))</f>
        <v/>
      </c>
      <c r="AG468" s="15">
        <f>NORM.S.INV(RAND())</f>
        <v/>
      </c>
      <c r="AH468" s="15">
        <f>IF('组合输入'!$C8="","",'组合输入'!$H8*$B468+SQRT(1-'组合输入'!$H8^2)*AG468)</f>
        <v/>
      </c>
      <c r="AI468" s="7">
        <f>IF(AH468="","",NORM.S.DIST(AH468,TRUE))</f>
        <v/>
      </c>
      <c r="AJ468" s="13">
        <f>IF(AI468="","",IF(AI468&lt;='组合输入'!$K8,"AAA",IF(AI468&lt;='组合输入'!$L8,"AA",IF(AI468&lt;='组合输入'!$M8,"A",IF(AI468&lt;='组合输入'!$N8,"BBB",IF(AI468&lt;='组合输入'!$O8,"BB",IF(AI468&lt;='组合输入'!$P8,"B",IF(AI468&lt;='组合输入'!$Q8,"CCC","D")))))))</f>
        <v/>
      </c>
      <c r="AK468" s="12">
        <f>IF(AJ468="","",INDEX('状态价值'!$D8:$K8,MATCH(AJ468,'状态价值'!$D$1:$K$1,0)))</f>
        <v/>
      </c>
      <c r="AL468" s="15">
        <f>NORM.S.INV(RAND())</f>
        <v/>
      </c>
      <c r="AM468" s="15">
        <f>IF('组合输入'!$C9="","",'组合输入'!$H9*$B468+SQRT(1-'组合输入'!$H9^2)*AL468)</f>
        <v/>
      </c>
      <c r="AN468" s="7">
        <f>IF(AM468="","",NORM.S.DIST(AM468,TRUE))</f>
        <v/>
      </c>
      <c r="AO468" s="13">
        <f>IF(AN468="","",IF(AN468&lt;='组合输入'!$K9,"AAA",IF(AN468&lt;='组合输入'!$L9,"AA",IF(AN468&lt;='组合输入'!$M9,"A",IF(AN468&lt;='组合输入'!$N9,"BBB",IF(AN468&lt;='组合输入'!$O9,"BB",IF(AN468&lt;='组合输入'!$P9,"B",IF(AN468&lt;='组合输入'!$Q9,"CCC","D")))))))</f>
        <v/>
      </c>
      <c r="AP468" s="12">
        <f>IF(AO468="","",INDEX('状态价值'!$D9:$K9,MATCH(AO468,'状态价值'!$D$1:$K$1,0)))</f>
        <v/>
      </c>
      <c r="AQ468" s="15">
        <f>NORM.S.INV(RAND())</f>
        <v/>
      </c>
      <c r="AR468" s="15">
        <f>IF('组合输入'!$C10="","",'组合输入'!$H10*$B468+SQRT(1-'组合输入'!$H10^2)*AQ468)</f>
        <v/>
      </c>
      <c r="AS468" s="7">
        <f>IF(AR468="","",NORM.S.DIST(AR468,TRUE))</f>
        <v/>
      </c>
      <c r="AT468" s="13">
        <f>IF(AS468="","",IF(AS468&lt;='组合输入'!$K10,"AAA",IF(AS468&lt;='组合输入'!$L10,"AA",IF(AS468&lt;='组合输入'!$M10,"A",IF(AS468&lt;='组合输入'!$N10,"BBB",IF(AS468&lt;='组合输入'!$O10,"BB",IF(AS468&lt;='组合输入'!$P10,"B",IF(AS468&lt;='组合输入'!$Q10,"CCC","D")))))))</f>
        <v/>
      </c>
      <c r="AU468" s="12">
        <f>IF(AT468="","",INDEX('状态价值'!$D10:$K10,MATCH(AT468,'状态价值'!$D$1:$K$1,0)))</f>
        <v/>
      </c>
      <c r="AV468" s="15">
        <f>NORM.S.INV(RAND())</f>
        <v/>
      </c>
      <c r="AW468" s="15">
        <f>IF('组合输入'!$C11="","",'组合输入'!$H11*$B468+SQRT(1-'组合输入'!$H11^2)*AV468)</f>
        <v/>
      </c>
      <c r="AX468" s="7">
        <f>IF(AW468="","",NORM.S.DIST(AW468,TRUE))</f>
        <v/>
      </c>
      <c r="AY468" s="13">
        <f>IF(AX468="","",IF(AX468&lt;='组合输入'!$K11,"AAA",IF(AX468&lt;='组合输入'!$L11,"AA",IF(AX468&lt;='组合输入'!$M11,"A",IF(AX468&lt;='组合输入'!$N11,"BBB",IF(AX468&lt;='组合输入'!$O11,"BB",IF(AX468&lt;='组合输入'!$P11,"B",IF(AX468&lt;='组合输入'!$Q11,"CCC","D")))))))</f>
        <v/>
      </c>
      <c r="AZ468" s="12">
        <f>IF(AY468="","",INDEX('状态价值'!$D11:$K11,MATCH(AY468,'状态价值'!$D$1:$K$1,0)))</f>
        <v/>
      </c>
      <c r="BA468" s="12">
        <f>G468+L468+Q468+V468+AA468+AF468+AK468+AP468+AU468+AZ468</f>
        <v/>
      </c>
      <c r="BB468" s="12">
        <f>SUM('组合输入'!$J$2:$J$11)-BA468</f>
        <v/>
      </c>
    </row>
    <row r="469">
      <c r="A469" s="11" t="n">
        <v>468</v>
      </c>
      <c r="B469" s="14">
        <f>NORM.S.INV(RAND())</f>
        <v/>
      </c>
      <c r="C469" s="14">
        <f>NORM.S.INV(RAND())</f>
        <v/>
      </c>
      <c r="D469" s="15">
        <f>IF('组合输入'!$C2="","",'组合输入'!$H2*$B469+SQRT(1-'组合输入'!$H2^2)*C469)</f>
        <v/>
      </c>
      <c r="E469" s="7">
        <f>IF(D469="","",NORM.S.DIST(D469,TRUE))</f>
        <v/>
      </c>
      <c r="F469" s="13">
        <f>IF(E469="","",IF(E469&lt;='组合输入'!$K2,"AAA",IF(E469&lt;='组合输入'!$L2,"AA",IF(E469&lt;='组合输入'!$M2,"A",IF(E469&lt;='组合输入'!$N2,"BBB",IF(E469&lt;='组合输入'!$O2,"BB",IF(E469&lt;='组合输入'!$P2,"B",IF(E469&lt;='组合输入'!$Q2,"CCC","D")))))))</f>
        <v/>
      </c>
      <c r="G469" s="12">
        <f>IF(F469="","",INDEX('状态价值'!$D2:$K2,MATCH(F469,'状态价值'!$D$1:$K$1,0)))</f>
        <v/>
      </c>
      <c r="H469" s="15">
        <f>NORM.S.INV(RAND())</f>
        <v/>
      </c>
      <c r="I469" s="15">
        <f>IF('组合输入'!$C3="","",'组合输入'!$H3*$B469+SQRT(1-'组合输入'!$H3^2)*H469)</f>
        <v/>
      </c>
      <c r="J469" s="7">
        <f>IF(I469="","",NORM.S.DIST(I469,TRUE))</f>
        <v/>
      </c>
      <c r="K469" s="13">
        <f>IF(J469="","",IF(J469&lt;='组合输入'!$K3,"AAA",IF(J469&lt;='组合输入'!$L3,"AA",IF(J469&lt;='组合输入'!$M3,"A",IF(J469&lt;='组合输入'!$N3,"BBB",IF(J469&lt;='组合输入'!$O3,"BB",IF(J469&lt;='组合输入'!$P3,"B",IF(J469&lt;='组合输入'!$Q3,"CCC","D")))))))</f>
        <v/>
      </c>
      <c r="L469" s="12">
        <f>IF(K469="","",INDEX('状态价值'!$D3:$K3,MATCH(K469,'状态价值'!$D$1:$K$1,0)))</f>
        <v/>
      </c>
      <c r="M469" s="15">
        <f>NORM.S.INV(RAND())</f>
        <v/>
      </c>
      <c r="N469" s="15">
        <f>IF('组合输入'!$C4="","",'组合输入'!$H4*$B469+SQRT(1-'组合输入'!$H4^2)*M469)</f>
        <v/>
      </c>
      <c r="O469" s="7">
        <f>IF(N469="","",NORM.S.DIST(N469,TRUE))</f>
        <v/>
      </c>
      <c r="P469" s="13">
        <f>IF(O469="","",IF(O469&lt;='组合输入'!$K4,"AAA",IF(O469&lt;='组合输入'!$L4,"AA",IF(O469&lt;='组合输入'!$M4,"A",IF(O469&lt;='组合输入'!$N4,"BBB",IF(O469&lt;='组合输入'!$O4,"BB",IF(O469&lt;='组合输入'!$P4,"B",IF(O469&lt;='组合输入'!$Q4,"CCC","D")))))))</f>
        <v/>
      </c>
      <c r="Q469" s="12">
        <f>IF(P469="","",INDEX('状态价值'!$D4:$K4,MATCH(P469,'状态价值'!$D$1:$K$1,0)))</f>
        <v/>
      </c>
      <c r="R469" s="15">
        <f>NORM.S.INV(RAND())</f>
        <v/>
      </c>
      <c r="S469" s="15">
        <f>IF('组合输入'!$C5="","",'组合输入'!$H5*$B469+SQRT(1-'组合输入'!$H5^2)*R469)</f>
        <v/>
      </c>
      <c r="T469" s="7">
        <f>IF(S469="","",NORM.S.DIST(S469,TRUE))</f>
        <v/>
      </c>
      <c r="U469" s="13">
        <f>IF(T469="","",IF(T469&lt;='组合输入'!$K5,"AAA",IF(T469&lt;='组合输入'!$L5,"AA",IF(T469&lt;='组合输入'!$M5,"A",IF(T469&lt;='组合输入'!$N5,"BBB",IF(T469&lt;='组合输入'!$O5,"BB",IF(T469&lt;='组合输入'!$P5,"B",IF(T469&lt;='组合输入'!$Q5,"CCC","D")))))))</f>
        <v/>
      </c>
      <c r="V469" s="12">
        <f>IF(U469="","",INDEX('状态价值'!$D5:$K5,MATCH(U469,'状态价值'!$D$1:$K$1,0)))</f>
        <v/>
      </c>
      <c r="W469" s="15">
        <f>NORM.S.INV(RAND())</f>
        <v/>
      </c>
      <c r="X469" s="15">
        <f>IF('组合输入'!$C6="","",'组合输入'!$H6*$B469+SQRT(1-'组合输入'!$H6^2)*W469)</f>
        <v/>
      </c>
      <c r="Y469" s="7">
        <f>IF(X469="","",NORM.S.DIST(X469,TRUE))</f>
        <v/>
      </c>
      <c r="Z469" s="13">
        <f>IF(Y469="","",IF(Y469&lt;='组合输入'!$K6,"AAA",IF(Y469&lt;='组合输入'!$L6,"AA",IF(Y469&lt;='组合输入'!$M6,"A",IF(Y469&lt;='组合输入'!$N6,"BBB",IF(Y469&lt;='组合输入'!$O6,"BB",IF(Y469&lt;='组合输入'!$P6,"B",IF(Y469&lt;='组合输入'!$Q6,"CCC","D")))))))</f>
        <v/>
      </c>
      <c r="AA469" s="12">
        <f>IF(Z469="","",INDEX('状态价值'!$D6:$K6,MATCH(Z469,'状态价值'!$D$1:$K$1,0)))</f>
        <v/>
      </c>
      <c r="AB469" s="15">
        <f>NORM.S.INV(RAND())</f>
        <v/>
      </c>
      <c r="AC469" s="15">
        <f>IF('组合输入'!$C7="","",'组合输入'!$H7*$B469+SQRT(1-'组合输入'!$H7^2)*AB469)</f>
        <v/>
      </c>
      <c r="AD469" s="7">
        <f>IF(AC469="","",NORM.S.DIST(AC469,TRUE))</f>
        <v/>
      </c>
      <c r="AE469" s="13">
        <f>IF(AD469="","",IF(AD469&lt;='组合输入'!$K7,"AAA",IF(AD469&lt;='组合输入'!$L7,"AA",IF(AD469&lt;='组合输入'!$M7,"A",IF(AD469&lt;='组合输入'!$N7,"BBB",IF(AD469&lt;='组合输入'!$O7,"BB",IF(AD469&lt;='组合输入'!$P7,"B",IF(AD469&lt;='组合输入'!$Q7,"CCC","D")))))))</f>
        <v/>
      </c>
      <c r="AF469" s="12">
        <f>IF(AE469="","",INDEX('状态价值'!$D7:$K7,MATCH(AE469,'状态价值'!$D$1:$K$1,0)))</f>
        <v/>
      </c>
      <c r="AG469" s="15">
        <f>NORM.S.INV(RAND())</f>
        <v/>
      </c>
      <c r="AH469" s="15">
        <f>IF('组合输入'!$C8="","",'组合输入'!$H8*$B469+SQRT(1-'组合输入'!$H8^2)*AG469)</f>
        <v/>
      </c>
      <c r="AI469" s="7">
        <f>IF(AH469="","",NORM.S.DIST(AH469,TRUE))</f>
        <v/>
      </c>
      <c r="AJ469" s="13">
        <f>IF(AI469="","",IF(AI469&lt;='组合输入'!$K8,"AAA",IF(AI469&lt;='组合输入'!$L8,"AA",IF(AI469&lt;='组合输入'!$M8,"A",IF(AI469&lt;='组合输入'!$N8,"BBB",IF(AI469&lt;='组合输入'!$O8,"BB",IF(AI469&lt;='组合输入'!$P8,"B",IF(AI469&lt;='组合输入'!$Q8,"CCC","D")))))))</f>
        <v/>
      </c>
      <c r="AK469" s="12">
        <f>IF(AJ469="","",INDEX('状态价值'!$D8:$K8,MATCH(AJ469,'状态价值'!$D$1:$K$1,0)))</f>
        <v/>
      </c>
      <c r="AL469" s="15">
        <f>NORM.S.INV(RAND())</f>
        <v/>
      </c>
      <c r="AM469" s="15">
        <f>IF('组合输入'!$C9="","",'组合输入'!$H9*$B469+SQRT(1-'组合输入'!$H9^2)*AL469)</f>
        <v/>
      </c>
      <c r="AN469" s="7">
        <f>IF(AM469="","",NORM.S.DIST(AM469,TRUE))</f>
        <v/>
      </c>
      <c r="AO469" s="13">
        <f>IF(AN469="","",IF(AN469&lt;='组合输入'!$K9,"AAA",IF(AN469&lt;='组合输入'!$L9,"AA",IF(AN469&lt;='组合输入'!$M9,"A",IF(AN469&lt;='组合输入'!$N9,"BBB",IF(AN469&lt;='组合输入'!$O9,"BB",IF(AN469&lt;='组合输入'!$P9,"B",IF(AN469&lt;='组合输入'!$Q9,"CCC","D")))))))</f>
        <v/>
      </c>
      <c r="AP469" s="12">
        <f>IF(AO469="","",INDEX('状态价值'!$D9:$K9,MATCH(AO469,'状态价值'!$D$1:$K$1,0)))</f>
        <v/>
      </c>
      <c r="AQ469" s="15">
        <f>NORM.S.INV(RAND())</f>
        <v/>
      </c>
      <c r="AR469" s="15">
        <f>IF('组合输入'!$C10="","",'组合输入'!$H10*$B469+SQRT(1-'组合输入'!$H10^2)*AQ469)</f>
        <v/>
      </c>
      <c r="AS469" s="7">
        <f>IF(AR469="","",NORM.S.DIST(AR469,TRUE))</f>
        <v/>
      </c>
      <c r="AT469" s="13">
        <f>IF(AS469="","",IF(AS469&lt;='组合输入'!$K10,"AAA",IF(AS469&lt;='组合输入'!$L10,"AA",IF(AS469&lt;='组合输入'!$M10,"A",IF(AS469&lt;='组合输入'!$N10,"BBB",IF(AS469&lt;='组合输入'!$O10,"BB",IF(AS469&lt;='组合输入'!$P10,"B",IF(AS469&lt;='组合输入'!$Q10,"CCC","D")))))))</f>
        <v/>
      </c>
      <c r="AU469" s="12">
        <f>IF(AT469="","",INDEX('状态价值'!$D10:$K10,MATCH(AT469,'状态价值'!$D$1:$K$1,0)))</f>
        <v/>
      </c>
      <c r="AV469" s="15">
        <f>NORM.S.INV(RAND())</f>
        <v/>
      </c>
      <c r="AW469" s="15">
        <f>IF('组合输入'!$C11="","",'组合输入'!$H11*$B469+SQRT(1-'组合输入'!$H11^2)*AV469)</f>
        <v/>
      </c>
      <c r="AX469" s="7">
        <f>IF(AW469="","",NORM.S.DIST(AW469,TRUE))</f>
        <v/>
      </c>
      <c r="AY469" s="13">
        <f>IF(AX469="","",IF(AX469&lt;='组合输入'!$K11,"AAA",IF(AX469&lt;='组合输入'!$L11,"AA",IF(AX469&lt;='组合输入'!$M11,"A",IF(AX469&lt;='组合输入'!$N11,"BBB",IF(AX469&lt;='组合输入'!$O11,"BB",IF(AX469&lt;='组合输入'!$P11,"B",IF(AX469&lt;='组合输入'!$Q11,"CCC","D")))))))</f>
        <v/>
      </c>
      <c r="AZ469" s="12">
        <f>IF(AY469="","",INDEX('状态价值'!$D11:$K11,MATCH(AY469,'状态价值'!$D$1:$K$1,0)))</f>
        <v/>
      </c>
      <c r="BA469" s="12">
        <f>G469+L469+Q469+V469+AA469+AF469+AK469+AP469+AU469+AZ469</f>
        <v/>
      </c>
      <c r="BB469" s="12">
        <f>SUM('组合输入'!$J$2:$J$11)-BA469</f>
        <v/>
      </c>
    </row>
    <row r="470">
      <c r="A470" s="11" t="n">
        <v>469</v>
      </c>
      <c r="B470" s="14">
        <f>NORM.S.INV(RAND())</f>
        <v/>
      </c>
      <c r="C470" s="14">
        <f>NORM.S.INV(RAND())</f>
        <v/>
      </c>
      <c r="D470" s="15">
        <f>IF('组合输入'!$C2="","",'组合输入'!$H2*$B470+SQRT(1-'组合输入'!$H2^2)*C470)</f>
        <v/>
      </c>
      <c r="E470" s="7">
        <f>IF(D470="","",NORM.S.DIST(D470,TRUE))</f>
        <v/>
      </c>
      <c r="F470" s="13">
        <f>IF(E470="","",IF(E470&lt;='组合输入'!$K2,"AAA",IF(E470&lt;='组合输入'!$L2,"AA",IF(E470&lt;='组合输入'!$M2,"A",IF(E470&lt;='组合输入'!$N2,"BBB",IF(E470&lt;='组合输入'!$O2,"BB",IF(E470&lt;='组合输入'!$P2,"B",IF(E470&lt;='组合输入'!$Q2,"CCC","D")))))))</f>
        <v/>
      </c>
      <c r="G470" s="12">
        <f>IF(F470="","",INDEX('状态价值'!$D2:$K2,MATCH(F470,'状态价值'!$D$1:$K$1,0)))</f>
        <v/>
      </c>
      <c r="H470" s="15">
        <f>NORM.S.INV(RAND())</f>
        <v/>
      </c>
      <c r="I470" s="15">
        <f>IF('组合输入'!$C3="","",'组合输入'!$H3*$B470+SQRT(1-'组合输入'!$H3^2)*H470)</f>
        <v/>
      </c>
      <c r="J470" s="7">
        <f>IF(I470="","",NORM.S.DIST(I470,TRUE))</f>
        <v/>
      </c>
      <c r="K470" s="13">
        <f>IF(J470="","",IF(J470&lt;='组合输入'!$K3,"AAA",IF(J470&lt;='组合输入'!$L3,"AA",IF(J470&lt;='组合输入'!$M3,"A",IF(J470&lt;='组合输入'!$N3,"BBB",IF(J470&lt;='组合输入'!$O3,"BB",IF(J470&lt;='组合输入'!$P3,"B",IF(J470&lt;='组合输入'!$Q3,"CCC","D")))))))</f>
        <v/>
      </c>
      <c r="L470" s="12">
        <f>IF(K470="","",INDEX('状态价值'!$D3:$K3,MATCH(K470,'状态价值'!$D$1:$K$1,0)))</f>
        <v/>
      </c>
      <c r="M470" s="15">
        <f>NORM.S.INV(RAND())</f>
        <v/>
      </c>
      <c r="N470" s="15">
        <f>IF('组合输入'!$C4="","",'组合输入'!$H4*$B470+SQRT(1-'组合输入'!$H4^2)*M470)</f>
        <v/>
      </c>
      <c r="O470" s="7">
        <f>IF(N470="","",NORM.S.DIST(N470,TRUE))</f>
        <v/>
      </c>
      <c r="P470" s="13">
        <f>IF(O470="","",IF(O470&lt;='组合输入'!$K4,"AAA",IF(O470&lt;='组合输入'!$L4,"AA",IF(O470&lt;='组合输入'!$M4,"A",IF(O470&lt;='组合输入'!$N4,"BBB",IF(O470&lt;='组合输入'!$O4,"BB",IF(O470&lt;='组合输入'!$P4,"B",IF(O470&lt;='组合输入'!$Q4,"CCC","D")))))))</f>
        <v/>
      </c>
      <c r="Q470" s="12">
        <f>IF(P470="","",INDEX('状态价值'!$D4:$K4,MATCH(P470,'状态价值'!$D$1:$K$1,0)))</f>
        <v/>
      </c>
      <c r="R470" s="15">
        <f>NORM.S.INV(RAND())</f>
        <v/>
      </c>
      <c r="S470" s="15">
        <f>IF('组合输入'!$C5="","",'组合输入'!$H5*$B470+SQRT(1-'组合输入'!$H5^2)*R470)</f>
        <v/>
      </c>
      <c r="T470" s="7">
        <f>IF(S470="","",NORM.S.DIST(S470,TRUE))</f>
        <v/>
      </c>
      <c r="U470" s="13">
        <f>IF(T470="","",IF(T470&lt;='组合输入'!$K5,"AAA",IF(T470&lt;='组合输入'!$L5,"AA",IF(T470&lt;='组合输入'!$M5,"A",IF(T470&lt;='组合输入'!$N5,"BBB",IF(T470&lt;='组合输入'!$O5,"BB",IF(T470&lt;='组合输入'!$P5,"B",IF(T470&lt;='组合输入'!$Q5,"CCC","D")))))))</f>
        <v/>
      </c>
      <c r="V470" s="12">
        <f>IF(U470="","",INDEX('状态价值'!$D5:$K5,MATCH(U470,'状态价值'!$D$1:$K$1,0)))</f>
        <v/>
      </c>
      <c r="W470" s="15">
        <f>NORM.S.INV(RAND())</f>
        <v/>
      </c>
      <c r="X470" s="15">
        <f>IF('组合输入'!$C6="","",'组合输入'!$H6*$B470+SQRT(1-'组合输入'!$H6^2)*W470)</f>
        <v/>
      </c>
      <c r="Y470" s="7">
        <f>IF(X470="","",NORM.S.DIST(X470,TRUE))</f>
        <v/>
      </c>
      <c r="Z470" s="13">
        <f>IF(Y470="","",IF(Y470&lt;='组合输入'!$K6,"AAA",IF(Y470&lt;='组合输入'!$L6,"AA",IF(Y470&lt;='组合输入'!$M6,"A",IF(Y470&lt;='组合输入'!$N6,"BBB",IF(Y470&lt;='组合输入'!$O6,"BB",IF(Y470&lt;='组合输入'!$P6,"B",IF(Y470&lt;='组合输入'!$Q6,"CCC","D")))))))</f>
        <v/>
      </c>
      <c r="AA470" s="12">
        <f>IF(Z470="","",INDEX('状态价值'!$D6:$K6,MATCH(Z470,'状态价值'!$D$1:$K$1,0)))</f>
        <v/>
      </c>
      <c r="AB470" s="15">
        <f>NORM.S.INV(RAND())</f>
        <v/>
      </c>
      <c r="AC470" s="15">
        <f>IF('组合输入'!$C7="","",'组合输入'!$H7*$B470+SQRT(1-'组合输入'!$H7^2)*AB470)</f>
        <v/>
      </c>
      <c r="AD470" s="7">
        <f>IF(AC470="","",NORM.S.DIST(AC470,TRUE))</f>
        <v/>
      </c>
      <c r="AE470" s="13">
        <f>IF(AD470="","",IF(AD470&lt;='组合输入'!$K7,"AAA",IF(AD470&lt;='组合输入'!$L7,"AA",IF(AD470&lt;='组合输入'!$M7,"A",IF(AD470&lt;='组合输入'!$N7,"BBB",IF(AD470&lt;='组合输入'!$O7,"BB",IF(AD470&lt;='组合输入'!$P7,"B",IF(AD470&lt;='组合输入'!$Q7,"CCC","D")))))))</f>
        <v/>
      </c>
      <c r="AF470" s="12">
        <f>IF(AE470="","",INDEX('状态价值'!$D7:$K7,MATCH(AE470,'状态价值'!$D$1:$K$1,0)))</f>
        <v/>
      </c>
      <c r="AG470" s="15">
        <f>NORM.S.INV(RAND())</f>
        <v/>
      </c>
      <c r="AH470" s="15">
        <f>IF('组合输入'!$C8="","",'组合输入'!$H8*$B470+SQRT(1-'组合输入'!$H8^2)*AG470)</f>
        <v/>
      </c>
      <c r="AI470" s="7">
        <f>IF(AH470="","",NORM.S.DIST(AH470,TRUE))</f>
        <v/>
      </c>
      <c r="AJ470" s="13">
        <f>IF(AI470="","",IF(AI470&lt;='组合输入'!$K8,"AAA",IF(AI470&lt;='组合输入'!$L8,"AA",IF(AI470&lt;='组合输入'!$M8,"A",IF(AI470&lt;='组合输入'!$N8,"BBB",IF(AI470&lt;='组合输入'!$O8,"BB",IF(AI470&lt;='组合输入'!$P8,"B",IF(AI470&lt;='组合输入'!$Q8,"CCC","D")))))))</f>
        <v/>
      </c>
      <c r="AK470" s="12">
        <f>IF(AJ470="","",INDEX('状态价值'!$D8:$K8,MATCH(AJ470,'状态价值'!$D$1:$K$1,0)))</f>
        <v/>
      </c>
      <c r="AL470" s="15">
        <f>NORM.S.INV(RAND())</f>
        <v/>
      </c>
      <c r="AM470" s="15">
        <f>IF('组合输入'!$C9="","",'组合输入'!$H9*$B470+SQRT(1-'组合输入'!$H9^2)*AL470)</f>
        <v/>
      </c>
      <c r="AN470" s="7">
        <f>IF(AM470="","",NORM.S.DIST(AM470,TRUE))</f>
        <v/>
      </c>
      <c r="AO470" s="13">
        <f>IF(AN470="","",IF(AN470&lt;='组合输入'!$K9,"AAA",IF(AN470&lt;='组合输入'!$L9,"AA",IF(AN470&lt;='组合输入'!$M9,"A",IF(AN470&lt;='组合输入'!$N9,"BBB",IF(AN470&lt;='组合输入'!$O9,"BB",IF(AN470&lt;='组合输入'!$P9,"B",IF(AN470&lt;='组合输入'!$Q9,"CCC","D")))))))</f>
        <v/>
      </c>
      <c r="AP470" s="12">
        <f>IF(AO470="","",INDEX('状态价值'!$D9:$K9,MATCH(AO470,'状态价值'!$D$1:$K$1,0)))</f>
        <v/>
      </c>
      <c r="AQ470" s="15">
        <f>NORM.S.INV(RAND())</f>
        <v/>
      </c>
      <c r="AR470" s="15">
        <f>IF('组合输入'!$C10="","",'组合输入'!$H10*$B470+SQRT(1-'组合输入'!$H10^2)*AQ470)</f>
        <v/>
      </c>
      <c r="AS470" s="7">
        <f>IF(AR470="","",NORM.S.DIST(AR470,TRUE))</f>
        <v/>
      </c>
      <c r="AT470" s="13">
        <f>IF(AS470="","",IF(AS470&lt;='组合输入'!$K10,"AAA",IF(AS470&lt;='组合输入'!$L10,"AA",IF(AS470&lt;='组合输入'!$M10,"A",IF(AS470&lt;='组合输入'!$N10,"BBB",IF(AS470&lt;='组合输入'!$O10,"BB",IF(AS470&lt;='组合输入'!$P10,"B",IF(AS470&lt;='组合输入'!$Q10,"CCC","D")))))))</f>
        <v/>
      </c>
      <c r="AU470" s="12">
        <f>IF(AT470="","",INDEX('状态价值'!$D10:$K10,MATCH(AT470,'状态价值'!$D$1:$K$1,0)))</f>
        <v/>
      </c>
      <c r="AV470" s="15">
        <f>NORM.S.INV(RAND())</f>
        <v/>
      </c>
      <c r="AW470" s="15">
        <f>IF('组合输入'!$C11="","",'组合输入'!$H11*$B470+SQRT(1-'组合输入'!$H11^2)*AV470)</f>
        <v/>
      </c>
      <c r="AX470" s="7">
        <f>IF(AW470="","",NORM.S.DIST(AW470,TRUE))</f>
        <v/>
      </c>
      <c r="AY470" s="13">
        <f>IF(AX470="","",IF(AX470&lt;='组合输入'!$K11,"AAA",IF(AX470&lt;='组合输入'!$L11,"AA",IF(AX470&lt;='组合输入'!$M11,"A",IF(AX470&lt;='组合输入'!$N11,"BBB",IF(AX470&lt;='组合输入'!$O11,"BB",IF(AX470&lt;='组合输入'!$P11,"B",IF(AX470&lt;='组合输入'!$Q11,"CCC","D")))))))</f>
        <v/>
      </c>
      <c r="AZ470" s="12">
        <f>IF(AY470="","",INDEX('状态价值'!$D11:$K11,MATCH(AY470,'状态价值'!$D$1:$K$1,0)))</f>
        <v/>
      </c>
      <c r="BA470" s="12">
        <f>G470+L470+Q470+V470+AA470+AF470+AK470+AP470+AU470+AZ470</f>
        <v/>
      </c>
      <c r="BB470" s="12">
        <f>SUM('组合输入'!$J$2:$J$11)-BA470</f>
        <v/>
      </c>
    </row>
    <row r="471">
      <c r="A471" s="11" t="n">
        <v>470</v>
      </c>
      <c r="B471" s="14">
        <f>NORM.S.INV(RAND())</f>
        <v/>
      </c>
      <c r="C471" s="14">
        <f>NORM.S.INV(RAND())</f>
        <v/>
      </c>
      <c r="D471" s="15">
        <f>IF('组合输入'!$C2="","",'组合输入'!$H2*$B471+SQRT(1-'组合输入'!$H2^2)*C471)</f>
        <v/>
      </c>
      <c r="E471" s="7">
        <f>IF(D471="","",NORM.S.DIST(D471,TRUE))</f>
        <v/>
      </c>
      <c r="F471" s="13">
        <f>IF(E471="","",IF(E471&lt;='组合输入'!$K2,"AAA",IF(E471&lt;='组合输入'!$L2,"AA",IF(E471&lt;='组合输入'!$M2,"A",IF(E471&lt;='组合输入'!$N2,"BBB",IF(E471&lt;='组合输入'!$O2,"BB",IF(E471&lt;='组合输入'!$P2,"B",IF(E471&lt;='组合输入'!$Q2,"CCC","D")))))))</f>
        <v/>
      </c>
      <c r="G471" s="12">
        <f>IF(F471="","",INDEX('状态价值'!$D2:$K2,MATCH(F471,'状态价值'!$D$1:$K$1,0)))</f>
        <v/>
      </c>
      <c r="H471" s="15">
        <f>NORM.S.INV(RAND())</f>
        <v/>
      </c>
      <c r="I471" s="15">
        <f>IF('组合输入'!$C3="","",'组合输入'!$H3*$B471+SQRT(1-'组合输入'!$H3^2)*H471)</f>
        <v/>
      </c>
      <c r="J471" s="7">
        <f>IF(I471="","",NORM.S.DIST(I471,TRUE))</f>
        <v/>
      </c>
      <c r="K471" s="13">
        <f>IF(J471="","",IF(J471&lt;='组合输入'!$K3,"AAA",IF(J471&lt;='组合输入'!$L3,"AA",IF(J471&lt;='组合输入'!$M3,"A",IF(J471&lt;='组合输入'!$N3,"BBB",IF(J471&lt;='组合输入'!$O3,"BB",IF(J471&lt;='组合输入'!$P3,"B",IF(J471&lt;='组合输入'!$Q3,"CCC","D")))))))</f>
        <v/>
      </c>
      <c r="L471" s="12">
        <f>IF(K471="","",INDEX('状态价值'!$D3:$K3,MATCH(K471,'状态价值'!$D$1:$K$1,0)))</f>
        <v/>
      </c>
      <c r="M471" s="15">
        <f>NORM.S.INV(RAND())</f>
        <v/>
      </c>
      <c r="N471" s="15">
        <f>IF('组合输入'!$C4="","",'组合输入'!$H4*$B471+SQRT(1-'组合输入'!$H4^2)*M471)</f>
        <v/>
      </c>
      <c r="O471" s="7">
        <f>IF(N471="","",NORM.S.DIST(N471,TRUE))</f>
        <v/>
      </c>
      <c r="P471" s="13">
        <f>IF(O471="","",IF(O471&lt;='组合输入'!$K4,"AAA",IF(O471&lt;='组合输入'!$L4,"AA",IF(O471&lt;='组合输入'!$M4,"A",IF(O471&lt;='组合输入'!$N4,"BBB",IF(O471&lt;='组合输入'!$O4,"BB",IF(O471&lt;='组合输入'!$P4,"B",IF(O471&lt;='组合输入'!$Q4,"CCC","D")))))))</f>
        <v/>
      </c>
      <c r="Q471" s="12">
        <f>IF(P471="","",INDEX('状态价值'!$D4:$K4,MATCH(P471,'状态价值'!$D$1:$K$1,0)))</f>
        <v/>
      </c>
      <c r="R471" s="15">
        <f>NORM.S.INV(RAND())</f>
        <v/>
      </c>
      <c r="S471" s="15">
        <f>IF('组合输入'!$C5="","",'组合输入'!$H5*$B471+SQRT(1-'组合输入'!$H5^2)*R471)</f>
        <v/>
      </c>
      <c r="T471" s="7">
        <f>IF(S471="","",NORM.S.DIST(S471,TRUE))</f>
        <v/>
      </c>
      <c r="U471" s="13">
        <f>IF(T471="","",IF(T471&lt;='组合输入'!$K5,"AAA",IF(T471&lt;='组合输入'!$L5,"AA",IF(T471&lt;='组合输入'!$M5,"A",IF(T471&lt;='组合输入'!$N5,"BBB",IF(T471&lt;='组合输入'!$O5,"BB",IF(T471&lt;='组合输入'!$P5,"B",IF(T471&lt;='组合输入'!$Q5,"CCC","D")))))))</f>
        <v/>
      </c>
      <c r="V471" s="12">
        <f>IF(U471="","",INDEX('状态价值'!$D5:$K5,MATCH(U471,'状态价值'!$D$1:$K$1,0)))</f>
        <v/>
      </c>
      <c r="W471" s="15">
        <f>NORM.S.INV(RAND())</f>
        <v/>
      </c>
      <c r="X471" s="15">
        <f>IF('组合输入'!$C6="","",'组合输入'!$H6*$B471+SQRT(1-'组合输入'!$H6^2)*W471)</f>
        <v/>
      </c>
      <c r="Y471" s="7">
        <f>IF(X471="","",NORM.S.DIST(X471,TRUE))</f>
        <v/>
      </c>
      <c r="Z471" s="13">
        <f>IF(Y471="","",IF(Y471&lt;='组合输入'!$K6,"AAA",IF(Y471&lt;='组合输入'!$L6,"AA",IF(Y471&lt;='组合输入'!$M6,"A",IF(Y471&lt;='组合输入'!$N6,"BBB",IF(Y471&lt;='组合输入'!$O6,"BB",IF(Y471&lt;='组合输入'!$P6,"B",IF(Y471&lt;='组合输入'!$Q6,"CCC","D")))))))</f>
        <v/>
      </c>
      <c r="AA471" s="12">
        <f>IF(Z471="","",INDEX('状态价值'!$D6:$K6,MATCH(Z471,'状态价值'!$D$1:$K$1,0)))</f>
        <v/>
      </c>
      <c r="AB471" s="15">
        <f>NORM.S.INV(RAND())</f>
        <v/>
      </c>
      <c r="AC471" s="15">
        <f>IF('组合输入'!$C7="","",'组合输入'!$H7*$B471+SQRT(1-'组合输入'!$H7^2)*AB471)</f>
        <v/>
      </c>
      <c r="AD471" s="7">
        <f>IF(AC471="","",NORM.S.DIST(AC471,TRUE))</f>
        <v/>
      </c>
      <c r="AE471" s="13">
        <f>IF(AD471="","",IF(AD471&lt;='组合输入'!$K7,"AAA",IF(AD471&lt;='组合输入'!$L7,"AA",IF(AD471&lt;='组合输入'!$M7,"A",IF(AD471&lt;='组合输入'!$N7,"BBB",IF(AD471&lt;='组合输入'!$O7,"BB",IF(AD471&lt;='组合输入'!$P7,"B",IF(AD471&lt;='组合输入'!$Q7,"CCC","D")))))))</f>
        <v/>
      </c>
      <c r="AF471" s="12">
        <f>IF(AE471="","",INDEX('状态价值'!$D7:$K7,MATCH(AE471,'状态价值'!$D$1:$K$1,0)))</f>
        <v/>
      </c>
      <c r="AG471" s="15">
        <f>NORM.S.INV(RAND())</f>
        <v/>
      </c>
      <c r="AH471" s="15">
        <f>IF('组合输入'!$C8="","",'组合输入'!$H8*$B471+SQRT(1-'组合输入'!$H8^2)*AG471)</f>
        <v/>
      </c>
      <c r="AI471" s="7">
        <f>IF(AH471="","",NORM.S.DIST(AH471,TRUE))</f>
        <v/>
      </c>
      <c r="AJ471" s="13">
        <f>IF(AI471="","",IF(AI471&lt;='组合输入'!$K8,"AAA",IF(AI471&lt;='组合输入'!$L8,"AA",IF(AI471&lt;='组合输入'!$M8,"A",IF(AI471&lt;='组合输入'!$N8,"BBB",IF(AI471&lt;='组合输入'!$O8,"BB",IF(AI471&lt;='组合输入'!$P8,"B",IF(AI471&lt;='组合输入'!$Q8,"CCC","D")))))))</f>
        <v/>
      </c>
      <c r="AK471" s="12">
        <f>IF(AJ471="","",INDEX('状态价值'!$D8:$K8,MATCH(AJ471,'状态价值'!$D$1:$K$1,0)))</f>
        <v/>
      </c>
      <c r="AL471" s="15">
        <f>NORM.S.INV(RAND())</f>
        <v/>
      </c>
      <c r="AM471" s="15">
        <f>IF('组合输入'!$C9="","",'组合输入'!$H9*$B471+SQRT(1-'组合输入'!$H9^2)*AL471)</f>
        <v/>
      </c>
      <c r="AN471" s="7">
        <f>IF(AM471="","",NORM.S.DIST(AM471,TRUE))</f>
        <v/>
      </c>
      <c r="AO471" s="13">
        <f>IF(AN471="","",IF(AN471&lt;='组合输入'!$K9,"AAA",IF(AN471&lt;='组合输入'!$L9,"AA",IF(AN471&lt;='组合输入'!$M9,"A",IF(AN471&lt;='组合输入'!$N9,"BBB",IF(AN471&lt;='组合输入'!$O9,"BB",IF(AN471&lt;='组合输入'!$P9,"B",IF(AN471&lt;='组合输入'!$Q9,"CCC","D")))))))</f>
        <v/>
      </c>
      <c r="AP471" s="12">
        <f>IF(AO471="","",INDEX('状态价值'!$D9:$K9,MATCH(AO471,'状态价值'!$D$1:$K$1,0)))</f>
        <v/>
      </c>
      <c r="AQ471" s="15">
        <f>NORM.S.INV(RAND())</f>
        <v/>
      </c>
      <c r="AR471" s="15">
        <f>IF('组合输入'!$C10="","",'组合输入'!$H10*$B471+SQRT(1-'组合输入'!$H10^2)*AQ471)</f>
        <v/>
      </c>
      <c r="AS471" s="7">
        <f>IF(AR471="","",NORM.S.DIST(AR471,TRUE))</f>
        <v/>
      </c>
      <c r="AT471" s="13">
        <f>IF(AS471="","",IF(AS471&lt;='组合输入'!$K10,"AAA",IF(AS471&lt;='组合输入'!$L10,"AA",IF(AS471&lt;='组合输入'!$M10,"A",IF(AS471&lt;='组合输入'!$N10,"BBB",IF(AS471&lt;='组合输入'!$O10,"BB",IF(AS471&lt;='组合输入'!$P10,"B",IF(AS471&lt;='组合输入'!$Q10,"CCC","D")))))))</f>
        <v/>
      </c>
      <c r="AU471" s="12">
        <f>IF(AT471="","",INDEX('状态价值'!$D10:$K10,MATCH(AT471,'状态价值'!$D$1:$K$1,0)))</f>
        <v/>
      </c>
      <c r="AV471" s="15">
        <f>NORM.S.INV(RAND())</f>
        <v/>
      </c>
      <c r="AW471" s="15">
        <f>IF('组合输入'!$C11="","",'组合输入'!$H11*$B471+SQRT(1-'组合输入'!$H11^2)*AV471)</f>
        <v/>
      </c>
      <c r="AX471" s="7">
        <f>IF(AW471="","",NORM.S.DIST(AW471,TRUE))</f>
        <v/>
      </c>
      <c r="AY471" s="13">
        <f>IF(AX471="","",IF(AX471&lt;='组合输入'!$K11,"AAA",IF(AX471&lt;='组合输入'!$L11,"AA",IF(AX471&lt;='组合输入'!$M11,"A",IF(AX471&lt;='组合输入'!$N11,"BBB",IF(AX471&lt;='组合输入'!$O11,"BB",IF(AX471&lt;='组合输入'!$P11,"B",IF(AX471&lt;='组合输入'!$Q11,"CCC","D")))))))</f>
        <v/>
      </c>
      <c r="AZ471" s="12">
        <f>IF(AY471="","",INDEX('状态价值'!$D11:$K11,MATCH(AY471,'状态价值'!$D$1:$K$1,0)))</f>
        <v/>
      </c>
      <c r="BA471" s="12">
        <f>G471+L471+Q471+V471+AA471+AF471+AK471+AP471+AU471+AZ471</f>
        <v/>
      </c>
      <c r="BB471" s="12">
        <f>SUM('组合输入'!$J$2:$J$11)-BA471</f>
        <v/>
      </c>
    </row>
    <row r="472">
      <c r="A472" s="11" t="n">
        <v>471</v>
      </c>
      <c r="B472" s="14">
        <f>NORM.S.INV(RAND())</f>
        <v/>
      </c>
      <c r="C472" s="14">
        <f>NORM.S.INV(RAND())</f>
        <v/>
      </c>
      <c r="D472" s="15">
        <f>IF('组合输入'!$C2="","",'组合输入'!$H2*$B472+SQRT(1-'组合输入'!$H2^2)*C472)</f>
        <v/>
      </c>
      <c r="E472" s="7">
        <f>IF(D472="","",NORM.S.DIST(D472,TRUE))</f>
        <v/>
      </c>
      <c r="F472" s="13">
        <f>IF(E472="","",IF(E472&lt;='组合输入'!$K2,"AAA",IF(E472&lt;='组合输入'!$L2,"AA",IF(E472&lt;='组合输入'!$M2,"A",IF(E472&lt;='组合输入'!$N2,"BBB",IF(E472&lt;='组合输入'!$O2,"BB",IF(E472&lt;='组合输入'!$P2,"B",IF(E472&lt;='组合输入'!$Q2,"CCC","D")))))))</f>
        <v/>
      </c>
      <c r="G472" s="12">
        <f>IF(F472="","",INDEX('状态价值'!$D2:$K2,MATCH(F472,'状态价值'!$D$1:$K$1,0)))</f>
        <v/>
      </c>
      <c r="H472" s="15">
        <f>NORM.S.INV(RAND())</f>
        <v/>
      </c>
      <c r="I472" s="15">
        <f>IF('组合输入'!$C3="","",'组合输入'!$H3*$B472+SQRT(1-'组合输入'!$H3^2)*H472)</f>
        <v/>
      </c>
      <c r="J472" s="7">
        <f>IF(I472="","",NORM.S.DIST(I472,TRUE))</f>
        <v/>
      </c>
      <c r="K472" s="13">
        <f>IF(J472="","",IF(J472&lt;='组合输入'!$K3,"AAA",IF(J472&lt;='组合输入'!$L3,"AA",IF(J472&lt;='组合输入'!$M3,"A",IF(J472&lt;='组合输入'!$N3,"BBB",IF(J472&lt;='组合输入'!$O3,"BB",IF(J472&lt;='组合输入'!$P3,"B",IF(J472&lt;='组合输入'!$Q3,"CCC","D")))))))</f>
        <v/>
      </c>
      <c r="L472" s="12">
        <f>IF(K472="","",INDEX('状态价值'!$D3:$K3,MATCH(K472,'状态价值'!$D$1:$K$1,0)))</f>
        <v/>
      </c>
      <c r="M472" s="15">
        <f>NORM.S.INV(RAND())</f>
        <v/>
      </c>
      <c r="N472" s="15">
        <f>IF('组合输入'!$C4="","",'组合输入'!$H4*$B472+SQRT(1-'组合输入'!$H4^2)*M472)</f>
        <v/>
      </c>
      <c r="O472" s="7">
        <f>IF(N472="","",NORM.S.DIST(N472,TRUE))</f>
        <v/>
      </c>
      <c r="P472" s="13">
        <f>IF(O472="","",IF(O472&lt;='组合输入'!$K4,"AAA",IF(O472&lt;='组合输入'!$L4,"AA",IF(O472&lt;='组合输入'!$M4,"A",IF(O472&lt;='组合输入'!$N4,"BBB",IF(O472&lt;='组合输入'!$O4,"BB",IF(O472&lt;='组合输入'!$P4,"B",IF(O472&lt;='组合输入'!$Q4,"CCC","D")))))))</f>
        <v/>
      </c>
      <c r="Q472" s="12">
        <f>IF(P472="","",INDEX('状态价值'!$D4:$K4,MATCH(P472,'状态价值'!$D$1:$K$1,0)))</f>
        <v/>
      </c>
      <c r="R472" s="15">
        <f>NORM.S.INV(RAND())</f>
        <v/>
      </c>
      <c r="S472" s="15">
        <f>IF('组合输入'!$C5="","",'组合输入'!$H5*$B472+SQRT(1-'组合输入'!$H5^2)*R472)</f>
        <v/>
      </c>
      <c r="T472" s="7">
        <f>IF(S472="","",NORM.S.DIST(S472,TRUE))</f>
        <v/>
      </c>
      <c r="U472" s="13">
        <f>IF(T472="","",IF(T472&lt;='组合输入'!$K5,"AAA",IF(T472&lt;='组合输入'!$L5,"AA",IF(T472&lt;='组合输入'!$M5,"A",IF(T472&lt;='组合输入'!$N5,"BBB",IF(T472&lt;='组合输入'!$O5,"BB",IF(T472&lt;='组合输入'!$P5,"B",IF(T472&lt;='组合输入'!$Q5,"CCC","D")))))))</f>
        <v/>
      </c>
      <c r="V472" s="12">
        <f>IF(U472="","",INDEX('状态价值'!$D5:$K5,MATCH(U472,'状态价值'!$D$1:$K$1,0)))</f>
        <v/>
      </c>
      <c r="W472" s="15">
        <f>NORM.S.INV(RAND())</f>
        <v/>
      </c>
      <c r="X472" s="15">
        <f>IF('组合输入'!$C6="","",'组合输入'!$H6*$B472+SQRT(1-'组合输入'!$H6^2)*W472)</f>
        <v/>
      </c>
      <c r="Y472" s="7">
        <f>IF(X472="","",NORM.S.DIST(X472,TRUE))</f>
        <v/>
      </c>
      <c r="Z472" s="13">
        <f>IF(Y472="","",IF(Y472&lt;='组合输入'!$K6,"AAA",IF(Y472&lt;='组合输入'!$L6,"AA",IF(Y472&lt;='组合输入'!$M6,"A",IF(Y472&lt;='组合输入'!$N6,"BBB",IF(Y472&lt;='组合输入'!$O6,"BB",IF(Y472&lt;='组合输入'!$P6,"B",IF(Y472&lt;='组合输入'!$Q6,"CCC","D")))))))</f>
        <v/>
      </c>
      <c r="AA472" s="12">
        <f>IF(Z472="","",INDEX('状态价值'!$D6:$K6,MATCH(Z472,'状态价值'!$D$1:$K$1,0)))</f>
        <v/>
      </c>
      <c r="AB472" s="15">
        <f>NORM.S.INV(RAND())</f>
        <v/>
      </c>
      <c r="AC472" s="15">
        <f>IF('组合输入'!$C7="","",'组合输入'!$H7*$B472+SQRT(1-'组合输入'!$H7^2)*AB472)</f>
        <v/>
      </c>
      <c r="AD472" s="7">
        <f>IF(AC472="","",NORM.S.DIST(AC472,TRUE))</f>
        <v/>
      </c>
      <c r="AE472" s="13">
        <f>IF(AD472="","",IF(AD472&lt;='组合输入'!$K7,"AAA",IF(AD472&lt;='组合输入'!$L7,"AA",IF(AD472&lt;='组合输入'!$M7,"A",IF(AD472&lt;='组合输入'!$N7,"BBB",IF(AD472&lt;='组合输入'!$O7,"BB",IF(AD472&lt;='组合输入'!$P7,"B",IF(AD472&lt;='组合输入'!$Q7,"CCC","D")))))))</f>
        <v/>
      </c>
      <c r="AF472" s="12">
        <f>IF(AE472="","",INDEX('状态价值'!$D7:$K7,MATCH(AE472,'状态价值'!$D$1:$K$1,0)))</f>
        <v/>
      </c>
      <c r="AG472" s="15">
        <f>NORM.S.INV(RAND())</f>
        <v/>
      </c>
      <c r="AH472" s="15">
        <f>IF('组合输入'!$C8="","",'组合输入'!$H8*$B472+SQRT(1-'组合输入'!$H8^2)*AG472)</f>
        <v/>
      </c>
      <c r="AI472" s="7">
        <f>IF(AH472="","",NORM.S.DIST(AH472,TRUE))</f>
        <v/>
      </c>
      <c r="AJ472" s="13">
        <f>IF(AI472="","",IF(AI472&lt;='组合输入'!$K8,"AAA",IF(AI472&lt;='组合输入'!$L8,"AA",IF(AI472&lt;='组合输入'!$M8,"A",IF(AI472&lt;='组合输入'!$N8,"BBB",IF(AI472&lt;='组合输入'!$O8,"BB",IF(AI472&lt;='组合输入'!$P8,"B",IF(AI472&lt;='组合输入'!$Q8,"CCC","D")))))))</f>
        <v/>
      </c>
      <c r="AK472" s="12">
        <f>IF(AJ472="","",INDEX('状态价值'!$D8:$K8,MATCH(AJ472,'状态价值'!$D$1:$K$1,0)))</f>
        <v/>
      </c>
      <c r="AL472" s="15">
        <f>NORM.S.INV(RAND())</f>
        <v/>
      </c>
      <c r="AM472" s="15">
        <f>IF('组合输入'!$C9="","",'组合输入'!$H9*$B472+SQRT(1-'组合输入'!$H9^2)*AL472)</f>
        <v/>
      </c>
      <c r="AN472" s="7">
        <f>IF(AM472="","",NORM.S.DIST(AM472,TRUE))</f>
        <v/>
      </c>
      <c r="AO472" s="13">
        <f>IF(AN472="","",IF(AN472&lt;='组合输入'!$K9,"AAA",IF(AN472&lt;='组合输入'!$L9,"AA",IF(AN472&lt;='组合输入'!$M9,"A",IF(AN472&lt;='组合输入'!$N9,"BBB",IF(AN472&lt;='组合输入'!$O9,"BB",IF(AN472&lt;='组合输入'!$P9,"B",IF(AN472&lt;='组合输入'!$Q9,"CCC","D")))))))</f>
        <v/>
      </c>
      <c r="AP472" s="12">
        <f>IF(AO472="","",INDEX('状态价值'!$D9:$K9,MATCH(AO472,'状态价值'!$D$1:$K$1,0)))</f>
        <v/>
      </c>
      <c r="AQ472" s="15">
        <f>NORM.S.INV(RAND())</f>
        <v/>
      </c>
      <c r="AR472" s="15">
        <f>IF('组合输入'!$C10="","",'组合输入'!$H10*$B472+SQRT(1-'组合输入'!$H10^2)*AQ472)</f>
        <v/>
      </c>
      <c r="AS472" s="7">
        <f>IF(AR472="","",NORM.S.DIST(AR472,TRUE))</f>
        <v/>
      </c>
      <c r="AT472" s="13">
        <f>IF(AS472="","",IF(AS472&lt;='组合输入'!$K10,"AAA",IF(AS472&lt;='组合输入'!$L10,"AA",IF(AS472&lt;='组合输入'!$M10,"A",IF(AS472&lt;='组合输入'!$N10,"BBB",IF(AS472&lt;='组合输入'!$O10,"BB",IF(AS472&lt;='组合输入'!$P10,"B",IF(AS472&lt;='组合输入'!$Q10,"CCC","D")))))))</f>
        <v/>
      </c>
      <c r="AU472" s="12">
        <f>IF(AT472="","",INDEX('状态价值'!$D10:$K10,MATCH(AT472,'状态价值'!$D$1:$K$1,0)))</f>
        <v/>
      </c>
      <c r="AV472" s="15">
        <f>NORM.S.INV(RAND())</f>
        <v/>
      </c>
      <c r="AW472" s="15">
        <f>IF('组合输入'!$C11="","",'组合输入'!$H11*$B472+SQRT(1-'组合输入'!$H11^2)*AV472)</f>
        <v/>
      </c>
      <c r="AX472" s="7">
        <f>IF(AW472="","",NORM.S.DIST(AW472,TRUE))</f>
        <v/>
      </c>
      <c r="AY472" s="13">
        <f>IF(AX472="","",IF(AX472&lt;='组合输入'!$K11,"AAA",IF(AX472&lt;='组合输入'!$L11,"AA",IF(AX472&lt;='组合输入'!$M11,"A",IF(AX472&lt;='组合输入'!$N11,"BBB",IF(AX472&lt;='组合输入'!$O11,"BB",IF(AX472&lt;='组合输入'!$P11,"B",IF(AX472&lt;='组合输入'!$Q11,"CCC","D")))))))</f>
        <v/>
      </c>
      <c r="AZ472" s="12">
        <f>IF(AY472="","",INDEX('状态价值'!$D11:$K11,MATCH(AY472,'状态价值'!$D$1:$K$1,0)))</f>
        <v/>
      </c>
      <c r="BA472" s="12">
        <f>G472+L472+Q472+V472+AA472+AF472+AK472+AP472+AU472+AZ472</f>
        <v/>
      </c>
      <c r="BB472" s="12">
        <f>SUM('组合输入'!$J$2:$J$11)-BA472</f>
        <v/>
      </c>
    </row>
    <row r="473">
      <c r="A473" s="11" t="n">
        <v>472</v>
      </c>
      <c r="B473" s="14">
        <f>NORM.S.INV(RAND())</f>
        <v/>
      </c>
      <c r="C473" s="14">
        <f>NORM.S.INV(RAND())</f>
        <v/>
      </c>
      <c r="D473" s="15">
        <f>IF('组合输入'!$C2="","",'组合输入'!$H2*$B473+SQRT(1-'组合输入'!$H2^2)*C473)</f>
        <v/>
      </c>
      <c r="E473" s="7">
        <f>IF(D473="","",NORM.S.DIST(D473,TRUE))</f>
        <v/>
      </c>
      <c r="F473" s="13">
        <f>IF(E473="","",IF(E473&lt;='组合输入'!$K2,"AAA",IF(E473&lt;='组合输入'!$L2,"AA",IF(E473&lt;='组合输入'!$M2,"A",IF(E473&lt;='组合输入'!$N2,"BBB",IF(E473&lt;='组合输入'!$O2,"BB",IF(E473&lt;='组合输入'!$P2,"B",IF(E473&lt;='组合输入'!$Q2,"CCC","D")))))))</f>
        <v/>
      </c>
      <c r="G473" s="12">
        <f>IF(F473="","",INDEX('状态价值'!$D2:$K2,MATCH(F473,'状态价值'!$D$1:$K$1,0)))</f>
        <v/>
      </c>
      <c r="H473" s="15">
        <f>NORM.S.INV(RAND())</f>
        <v/>
      </c>
      <c r="I473" s="15">
        <f>IF('组合输入'!$C3="","",'组合输入'!$H3*$B473+SQRT(1-'组合输入'!$H3^2)*H473)</f>
        <v/>
      </c>
      <c r="J473" s="7">
        <f>IF(I473="","",NORM.S.DIST(I473,TRUE))</f>
        <v/>
      </c>
      <c r="K473" s="13">
        <f>IF(J473="","",IF(J473&lt;='组合输入'!$K3,"AAA",IF(J473&lt;='组合输入'!$L3,"AA",IF(J473&lt;='组合输入'!$M3,"A",IF(J473&lt;='组合输入'!$N3,"BBB",IF(J473&lt;='组合输入'!$O3,"BB",IF(J473&lt;='组合输入'!$P3,"B",IF(J473&lt;='组合输入'!$Q3,"CCC","D")))))))</f>
        <v/>
      </c>
      <c r="L473" s="12">
        <f>IF(K473="","",INDEX('状态价值'!$D3:$K3,MATCH(K473,'状态价值'!$D$1:$K$1,0)))</f>
        <v/>
      </c>
      <c r="M473" s="15">
        <f>NORM.S.INV(RAND())</f>
        <v/>
      </c>
      <c r="N473" s="15">
        <f>IF('组合输入'!$C4="","",'组合输入'!$H4*$B473+SQRT(1-'组合输入'!$H4^2)*M473)</f>
        <v/>
      </c>
      <c r="O473" s="7">
        <f>IF(N473="","",NORM.S.DIST(N473,TRUE))</f>
        <v/>
      </c>
      <c r="P473" s="13">
        <f>IF(O473="","",IF(O473&lt;='组合输入'!$K4,"AAA",IF(O473&lt;='组合输入'!$L4,"AA",IF(O473&lt;='组合输入'!$M4,"A",IF(O473&lt;='组合输入'!$N4,"BBB",IF(O473&lt;='组合输入'!$O4,"BB",IF(O473&lt;='组合输入'!$P4,"B",IF(O473&lt;='组合输入'!$Q4,"CCC","D")))))))</f>
        <v/>
      </c>
      <c r="Q473" s="12">
        <f>IF(P473="","",INDEX('状态价值'!$D4:$K4,MATCH(P473,'状态价值'!$D$1:$K$1,0)))</f>
        <v/>
      </c>
      <c r="R473" s="15">
        <f>NORM.S.INV(RAND())</f>
        <v/>
      </c>
      <c r="S473" s="15">
        <f>IF('组合输入'!$C5="","",'组合输入'!$H5*$B473+SQRT(1-'组合输入'!$H5^2)*R473)</f>
        <v/>
      </c>
      <c r="T473" s="7">
        <f>IF(S473="","",NORM.S.DIST(S473,TRUE))</f>
        <v/>
      </c>
      <c r="U473" s="13">
        <f>IF(T473="","",IF(T473&lt;='组合输入'!$K5,"AAA",IF(T473&lt;='组合输入'!$L5,"AA",IF(T473&lt;='组合输入'!$M5,"A",IF(T473&lt;='组合输入'!$N5,"BBB",IF(T473&lt;='组合输入'!$O5,"BB",IF(T473&lt;='组合输入'!$P5,"B",IF(T473&lt;='组合输入'!$Q5,"CCC","D")))))))</f>
        <v/>
      </c>
      <c r="V473" s="12">
        <f>IF(U473="","",INDEX('状态价值'!$D5:$K5,MATCH(U473,'状态价值'!$D$1:$K$1,0)))</f>
        <v/>
      </c>
      <c r="W473" s="15">
        <f>NORM.S.INV(RAND())</f>
        <v/>
      </c>
      <c r="X473" s="15">
        <f>IF('组合输入'!$C6="","",'组合输入'!$H6*$B473+SQRT(1-'组合输入'!$H6^2)*W473)</f>
        <v/>
      </c>
      <c r="Y473" s="7">
        <f>IF(X473="","",NORM.S.DIST(X473,TRUE))</f>
        <v/>
      </c>
      <c r="Z473" s="13">
        <f>IF(Y473="","",IF(Y473&lt;='组合输入'!$K6,"AAA",IF(Y473&lt;='组合输入'!$L6,"AA",IF(Y473&lt;='组合输入'!$M6,"A",IF(Y473&lt;='组合输入'!$N6,"BBB",IF(Y473&lt;='组合输入'!$O6,"BB",IF(Y473&lt;='组合输入'!$P6,"B",IF(Y473&lt;='组合输入'!$Q6,"CCC","D")))))))</f>
        <v/>
      </c>
      <c r="AA473" s="12">
        <f>IF(Z473="","",INDEX('状态价值'!$D6:$K6,MATCH(Z473,'状态价值'!$D$1:$K$1,0)))</f>
        <v/>
      </c>
      <c r="AB473" s="15">
        <f>NORM.S.INV(RAND())</f>
        <v/>
      </c>
      <c r="AC473" s="15">
        <f>IF('组合输入'!$C7="","",'组合输入'!$H7*$B473+SQRT(1-'组合输入'!$H7^2)*AB473)</f>
        <v/>
      </c>
      <c r="AD473" s="7">
        <f>IF(AC473="","",NORM.S.DIST(AC473,TRUE))</f>
        <v/>
      </c>
      <c r="AE473" s="13">
        <f>IF(AD473="","",IF(AD473&lt;='组合输入'!$K7,"AAA",IF(AD473&lt;='组合输入'!$L7,"AA",IF(AD473&lt;='组合输入'!$M7,"A",IF(AD473&lt;='组合输入'!$N7,"BBB",IF(AD473&lt;='组合输入'!$O7,"BB",IF(AD473&lt;='组合输入'!$P7,"B",IF(AD473&lt;='组合输入'!$Q7,"CCC","D")))))))</f>
        <v/>
      </c>
      <c r="AF473" s="12">
        <f>IF(AE473="","",INDEX('状态价值'!$D7:$K7,MATCH(AE473,'状态价值'!$D$1:$K$1,0)))</f>
        <v/>
      </c>
      <c r="AG473" s="15">
        <f>NORM.S.INV(RAND())</f>
        <v/>
      </c>
      <c r="AH473" s="15">
        <f>IF('组合输入'!$C8="","",'组合输入'!$H8*$B473+SQRT(1-'组合输入'!$H8^2)*AG473)</f>
        <v/>
      </c>
      <c r="AI473" s="7">
        <f>IF(AH473="","",NORM.S.DIST(AH473,TRUE))</f>
        <v/>
      </c>
      <c r="AJ473" s="13">
        <f>IF(AI473="","",IF(AI473&lt;='组合输入'!$K8,"AAA",IF(AI473&lt;='组合输入'!$L8,"AA",IF(AI473&lt;='组合输入'!$M8,"A",IF(AI473&lt;='组合输入'!$N8,"BBB",IF(AI473&lt;='组合输入'!$O8,"BB",IF(AI473&lt;='组合输入'!$P8,"B",IF(AI473&lt;='组合输入'!$Q8,"CCC","D")))))))</f>
        <v/>
      </c>
      <c r="AK473" s="12">
        <f>IF(AJ473="","",INDEX('状态价值'!$D8:$K8,MATCH(AJ473,'状态价值'!$D$1:$K$1,0)))</f>
        <v/>
      </c>
      <c r="AL473" s="15">
        <f>NORM.S.INV(RAND())</f>
        <v/>
      </c>
      <c r="AM473" s="15">
        <f>IF('组合输入'!$C9="","",'组合输入'!$H9*$B473+SQRT(1-'组合输入'!$H9^2)*AL473)</f>
        <v/>
      </c>
      <c r="AN473" s="7">
        <f>IF(AM473="","",NORM.S.DIST(AM473,TRUE))</f>
        <v/>
      </c>
      <c r="AO473" s="13">
        <f>IF(AN473="","",IF(AN473&lt;='组合输入'!$K9,"AAA",IF(AN473&lt;='组合输入'!$L9,"AA",IF(AN473&lt;='组合输入'!$M9,"A",IF(AN473&lt;='组合输入'!$N9,"BBB",IF(AN473&lt;='组合输入'!$O9,"BB",IF(AN473&lt;='组合输入'!$P9,"B",IF(AN473&lt;='组合输入'!$Q9,"CCC","D")))))))</f>
        <v/>
      </c>
      <c r="AP473" s="12">
        <f>IF(AO473="","",INDEX('状态价值'!$D9:$K9,MATCH(AO473,'状态价值'!$D$1:$K$1,0)))</f>
        <v/>
      </c>
      <c r="AQ473" s="15">
        <f>NORM.S.INV(RAND())</f>
        <v/>
      </c>
      <c r="AR473" s="15">
        <f>IF('组合输入'!$C10="","",'组合输入'!$H10*$B473+SQRT(1-'组合输入'!$H10^2)*AQ473)</f>
        <v/>
      </c>
      <c r="AS473" s="7">
        <f>IF(AR473="","",NORM.S.DIST(AR473,TRUE))</f>
        <v/>
      </c>
      <c r="AT473" s="13">
        <f>IF(AS473="","",IF(AS473&lt;='组合输入'!$K10,"AAA",IF(AS473&lt;='组合输入'!$L10,"AA",IF(AS473&lt;='组合输入'!$M10,"A",IF(AS473&lt;='组合输入'!$N10,"BBB",IF(AS473&lt;='组合输入'!$O10,"BB",IF(AS473&lt;='组合输入'!$P10,"B",IF(AS473&lt;='组合输入'!$Q10,"CCC","D")))))))</f>
        <v/>
      </c>
      <c r="AU473" s="12">
        <f>IF(AT473="","",INDEX('状态价值'!$D10:$K10,MATCH(AT473,'状态价值'!$D$1:$K$1,0)))</f>
        <v/>
      </c>
      <c r="AV473" s="15">
        <f>NORM.S.INV(RAND())</f>
        <v/>
      </c>
      <c r="AW473" s="15">
        <f>IF('组合输入'!$C11="","",'组合输入'!$H11*$B473+SQRT(1-'组合输入'!$H11^2)*AV473)</f>
        <v/>
      </c>
      <c r="AX473" s="7">
        <f>IF(AW473="","",NORM.S.DIST(AW473,TRUE))</f>
        <v/>
      </c>
      <c r="AY473" s="13">
        <f>IF(AX473="","",IF(AX473&lt;='组合输入'!$K11,"AAA",IF(AX473&lt;='组合输入'!$L11,"AA",IF(AX473&lt;='组合输入'!$M11,"A",IF(AX473&lt;='组合输入'!$N11,"BBB",IF(AX473&lt;='组合输入'!$O11,"BB",IF(AX473&lt;='组合输入'!$P11,"B",IF(AX473&lt;='组合输入'!$Q11,"CCC","D")))))))</f>
        <v/>
      </c>
      <c r="AZ473" s="12">
        <f>IF(AY473="","",INDEX('状态价值'!$D11:$K11,MATCH(AY473,'状态价值'!$D$1:$K$1,0)))</f>
        <v/>
      </c>
      <c r="BA473" s="12">
        <f>G473+L473+Q473+V473+AA473+AF473+AK473+AP473+AU473+AZ473</f>
        <v/>
      </c>
      <c r="BB473" s="12">
        <f>SUM('组合输入'!$J$2:$J$11)-BA473</f>
        <v/>
      </c>
    </row>
    <row r="474">
      <c r="A474" s="11" t="n">
        <v>473</v>
      </c>
      <c r="B474" s="14">
        <f>NORM.S.INV(RAND())</f>
        <v/>
      </c>
      <c r="C474" s="14">
        <f>NORM.S.INV(RAND())</f>
        <v/>
      </c>
      <c r="D474" s="15">
        <f>IF('组合输入'!$C2="","",'组合输入'!$H2*$B474+SQRT(1-'组合输入'!$H2^2)*C474)</f>
        <v/>
      </c>
      <c r="E474" s="7">
        <f>IF(D474="","",NORM.S.DIST(D474,TRUE))</f>
        <v/>
      </c>
      <c r="F474" s="13">
        <f>IF(E474="","",IF(E474&lt;='组合输入'!$K2,"AAA",IF(E474&lt;='组合输入'!$L2,"AA",IF(E474&lt;='组合输入'!$M2,"A",IF(E474&lt;='组合输入'!$N2,"BBB",IF(E474&lt;='组合输入'!$O2,"BB",IF(E474&lt;='组合输入'!$P2,"B",IF(E474&lt;='组合输入'!$Q2,"CCC","D")))))))</f>
        <v/>
      </c>
      <c r="G474" s="12">
        <f>IF(F474="","",INDEX('状态价值'!$D2:$K2,MATCH(F474,'状态价值'!$D$1:$K$1,0)))</f>
        <v/>
      </c>
      <c r="H474" s="15">
        <f>NORM.S.INV(RAND())</f>
        <v/>
      </c>
      <c r="I474" s="15">
        <f>IF('组合输入'!$C3="","",'组合输入'!$H3*$B474+SQRT(1-'组合输入'!$H3^2)*H474)</f>
        <v/>
      </c>
      <c r="J474" s="7">
        <f>IF(I474="","",NORM.S.DIST(I474,TRUE))</f>
        <v/>
      </c>
      <c r="K474" s="13">
        <f>IF(J474="","",IF(J474&lt;='组合输入'!$K3,"AAA",IF(J474&lt;='组合输入'!$L3,"AA",IF(J474&lt;='组合输入'!$M3,"A",IF(J474&lt;='组合输入'!$N3,"BBB",IF(J474&lt;='组合输入'!$O3,"BB",IF(J474&lt;='组合输入'!$P3,"B",IF(J474&lt;='组合输入'!$Q3,"CCC","D")))))))</f>
        <v/>
      </c>
      <c r="L474" s="12">
        <f>IF(K474="","",INDEX('状态价值'!$D3:$K3,MATCH(K474,'状态价值'!$D$1:$K$1,0)))</f>
        <v/>
      </c>
      <c r="M474" s="15">
        <f>NORM.S.INV(RAND())</f>
        <v/>
      </c>
      <c r="N474" s="15">
        <f>IF('组合输入'!$C4="","",'组合输入'!$H4*$B474+SQRT(1-'组合输入'!$H4^2)*M474)</f>
        <v/>
      </c>
      <c r="O474" s="7">
        <f>IF(N474="","",NORM.S.DIST(N474,TRUE))</f>
        <v/>
      </c>
      <c r="P474" s="13">
        <f>IF(O474="","",IF(O474&lt;='组合输入'!$K4,"AAA",IF(O474&lt;='组合输入'!$L4,"AA",IF(O474&lt;='组合输入'!$M4,"A",IF(O474&lt;='组合输入'!$N4,"BBB",IF(O474&lt;='组合输入'!$O4,"BB",IF(O474&lt;='组合输入'!$P4,"B",IF(O474&lt;='组合输入'!$Q4,"CCC","D")))))))</f>
        <v/>
      </c>
      <c r="Q474" s="12">
        <f>IF(P474="","",INDEX('状态价值'!$D4:$K4,MATCH(P474,'状态价值'!$D$1:$K$1,0)))</f>
        <v/>
      </c>
      <c r="R474" s="15">
        <f>NORM.S.INV(RAND())</f>
        <v/>
      </c>
      <c r="S474" s="15">
        <f>IF('组合输入'!$C5="","",'组合输入'!$H5*$B474+SQRT(1-'组合输入'!$H5^2)*R474)</f>
        <v/>
      </c>
      <c r="T474" s="7">
        <f>IF(S474="","",NORM.S.DIST(S474,TRUE))</f>
        <v/>
      </c>
      <c r="U474" s="13">
        <f>IF(T474="","",IF(T474&lt;='组合输入'!$K5,"AAA",IF(T474&lt;='组合输入'!$L5,"AA",IF(T474&lt;='组合输入'!$M5,"A",IF(T474&lt;='组合输入'!$N5,"BBB",IF(T474&lt;='组合输入'!$O5,"BB",IF(T474&lt;='组合输入'!$P5,"B",IF(T474&lt;='组合输入'!$Q5,"CCC","D")))))))</f>
        <v/>
      </c>
      <c r="V474" s="12">
        <f>IF(U474="","",INDEX('状态价值'!$D5:$K5,MATCH(U474,'状态价值'!$D$1:$K$1,0)))</f>
        <v/>
      </c>
      <c r="W474" s="15">
        <f>NORM.S.INV(RAND())</f>
        <v/>
      </c>
      <c r="X474" s="15">
        <f>IF('组合输入'!$C6="","",'组合输入'!$H6*$B474+SQRT(1-'组合输入'!$H6^2)*W474)</f>
        <v/>
      </c>
      <c r="Y474" s="7">
        <f>IF(X474="","",NORM.S.DIST(X474,TRUE))</f>
        <v/>
      </c>
      <c r="Z474" s="13">
        <f>IF(Y474="","",IF(Y474&lt;='组合输入'!$K6,"AAA",IF(Y474&lt;='组合输入'!$L6,"AA",IF(Y474&lt;='组合输入'!$M6,"A",IF(Y474&lt;='组合输入'!$N6,"BBB",IF(Y474&lt;='组合输入'!$O6,"BB",IF(Y474&lt;='组合输入'!$P6,"B",IF(Y474&lt;='组合输入'!$Q6,"CCC","D")))))))</f>
        <v/>
      </c>
      <c r="AA474" s="12">
        <f>IF(Z474="","",INDEX('状态价值'!$D6:$K6,MATCH(Z474,'状态价值'!$D$1:$K$1,0)))</f>
        <v/>
      </c>
      <c r="AB474" s="15">
        <f>NORM.S.INV(RAND())</f>
        <v/>
      </c>
      <c r="AC474" s="15">
        <f>IF('组合输入'!$C7="","",'组合输入'!$H7*$B474+SQRT(1-'组合输入'!$H7^2)*AB474)</f>
        <v/>
      </c>
      <c r="AD474" s="7">
        <f>IF(AC474="","",NORM.S.DIST(AC474,TRUE))</f>
        <v/>
      </c>
      <c r="AE474" s="13">
        <f>IF(AD474="","",IF(AD474&lt;='组合输入'!$K7,"AAA",IF(AD474&lt;='组合输入'!$L7,"AA",IF(AD474&lt;='组合输入'!$M7,"A",IF(AD474&lt;='组合输入'!$N7,"BBB",IF(AD474&lt;='组合输入'!$O7,"BB",IF(AD474&lt;='组合输入'!$P7,"B",IF(AD474&lt;='组合输入'!$Q7,"CCC","D")))))))</f>
        <v/>
      </c>
      <c r="AF474" s="12">
        <f>IF(AE474="","",INDEX('状态价值'!$D7:$K7,MATCH(AE474,'状态价值'!$D$1:$K$1,0)))</f>
        <v/>
      </c>
      <c r="AG474" s="15">
        <f>NORM.S.INV(RAND())</f>
        <v/>
      </c>
      <c r="AH474" s="15">
        <f>IF('组合输入'!$C8="","",'组合输入'!$H8*$B474+SQRT(1-'组合输入'!$H8^2)*AG474)</f>
        <v/>
      </c>
      <c r="AI474" s="7">
        <f>IF(AH474="","",NORM.S.DIST(AH474,TRUE))</f>
        <v/>
      </c>
      <c r="AJ474" s="13">
        <f>IF(AI474="","",IF(AI474&lt;='组合输入'!$K8,"AAA",IF(AI474&lt;='组合输入'!$L8,"AA",IF(AI474&lt;='组合输入'!$M8,"A",IF(AI474&lt;='组合输入'!$N8,"BBB",IF(AI474&lt;='组合输入'!$O8,"BB",IF(AI474&lt;='组合输入'!$P8,"B",IF(AI474&lt;='组合输入'!$Q8,"CCC","D")))))))</f>
        <v/>
      </c>
      <c r="AK474" s="12">
        <f>IF(AJ474="","",INDEX('状态价值'!$D8:$K8,MATCH(AJ474,'状态价值'!$D$1:$K$1,0)))</f>
        <v/>
      </c>
      <c r="AL474" s="15">
        <f>NORM.S.INV(RAND())</f>
        <v/>
      </c>
      <c r="AM474" s="15">
        <f>IF('组合输入'!$C9="","",'组合输入'!$H9*$B474+SQRT(1-'组合输入'!$H9^2)*AL474)</f>
        <v/>
      </c>
      <c r="AN474" s="7">
        <f>IF(AM474="","",NORM.S.DIST(AM474,TRUE))</f>
        <v/>
      </c>
      <c r="AO474" s="13">
        <f>IF(AN474="","",IF(AN474&lt;='组合输入'!$K9,"AAA",IF(AN474&lt;='组合输入'!$L9,"AA",IF(AN474&lt;='组合输入'!$M9,"A",IF(AN474&lt;='组合输入'!$N9,"BBB",IF(AN474&lt;='组合输入'!$O9,"BB",IF(AN474&lt;='组合输入'!$P9,"B",IF(AN474&lt;='组合输入'!$Q9,"CCC","D")))))))</f>
        <v/>
      </c>
      <c r="AP474" s="12">
        <f>IF(AO474="","",INDEX('状态价值'!$D9:$K9,MATCH(AO474,'状态价值'!$D$1:$K$1,0)))</f>
        <v/>
      </c>
      <c r="AQ474" s="15">
        <f>NORM.S.INV(RAND())</f>
        <v/>
      </c>
      <c r="AR474" s="15">
        <f>IF('组合输入'!$C10="","",'组合输入'!$H10*$B474+SQRT(1-'组合输入'!$H10^2)*AQ474)</f>
        <v/>
      </c>
      <c r="AS474" s="7">
        <f>IF(AR474="","",NORM.S.DIST(AR474,TRUE))</f>
        <v/>
      </c>
      <c r="AT474" s="13">
        <f>IF(AS474="","",IF(AS474&lt;='组合输入'!$K10,"AAA",IF(AS474&lt;='组合输入'!$L10,"AA",IF(AS474&lt;='组合输入'!$M10,"A",IF(AS474&lt;='组合输入'!$N10,"BBB",IF(AS474&lt;='组合输入'!$O10,"BB",IF(AS474&lt;='组合输入'!$P10,"B",IF(AS474&lt;='组合输入'!$Q10,"CCC","D")))))))</f>
        <v/>
      </c>
      <c r="AU474" s="12">
        <f>IF(AT474="","",INDEX('状态价值'!$D10:$K10,MATCH(AT474,'状态价值'!$D$1:$K$1,0)))</f>
        <v/>
      </c>
      <c r="AV474" s="15">
        <f>NORM.S.INV(RAND())</f>
        <v/>
      </c>
      <c r="AW474" s="15">
        <f>IF('组合输入'!$C11="","",'组合输入'!$H11*$B474+SQRT(1-'组合输入'!$H11^2)*AV474)</f>
        <v/>
      </c>
      <c r="AX474" s="7">
        <f>IF(AW474="","",NORM.S.DIST(AW474,TRUE))</f>
        <v/>
      </c>
      <c r="AY474" s="13">
        <f>IF(AX474="","",IF(AX474&lt;='组合输入'!$K11,"AAA",IF(AX474&lt;='组合输入'!$L11,"AA",IF(AX474&lt;='组合输入'!$M11,"A",IF(AX474&lt;='组合输入'!$N11,"BBB",IF(AX474&lt;='组合输入'!$O11,"BB",IF(AX474&lt;='组合输入'!$P11,"B",IF(AX474&lt;='组合输入'!$Q11,"CCC","D")))))))</f>
        <v/>
      </c>
      <c r="AZ474" s="12">
        <f>IF(AY474="","",INDEX('状态价值'!$D11:$K11,MATCH(AY474,'状态价值'!$D$1:$K$1,0)))</f>
        <v/>
      </c>
      <c r="BA474" s="12">
        <f>G474+L474+Q474+V474+AA474+AF474+AK474+AP474+AU474+AZ474</f>
        <v/>
      </c>
      <c r="BB474" s="12">
        <f>SUM('组合输入'!$J$2:$J$11)-BA474</f>
        <v/>
      </c>
    </row>
    <row r="475">
      <c r="A475" s="11" t="n">
        <v>474</v>
      </c>
      <c r="B475" s="14">
        <f>NORM.S.INV(RAND())</f>
        <v/>
      </c>
      <c r="C475" s="14">
        <f>NORM.S.INV(RAND())</f>
        <v/>
      </c>
      <c r="D475" s="15">
        <f>IF('组合输入'!$C2="","",'组合输入'!$H2*$B475+SQRT(1-'组合输入'!$H2^2)*C475)</f>
        <v/>
      </c>
      <c r="E475" s="7">
        <f>IF(D475="","",NORM.S.DIST(D475,TRUE))</f>
        <v/>
      </c>
      <c r="F475" s="13">
        <f>IF(E475="","",IF(E475&lt;='组合输入'!$K2,"AAA",IF(E475&lt;='组合输入'!$L2,"AA",IF(E475&lt;='组合输入'!$M2,"A",IF(E475&lt;='组合输入'!$N2,"BBB",IF(E475&lt;='组合输入'!$O2,"BB",IF(E475&lt;='组合输入'!$P2,"B",IF(E475&lt;='组合输入'!$Q2,"CCC","D")))))))</f>
        <v/>
      </c>
      <c r="G475" s="12">
        <f>IF(F475="","",INDEX('状态价值'!$D2:$K2,MATCH(F475,'状态价值'!$D$1:$K$1,0)))</f>
        <v/>
      </c>
      <c r="H475" s="15">
        <f>NORM.S.INV(RAND())</f>
        <v/>
      </c>
      <c r="I475" s="15">
        <f>IF('组合输入'!$C3="","",'组合输入'!$H3*$B475+SQRT(1-'组合输入'!$H3^2)*H475)</f>
        <v/>
      </c>
      <c r="J475" s="7">
        <f>IF(I475="","",NORM.S.DIST(I475,TRUE))</f>
        <v/>
      </c>
      <c r="K475" s="13">
        <f>IF(J475="","",IF(J475&lt;='组合输入'!$K3,"AAA",IF(J475&lt;='组合输入'!$L3,"AA",IF(J475&lt;='组合输入'!$M3,"A",IF(J475&lt;='组合输入'!$N3,"BBB",IF(J475&lt;='组合输入'!$O3,"BB",IF(J475&lt;='组合输入'!$P3,"B",IF(J475&lt;='组合输入'!$Q3,"CCC","D")))))))</f>
        <v/>
      </c>
      <c r="L475" s="12">
        <f>IF(K475="","",INDEX('状态价值'!$D3:$K3,MATCH(K475,'状态价值'!$D$1:$K$1,0)))</f>
        <v/>
      </c>
      <c r="M475" s="15">
        <f>NORM.S.INV(RAND())</f>
        <v/>
      </c>
      <c r="N475" s="15">
        <f>IF('组合输入'!$C4="","",'组合输入'!$H4*$B475+SQRT(1-'组合输入'!$H4^2)*M475)</f>
        <v/>
      </c>
      <c r="O475" s="7">
        <f>IF(N475="","",NORM.S.DIST(N475,TRUE))</f>
        <v/>
      </c>
      <c r="P475" s="13">
        <f>IF(O475="","",IF(O475&lt;='组合输入'!$K4,"AAA",IF(O475&lt;='组合输入'!$L4,"AA",IF(O475&lt;='组合输入'!$M4,"A",IF(O475&lt;='组合输入'!$N4,"BBB",IF(O475&lt;='组合输入'!$O4,"BB",IF(O475&lt;='组合输入'!$P4,"B",IF(O475&lt;='组合输入'!$Q4,"CCC","D")))))))</f>
        <v/>
      </c>
      <c r="Q475" s="12">
        <f>IF(P475="","",INDEX('状态价值'!$D4:$K4,MATCH(P475,'状态价值'!$D$1:$K$1,0)))</f>
        <v/>
      </c>
      <c r="R475" s="15">
        <f>NORM.S.INV(RAND())</f>
        <v/>
      </c>
      <c r="S475" s="15">
        <f>IF('组合输入'!$C5="","",'组合输入'!$H5*$B475+SQRT(1-'组合输入'!$H5^2)*R475)</f>
        <v/>
      </c>
      <c r="T475" s="7">
        <f>IF(S475="","",NORM.S.DIST(S475,TRUE))</f>
        <v/>
      </c>
      <c r="U475" s="13">
        <f>IF(T475="","",IF(T475&lt;='组合输入'!$K5,"AAA",IF(T475&lt;='组合输入'!$L5,"AA",IF(T475&lt;='组合输入'!$M5,"A",IF(T475&lt;='组合输入'!$N5,"BBB",IF(T475&lt;='组合输入'!$O5,"BB",IF(T475&lt;='组合输入'!$P5,"B",IF(T475&lt;='组合输入'!$Q5,"CCC","D")))))))</f>
        <v/>
      </c>
      <c r="V475" s="12">
        <f>IF(U475="","",INDEX('状态价值'!$D5:$K5,MATCH(U475,'状态价值'!$D$1:$K$1,0)))</f>
        <v/>
      </c>
      <c r="W475" s="15">
        <f>NORM.S.INV(RAND())</f>
        <v/>
      </c>
      <c r="X475" s="15">
        <f>IF('组合输入'!$C6="","",'组合输入'!$H6*$B475+SQRT(1-'组合输入'!$H6^2)*W475)</f>
        <v/>
      </c>
      <c r="Y475" s="7">
        <f>IF(X475="","",NORM.S.DIST(X475,TRUE))</f>
        <v/>
      </c>
      <c r="Z475" s="13">
        <f>IF(Y475="","",IF(Y475&lt;='组合输入'!$K6,"AAA",IF(Y475&lt;='组合输入'!$L6,"AA",IF(Y475&lt;='组合输入'!$M6,"A",IF(Y475&lt;='组合输入'!$N6,"BBB",IF(Y475&lt;='组合输入'!$O6,"BB",IF(Y475&lt;='组合输入'!$P6,"B",IF(Y475&lt;='组合输入'!$Q6,"CCC","D")))))))</f>
        <v/>
      </c>
      <c r="AA475" s="12">
        <f>IF(Z475="","",INDEX('状态价值'!$D6:$K6,MATCH(Z475,'状态价值'!$D$1:$K$1,0)))</f>
        <v/>
      </c>
      <c r="AB475" s="15">
        <f>NORM.S.INV(RAND())</f>
        <v/>
      </c>
      <c r="AC475" s="15">
        <f>IF('组合输入'!$C7="","",'组合输入'!$H7*$B475+SQRT(1-'组合输入'!$H7^2)*AB475)</f>
        <v/>
      </c>
      <c r="AD475" s="7">
        <f>IF(AC475="","",NORM.S.DIST(AC475,TRUE))</f>
        <v/>
      </c>
      <c r="AE475" s="13">
        <f>IF(AD475="","",IF(AD475&lt;='组合输入'!$K7,"AAA",IF(AD475&lt;='组合输入'!$L7,"AA",IF(AD475&lt;='组合输入'!$M7,"A",IF(AD475&lt;='组合输入'!$N7,"BBB",IF(AD475&lt;='组合输入'!$O7,"BB",IF(AD475&lt;='组合输入'!$P7,"B",IF(AD475&lt;='组合输入'!$Q7,"CCC","D")))))))</f>
        <v/>
      </c>
      <c r="AF475" s="12">
        <f>IF(AE475="","",INDEX('状态价值'!$D7:$K7,MATCH(AE475,'状态价值'!$D$1:$K$1,0)))</f>
        <v/>
      </c>
      <c r="AG475" s="15">
        <f>NORM.S.INV(RAND())</f>
        <v/>
      </c>
      <c r="AH475" s="15">
        <f>IF('组合输入'!$C8="","",'组合输入'!$H8*$B475+SQRT(1-'组合输入'!$H8^2)*AG475)</f>
        <v/>
      </c>
      <c r="AI475" s="7">
        <f>IF(AH475="","",NORM.S.DIST(AH475,TRUE))</f>
        <v/>
      </c>
      <c r="AJ475" s="13">
        <f>IF(AI475="","",IF(AI475&lt;='组合输入'!$K8,"AAA",IF(AI475&lt;='组合输入'!$L8,"AA",IF(AI475&lt;='组合输入'!$M8,"A",IF(AI475&lt;='组合输入'!$N8,"BBB",IF(AI475&lt;='组合输入'!$O8,"BB",IF(AI475&lt;='组合输入'!$P8,"B",IF(AI475&lt;='组合输入'!$Q8,"CCC","D")))))))</f>
        <v/>
      </c>
      <c r="AK475" s="12">
        <f>IF(AJ475="","",INDEX('状态价值'!$D8:$K8,MATCH(AJ475,'状态价值'!$D$1:$K$1,0)))</f>
        <v/>
      </c>
      <c r="AL475" s="15">
        <f>NORM.S.INV(RAND())</f>
        <v/>
      </c>
      <c r="AM475" s="15">
        <f>IF('组合输入'!$C9="","",'组合输入'!$H9*$B475+SQRT(1-'组合输入'!$H9^2)*AL475)</f>
        <v/>
      </c>
      <c r="AN475" s="7">
        <f>IF(AM475="","",NORM.S.DIST(AM475,TRUE))</f>
        <v/>
      </c>
      <c r="AO475" s="13">
        <f>IF(AN475="","",IF(AN475&lt;='组合输入'!$K9,"AAA",IF(AN475&lt;='组合输入'!$L9,"AA",IF(AN475&lt;='组合输入'!$M9,"A",IF(AN475&lt;='组合输入'!$N9,"BBB",IF(AN475&lt;='组合输入'!$O9,"BB",IF(AN475&lt;='组合输入'!$P9,"B",IF(AN475&lt;='组合输入'!$Q9,"CCC","D")))))))</f>
        <v/>
      </c>
      <c r="AP475" s="12">
        <f>IF(AO475="","",INDEX('状态价值'!$D9:$K9,MATCH(AO475,'状态价值'!$D$1:$K$1,0)))</f>
        <v/>
      </c>
      <c r="AQ475" s="15">
        <f>NORM.S.INV(RAND())</f>
        <v/>
      </c>
      <c r="AR475" s="15">
        <f>IF('组合输入'!$C10="","",'组合输入'!$H10*$B475+SQRT(1-'组合输入'!$H10^2)*AQ475)</f>
        <v/>
      </c>
      <c r="AS475" s="7">
        <f>IF(AR475="","",NORM.S.DIST(AR475,TRUE))</f>
        <v/>
      </c>
      <c r="AT475" s="13">
        <f>IF(AS475="","",IF(AS475&lt;='组合输入'!$K10,"AAA",IF(AS475&lt;='组合输入'!$L10,"AA",IF(AS475&lt;='组合输入'!$M10,"A",IF(AS475&lt;='组合输入'!$N10,"BBB",IF(AS475&lt;='组合输入'!$O10,"BB",IF(AS475&lt;='组合输入'!$P10,"B",IF(AS475&lt;='组合输入'!$Q10,"CCC","D")))))))</f>
        <v/>
      </c>
      <c r="AU475" s="12">
        <f>IF(AT475="","",INDEX('状态价值'!$D10:$K10,MATCH(AT475,'状态价值'!$D$1:$K$1,0)))</f>
        <v/>
      </c>
      <c r="AV475" s="15">
        <f>NORM.S.INV(RAND())</f>
        <v/>
      </c>
      <c r="AW475" s="15">
        <f>IF('组合输入'!$C11="","",'组合输入'!$H11*$B475+SQRT(1-'组合输入'!$H11^2)*AV475)</f>
        <v/>
      </c>
      <c r="AX475" s="7">
        <f>IF(AW475="","",NORM.S.DIST(AW475,TRUE))</f>
        <v/>
      </c>
      <c r="AY475" s="13">
        <f>IF(AX475="","",IF(AX475&lt;='组合输入'!$K11,"AAA",IF(AX475&lt;='组合输入'!$L11,"AA",IF(AX475&lt;='组合输入'!$M11,"A",IF(AX475&lt;='组合输入'!$N11,"BBB",IF(AX475&lt;='组合输入'!$O11,"BB",IF(AX475&lt;='组合输入'!$P11,"B",IF(AX475&lt;='组合输入'!$Q11,"CCC","D")))))))</f>
        <v/>
      </c>
      <c r="AZ475" s="12">
        <f>IF(AY475="","",INDEX('状态价值'!$D11:$K11,MATCH(AY475,'状态价值'!$D$1:$K$1,0)))</f>
        <v/>
      </c>
      <c r="BA475" s="12">
        <f>G475+L475+Q475+V475+AA475+AF475+AK475+AP475+AU475+AZ475</f>
        <v/>
      </c>
      <c r="BB475" s="12">
        <f>SUM('组合输入'!$J$2:$J$11)-BA475</f>
        <v/>
      </c>
    </row>
    <row r="476">
      <c r="A476" s="11" t="n">
        <v>475</v>
      </c>
      <c r="B476" s="14">
        <f>NORM.S.INV(RAND())</f>
        <v/>
      </c>
      <c r="C476" s="14">
        <f>NORM.S.INV(RAND())</f>
        <v/>
      </c>
      <c r="D476" s="15">
        <f>IF('组合输入'!$C2="","",'组合输入'!$H2*$B476+SQRT(1-'组合输入'!$H2^2)*C476)</f>
        <v/>
      </c>
      <c r="E476" s="7">
        <f>IF(D476="","",NORM.S.DIST(D476,TRUE))</f>
        <v/>
      </c>
      <c r="F476" s="13">
        <f>IF(E476="","",IF(E476&lt;='组合输入'!$K2,"AAA",IF(E476&lt;='组合输入'!$L2,"AA",IF(E476&lt;='组合输入'!$M2,"A",IF(E476&lt;='组合输入'!$N2,"BBB",IF(E476&lt;='组合输入'!$O2,"BB",IF(E476&lt;='组合输入'!$P2,"B",IF(E476&lt;='组合输入'!$Q2,"CCC","D")))))))</f>
        <v/>
      </c>
      <c r="G476" s="12">
        <f>IF(F476="","",INDEX('状态价值'!$D2:$K2,MATCH(F476,'状态价值'!$D$1:$K$1,0)))</f>
        <v/>
      </c>
      <c r="H476" s="15">
        <f>NORM.S.INV(RAND())</f>
        <v/>
      </c>
      <c r="I476" s="15">
        <f>IF('组合输入'!$C3="","",'组合输入'!$H3*$B476+SQRT(1-'组合输入'!$H3^2)*H476)</f>
        <v/>
      </c>
      <c r="J476" s="7">
        <f>IF(I476="","",NORM.S.DIST(I476,TRUE))</f>
        <v/>
      </c>
      <c r="K476" s="13">
        <f>IF(J476="","",IF(J476&lt;='组合输入'!$K3,"AAA",IF(J476&lt;='组合输入'!$L3,"AA",IF(J476&lt;='组合输入'!$M3,"A",IF(J476&lt;='组合输入'!$N3,"BBB",IF(J476&lt;='组合输入'!$O3,"BB",IF(J476&lt;='组合输入'!$P3,"B",IF(J476&lt;='组合输入'!$Q3,"CCC","D")))))))</f>
        <v/>
      </c>
      <c r="L476" s="12">
        <f>IF(K476="","",INDEX('状态价值'!$D3:$K3,MATCH(K476,'状态价值'!$D$1:$K$1,0)))</f>
        <v/>
      </c>
      <c r="M476" s="15">
        <f>NORM.S.INV(RAND())</f>
        <v/>
      </c>
      <c r="N476" s="15">
        <f>IF('组合输入'!$C4="","",'组合输入'!$H4*$B476+SQRT(1-'组合输入'!$H4^2)*M476)</f>
        <v/>
      </c>
      <c r="O476" s="7">
        <f>IF(N476="","",NORM.S.DIST(N476,TRUE))</f>
        <v/>
      </c>
      <c r="P476" s="13">
        <f>IF(O476="","",IF(O476&lt;='组合输入'!$K4,"AAA",IF(O476&lt;='组合输入'!$L4,"AA",IF(O476&lt;='组合输入'!$M4,"A",IF(O476&lt;='组合输入'!$N4,"BBB",IF(O476&lt;='组合输入'!$O4,"BB",IF(O476&lt;='组合输入'!$P4,"B",IF(O476&lt;='组合输入'!$Q4,"CCC","D")))))))</f>
        <v/>
      </c>
      <c r="Q476" s="12">
        <f>IF(P476="","",INDEX('状态价值'!$D4:$K4,MATCH(P476,'状态价值'!$D$1:$K$1,0)))</f>
        <v/>
      </c>
      <c r="R476" s="15">
        <f>NORM.S.INV(RAND())</f>
        <v/>
      </c>
      <c r="S476" s="15">
        <f>IF('组合输入'!$C5="","",'组合输入'!$H5*$B476+SQRT(1-'组合输入'!$H5^2)*R476)</f>
        <v/>
      </c>
      <c r="T476" s="7">
        <f>IF(S476="","",NORM.S.DIST(S476,TRUE))</f>
        <v/>
      </c>
      <c r="U476" s="13">
        <f>IF(T476="","",IF(T476&lt;='组合输入'!$K5,"AAA",IF(T476&lt;='组合输入'!$L5,"AA",IF(T476&lt;='组合输入'!$M5,"A",IF(T476&lt;='组合输入'!$N5,"BBB",IF(T476&lt;='组合输入'!$O5,"BB",IF(T476&lt;='组合输入'!$P5,"B",IF(T476&lt;='组合输入'!$Q5,"CCC","D")))))))</f>
        <v/>
      </c>
      <c r="V476" s="12">
        <f>IF(U476="","",INDEX('状态价值'!$D5:$K5,MATCH(U476,'状态价值'!$D$1:$K$1,0)))</f>
        <v/>
      </c>
      <c r="W476" s="15">
        <f>NORM.S.INV(RAND())</f>
        <v/>
      </c>
      <c r="X476" s="15">
        <f>IF('组合输入'!$C6="","",'组合输入'!$H6*$B476+SQRT(1-'组合输入'!$H6^2)*W476)</f>
        <v/>
      </c>
      <c r="Y476" s="7">
        <f>IF(X476="","",NORM.S.DIST(X476,TRUE))</f>
        <v/>
      </c>
      <c r="Z476" s="13">
        <f>IF(Y476="","",IF(Y476&lt;='组合输入'!$K6,"AAA",IF(Y476&lt;='组合输入'!$L6,"AA",IF(Y476&lt;='组合输入'!$M6,"A",IF(Y476&lt;='组合输入'!$N6,"BBB",IF(Y476&lt;='组合输入'!$O6,"BB",IF(Y476&lt;='组合输入'!$P6,"B",IF(Y476&lt;='组合输入'!$Q6,"CCC","D")))))))</f>
        <v/>
      </c>
      <c r="AA476" s="12">
        <f>IF(Z476="","",INDEX('状态价值'!$D6:$K6,MATCH(Z476,'状态价值'!$D$1:$K$1,0)))</f>
        <v/>
      </c>
      <c r="AB476" s="15">
        <f>NORM.S.INV(RAND())</f>
        <v/>
      </c>
      <c r="AC476" s="15">
        <f>IF('组合输入'!$C7="","",'组合输入'!$H7*$B476+SQRT(1-'组合输入'!$H7^2)*AB476)</f>
        <v/>
      </c>
      <c r="AD476" s="7">
        <f>IF(AC476="","",NORM.S.DIST(AC476,TRUE))</f>
        <v/>
      </c>
      <c r="AE476" s="13">
        <f>IF(AD476="","",IF(AD476&lt;='组合输入'!$K7,"AAA",IF(AD476&lt;='组合输入'!$L7,"AA",IF(AD476&lt;='组合输入'!$M7,"A",IF(AD476&lt;='组合输入'!$N7,"BBB",IF(AD476&lt;='组合输入'!$O7,"BB",IF(AD476&lt;='组合输入'!$P7,"B",IF(AD476&lt;='组合输入'!$Q7,"CCC","D")))))))</f>
        <v/>
      </c>
      <c r="AF476" s="12">
        <f>IF(AE476="","",INDEX('状态价值'!$D7:$K7,MATCH(AE476,'状态价值'!$D$1:$K$1,0)))</f>
        <v/>
      </c>
      <c r="AG476" s="15">
        <f>NORM.S.INV(RAND())</f>
        <v/>
      </c>
      <c r="AH476" s="15">
        <f>IF('组合输入'!$C8="","",'组合输入'!$H8*$B476+SQRT(1-'组合输入'!$H8^2)*AG476)</f>
        <v/>
      </c>
      <c r="AI476" s="7">
        <f>IF(AH476="","",NORM.S.DIST(AH476,TRUE))</f>
        <v/>
      </c>
      <c r="AJ476" s="13">
        <f>IF(AI476="","",IF(AI476&lt;='组合输入'!$K8,"AAA",IF(AI476&lt;='组合输入'!$L8,"AA",IF(AI476&lt;='组合输入'!$M8,"A",IF(AI476&lt;='组合输入'!$N8,"BBB",IF(AI476&lt;='组合输入'!$O8,"BB",IF(AI476&lt;='组合输入'!$P8,"B",IF(AI476&lt;='组合输入'!$Q8,"CCC","D")))))))</f>
        <v/>
      </c>
      <c r="AK476" s="12">
        <f>IF(AJ476="","",INDEX('状态价值'!$D8:$K8,MATCH(AJ476,'状态价值'!$D$1:$K$1,0)))</f>
        <v/>
      </c>
      <c r="AL476" s="15">
        <f>NORM.S.INV(RAND())</f>
        <v/>
      </c>
      <c r="AM476" s="15">
        <f>IF('组合输入'!$C9="","",'组合输入'!$H9*$B476+SQRT(1-'组合输入'!$H9^2)*AL476)</f>
        <v/>
      </c>
      <c r="AN476" s="7">
        <f>IF(AM476="","",NORM.S.DIST(AM476,TRUE))</f>
        <v/>
      </c>
      <c r="AO476" s="13">
        <f>IF(AN476="","",IF(AN476&lt;='组合输入'!$K9,"AAA",IF(AN476&lt;='组合输入'!$L9,"AA",IF(AN476&lt;='组合输入'!$M9,"A",IF(AN476&lt;='组合输入'!$N9,"BBB",IF(AN476&lt;='组合输入'!$O9,"BB",IF(AN476&lt;='组合输入'!$P9,"B",IF(AN476&lt;='组合输入'!$Q9,"CCC","D")))))))</f>
        <v/>
      </c>
      <c r="AP476" s="12">
        <f>IF(AO476="","",INDEX('状态价值'!$D9:$K9,MATCH(AO476,'状态价值'!$D$1:$K$1,0)))</f>
        <v/>
      </c>
      <c r="AQ476" s="15">
        <f>NORM.S.INV(RAND())</f>
        <v/>
      </c>
      <c r="AR476" s="15">
        <f>IF('组合输入'!$C10="","",'组合输入'!$H10*$B476+SQRT(1-'组合输入'!$H10^2)*AQ476)</f>
        <v/>
      </c>
      <c r="AS476" s="7">
        <f>IF(AR476="","",NORM.S.DIST(AR476,TRUE))</f>
        <v/>
      </c>
      <c r="AT476" s="13">
        <f>IF(AS476="","",IF(AS476&lt;='组合输入'!$K10,"AAA",IF(AS476&lt;='组合输入'!$L10,"AA",IF(AS476&lt;='组合输入'!$M10,"A",IF(AS476&lt;='组合输入'!$N10,"BBB",IF(AS476&lt;='组合输入'!$O10,"BB",IF(AS476&lt;='组合输入'!$P10,"B",IF(AS476&lt;='组合输入'!$Q10,"CCC","D")))))))</f>
        <v/>
      </c>
      <c r="AU476" s="12">
        <f>IF(AT476="","",INDEX('状态价值'!$D10:$K10,MATCH(AT476,'状态价值'!$D$1:$K$1,0)))</f>
        <v/>
      </c>
      <c r="AV476" s="15">
        <f>NORM.S.INV(RAND())</f>
        <v/>
      </c>
      <c r="AW476" s="15">
        <f>IF('组合输入'!$C11="","",'组合输入'!$H11*$B476+SQRT(1-'组合输入'!$H11^2)*AV476)</f>
        <v/>
      </c>
      <c r="AX476" s="7">
        <f>IF(AW476="","",NORM.S.DIST(AW476,TRUE))</f>
        <v/>
      </c>
      <c r="AY476" s="13">
        <f>IF(AX476="","",IF(AX476&lt;='组合输入'!$K11,"AAA",IF(AX476&lt;='组合输入'!$L11,"AA",IF(AX476&lt;='组合输入'!$M11,"A",IF(AX476&lt;='组合输入'!$N11,"BBB",IF(AX476&lt;='组合输入'!$O11,"BB",IF(AX476&lt;='组合输入'!$P11,"B",IF(AX476&lt;='组合输入'!$Q11,"CCC","D")))))))</f>
        <v/>
      </c>
      <c r="AZ476" s="12">
        <f>IF(AY476="","",INDEX('状态价值'!$D11:$K11,MATCH(AY476,'状态价值'!$D$1:$K$1,0)))</f>
        <v/>
      </c>
      <c r="BA476" s="12">
        <f>G476+L476+Q476+V476+AA476+AF476+AK476+AP476+AU476+AZ476</f>
        <v/>
      </c>
      <c r="BB476" s="12">
        <f>SUM('组合输入'!$J$2:$J$11)-BA476</f>
        <v/>
      </c>
    </row>
    <row r="477">
      <c r="A477" s="11" t="n">
        <v>476</v>
      </c>
      <c r="B477" s="14">
        <f>NORM.S.INV(RAND())</f>
        <v/>
      </c>
      <c r="C477" s="14">
        <f>NORM.S.INV(RAND())</f>
        <v/>
      </c>
      <c r="D477" s="15">
        <f>IF('组合输入'!$C2="","",'组合输入'!$H2*$B477+SQRT(1-'组合输入'!$H2^2)*C477)</f>
        <v/>
      </c>
      <c r="E477" s="7">
        <f>IF(D477="","",NORM.S.DIST(D477,TRUE))</f>
        <v/>
      </c>
      <c r="F477" s="13">
        <f>IF(E477="","",IF(E477&lt;='组合输入'!$K2,"AAA",IF(E477&lt;='组合输入'!$L2,"AA",IF(E477&lt;='组合输入'!$M2,"A",IF(E477&lt;='组合输入'!$N2,"BBB",IF(E477&lt;='组合输入'!$O2,"BB",IF(E477&lt;='组合输入'!$P2,"B",IF(E477&lt;='组合输入'!$Q2,"CCC","D")))))))</f>
        <v/>
      </c>
      <c r="G477" s="12">
        <f>IF(F477="","",INDEX('状态价值'!$D2:$K2,MATCH(F477,'状态价值'!$D$1:$K$1,0)))</f>
        <v/>
      </c>
      <c r="H477" s="15">
        <f>NORM.S.INV(RAND())</f>
        <v/>
      </c>
      <c r="I477" s="15">
        <f>IF('组合输入'!$C3="","",'组合输入'!$H3*$B477+SQRT(1-'组合输入'!$H3^2)*H477)</f>
        <v/>
      </c>
      <c r="J477" s="7">
        <f>IF(I477="","",NORM.S.DIST(I477,TRUE))</f>
        <v/>
      </c>
      <c r="K477" s="13">
        <f>IF(J477="","",IF(J477&lt;='组合输入'!$K3,"AAA",IF(J477&lt;='组合输入'!$L3,"AA",IF(J477&lt;='组合输入'!$M3,"A",IF(J477&lt;='组合输入'!$N3,"BBB",IF(J477&lt;='组合输入'!$O3,"BB",IF(J477&lt;='组合输入'!$P3,"B",IF(J477&lt;='组合输入'!$Q3,"CCC","D")))))))</f>
        <v/>
      </c>
      <c r="L477" s="12">
        <f>IF(K477="","",INDEX('状态价值'!$D3:$K3,MATCH(K477,'状态价值'!$D$1:$K$1,0)))</f>
        <v/>
      </c>
      <c r="M477" s="15">
        <f>NORM.S.INV(RAND())</f>
        <v/>
      </c>
      <c r="N477" s="15">
        <f>IF('组合输入'!$C4="","",'组合输入'!$H4*$B477+SQRT(1-'组合输入'!$H4^2)*M477)</f>
        <v/>
      </c>
      <c r="O477" s="7">
        <f>IF(N477="","",NORM.S.DIST(N477,TRUE))</f>
        <v/>
      </c>
      <c r="P477" s="13">
        <f>IF(O477="","",IF(O477&lt;='组合输入'!$K4,"AAA",IF(O477&lt;='组合输入'!$L4,"AA",IF(O477&lt;='组合输入'!$M4,"A",IF(O477&lt;='组合输入'!$N4,"BBB",IF(O477&lt;='组合输入'!$O4,"BB",IF(O477&lt;='组合输入'!$P4,"B",IF(O477&lt;='组合输入'!$Q4,"CCC","D")))))))</f>
        <v/>
      </c>
      <c r="Q477" s="12">
        <f>IF(P477="","",INDEX('状态价值'!$D4:$K4,MATCH(P477,'状态价值'!$D$1:$K$1,0)))</f>
        <v/>
      </c>
      <c r="R477" s="15">
        <f>NORM.S.INV(RAND())</f>
        <v/>
      </c>
      <c r="S477" s="15">
        <f>IF('组合输入'!$C5="","",'组合输入'!$H5*$B477+SQRT(1-'组合输入'!$H5^2)*R477)</f>
        <v/>
      </c>
      <c r="T477" s="7">
        <f>IF(S477="","",NORM.S.DIST(S477,TRUE))</f>
        <v/>
      </c>
      <c r="U477" s="13">
        <f>IF(T477="","",IF(T477&lt;='组合输入'!$K5,"AAA",IF(T477&lt;='组合输入'!$L5,"AA",IF(T477&lt;='组合输入'!$M5,"A",IF(T477&lt;='组合输入'!$N5,"BBB",IF(T477&lt;='组合输入'!$O5,"BB",IF(T477&lt;='组合输入'!$P5,"B",IF(T477&lt;='组合输入'!$Q5,"CCC","D")))))))</f>
        <v/>
      </c>
      <c r="V477" s="12">
        <f>IF(U477="","",INDEX('状态价值'!$D5:$K5,MATCH(U477,'状态价值'!$D$1:$K$1,0)))</f>
        <v/>
      </c>
      <c r="W477" s="15">
        <f>NORM.S.INV(RAND())</f>
        <v/>
      </c>
      <c r="X477" s="15">
        <f>IF('组合输入'!$C6="","",'组合输入'!$H6*$B477+SQRT(1-'组合输入'!$H6^2)*W477)</f>
        <v/>
      </c>
      <c r="Y477" s="7">
        <f>IF(X477="","",NORM.S.DIST(X477,TRUE))</f>
        <v/>
      </c>
      <c r="Z477" s="13">
        <f>IF(Y477="","",IF(Y477&lt;='组合输入'!$K6,"AAA",IF(Y477&lt;='组合输入'!$L6,"AA",IF(Y477&lt;='组合输入'!$M6,"A",IF(Y477&lt;='组合输入'!$N6,"BBB",IF(Y477&lt;='组合输入'!$O6,"BB",IF(Y477&lt;='组合输入'!$P6,"B",IF(Y477&lt;='组合输入'!$Q6,"CCC","D")))))))</f>
        <v/>
      </c>
      <c r="AA477" s="12">
        <f>IF(Z477="","",INDEX('状态价值'!$D6:$K6,MATCH(Z477,'状态价值'!$D$1:$K$1,0)))</f>
        <v/>
      </c>
      <c r="AB477" s="15">
        <f>NORM.S.INV(RAND())</f>
        <v/>
      </c>
      <c r="AC477" s="15">
        <f>IF('组合输入'!$C7="","",'组合输入'!$H7*$B477+SQRT(1-'组合输入'!$H7^2)*AB477)</f>
        <v/>
      </c>
      <c r="AD477" s="7">
        <f>IF(AC477="","",NORM.S.DIST(AC477,TRUE))</f>
        <v/>
      </c>
      <c r="AE477" s="13">
        <f>IF(AD477="","",IF(AD477&lt;='组合输入'!$K7,"AAA",IF(AD477&lt;='组合输入'!$L7,"AA",IF(AD477&lt;='组合输入'!$M7,"A",IF(AD477&lt;='组合输入'!$N7,"BBB",IF(AD477&lt;='组合输入'!$O7,"BB",IF(AD477&lt;='组合输入'!$P7,"B",IF(AD477&lt;='组合输入'!$Q7,"CCC","D")))))))</f>
        <v/>
      </c>
      <c r="AF477" s="12">
        <f>IF(AE477="","",INDEX('状态价值'!$D7:$K7,MATCH(AE477,'状态价值'!$D$1:$K$1,0)))</f>
        <v/>
      </c>
      <c r="AG477" s="15">
        <f>NORM.S.INV(RAND())</f>
        <v/>
      </c>
      <c r="AH477" s="15">
        <f>IF('组合输入'!$C8="","",'组合输入'!$H8*$B477+SQRT(1-'组合输入'!$H8^2)*AG477)</f>
        <v/>
      </c>
      <c r="AI477" s="7">
        <f>IF(AH477="","",NORM.S.DIST(AH477,TRUE))</f>
        <v/>
      </c>
      <c r="AJ477" s="13">
        <f>IF(AI477="","",IF(AI477&lt;='组合输入'!$K8,"AAA",IF(AI477&lt;='组合输入'!$L8,"AA",IF(AI477&lt;='组合输入'!$M8,"A",IF(AI477&lt;='组合输入'!$N8,"BBB",IF(AI477&lt;='组合输入'!$O8,"BB",IF(AI477&lt;='组合输入'!$P8,"B",IF(AI477&lt;='组合输入'!$Q8,"CCC","D")))))))</f>
        <v/>
      </c>
      <c r="AK477" s="12">
        <f>IF(AJ477="","",INDEX('状态价值'!$D8:$K8,MATCH(AJ477,'状态价值'!$D$1:$K$1,0)))</f>
        <v/>
      </c>
      <c r="AL477" s="15">
        <f>NORM.S.INV(RAND())</f>
        <v/>
      </c>
      <c r="AM477" s="15">
        <f>IF('组合输入'!$C9="","",'组合输入'!$H9*$B477+SQRT(1-'组合输入'!$H9^2)*AL477)</f>
        <v/>
      </c>
      <c r="AN477" s="7">
        <f>IF(AM477="","",NORM.S.DIST(AM477,TRUE))</f>
        <v/>
      </c>
      <c r="AO477" s="13">
        <f>IF(AN477="","",IF(AN477&lt;='组合输入'!$K9,"AAA",IF(AN477&lt;='组合输入'!$L9,"AA",IF(AN477&lt;='组合输入'!$M9,"A",IF(AN477&lt;='组合输入'!$N9,"BBB",IF(AN477&lt;='组合输入'!$O9,"BB",IF(AN477&lt;='组合输入'!$P9,"B",IF(AN477&lt;='组合输入'!$Q9,"CCC","D")))))))</f>
        <v/>
      </c>
      <c r="AP477" s="12">
        <f>IF(AO477="","",INDEX('状态价值'!$D9:$K9,MATCH(AO477,'状态价值'!$D$1:$K$1,0)))</f>
        <v/>
      </c>
      <c r="AQ477" s="15">
        <f>NORM.S.INV(RAND())</f>
        <v/>
      </c>
      <c r="AR477" s="15">
        <f>IF('组合输入'!$C10="","",'组合输入'!$H10*$B477+SQRT(1-'组合输入'!$H10^2)*AQ477)</f>
        <v/>
      </c>
      <c r="AS477" s="7">
        <f>IF(AR477="","",NORM.S.DIST(AR477,TRUE))</f>
        <v/>
      </c>
      <c r="AT477" s="13">
        <f>IF(AS477="","",IF(AS477&lt;='组合输入'!$K10,"AAA",IF(AS477&lt;='组合输入'!$L10,"AA",IF(AS477&lt;='组合输入'!$M10,"A",IF(AS477&lt;='组合输入'!$N10,"BBB",IF(AS477&lt;='组合输入'!$O10,"BB",IF(AS477&lt;='组合输入'!$P10,"B",IF(AS477&lt;='组合输入'!$Q10,"CCC","D")))))))</f>
        <v/>
      </c>
      <c r="AU477" s="12">
        <f>IF(AT477="","",INDEX('状态价值'!$D10:$K10,MATCH(AT477,'状态价值'!$D$1:$K$1,0)))</f>
        <v/>
      </c>
      <c r="AV477" s="15">
        <f>NORM.S.INV(RAND())</f>
        <v/>
      </c>
      <c r="AW477" s="15">
        <f>IF('组合输入'!$C11="","",'组合输入'!$H11*$B477+SQRT(1-'组合输入'!$H11^2)*AV477)</f>
        <v/>
      </c>
      <c r="AX477" s="7">
        <f>IF(AW477="","",NORM.S.DIST(AW477,TRUE))</f>
        <v/>
      </c>
      <c r="AY477" s="13">
        <f>IF(AX477="","",IF(AX477&lt;='组合输入'!$K11,"AAA",IF(AX477&lt;='组合输入'!$L11,"AA",IF(AX477&lt;='组合输入'!$M11,"A",IF(AX477&lt;='组合输入'!$N11,"BBB",IF(AX477&lt;='组合输入'!$O11,"BB",IF(AX477&lt;='组合输入'!$P11,"B",IF(AX477&lt;='组合输入'!$Q11,"CCC","D")))))))</f>
        <v/>
      </c>
      <c r="AZ477" s="12">
        <f>IF(AY477="","",INDEX('状态价值'!$D11:$K11,MATCH(AY477,'状态价值'!$D$1:$K$1,0)))</f>
        <v/>
      </c>
      <c r="BA477" s="12">
        <f>G477+L477+Q477+V477+AA477+AF477+AK477+AP477+AU477+AZ477</f>
        <v/>
      </c>
      <c r="BB477" s="12">
        <f>SUM('组合输入'!$J$2:$J$11)-BA477</f>
        <v/>
      </c>
    </row>
    <row r="478">
      <c r="A478" s="11" t="n">
        <v>477</v>
      </c>
      <c r="B478" s="14">
        <f>NORM.S.INV(RAND())</f>
        <v/>
      </c>
      <c r="C478" s="14">
        <f>NORM.S.INV(RAND())</f>
        <v/>
      </c>
      <c r="D478" s="15">
        <f>IF('组合输入'!$C2="","",'组合输入'!$H2*$B478+SQRT(1-'组合输入'!$H2^2)*C478)</f>
        <v/>
      </c>
      <c r="E478" s="7">
        <f>IF(D478="","",NORM.S.DIST(D478,TRUE))</f>
        <v/>
      </c>
      <c r="F478" s="13">
        <f>IF(E478="","",IF(E478&lt;='组合输入'!$K2,"AAA",IF(E478&lt;='组合输入'!$L2,"AA",IF(E478&lt;='组合输入'!$M2,"A",IF(E478&lt;='组合输入'!$N2,"BBB",IF(E478&lt;='组合输入'!$O2,"BB",IF(E478&lt;='组合输入'!$P2,"B",IF(E478&lt;='组合输入'!$Q2,"CCC","D")))))))</f>
        <v/>
      </c>
      <c r="G478" s="12">
        <f>IF(F478="","",INDEX('状态价值'!$D2:$K2,MATCH(F478,'状态价值'!$D$1:$K$1,0)))</f>
        <v/>
      </c>
      <c r="H478" s="15">
        <f>NORM.S.INV(RAND())</f>
        <v/>
      </c>
      <c r="I478" s="15">
        <f>IF('组合输入'!$C3="","",'组合输入'!$H3*$B478+SQRT(1-'组合输入'!$H3^2)*H478)</f>
        <v/>
      </c>
      <c r="J478" s="7">
        <f>IF(I478="","",NORM.S.DIST(I478,TRUE))</f>
        <v/>
      </c>
      <c r="K478" s="13">
        <f>IF(J478="","",IF(J478&lt;='组合输入'!$K3,"AAA",IF(J478&lt;='组合输入'!$L3,"AA",IF(J478&lt;='组合输入'!$M3,"A",IF(J478&lt;='组合输入'!$N3,"BBB",IF(J478&lt;='组合输入'!$O3,"BB",IF(J478&lt;='组合输入'!$P3,"B",IF(J478&lt;='组合输入'!$Q3,"CCC","D")))))))</f>
        <v/>
      </c>
      <c r="L478" s="12">
        <f>IF(K478="","",INDEX('状态价值'!$D3:$K3,MATCH(K478,'状态价值'!$D$1:$K$1,0)))</f>
        <v/>
      </c>
      <c r="M478" s="15">
        <f>NORM.S.INV(RAND())</f>
        <v/>
      </c>
      <c r="N478" s="15">
        <f>IF('组合输入'!$C4="","",'组合输入'!$H4*$B478+SQRT(1-'组合输入'!$H4^2)*M478)</f>
        <v/>
      </c>
      <c r="O478" s="7">
        <f>IF(N478="","",NORM.S.DIST(N478,TRUE))</f>
        <v/>
      </c>
      <c r="P478" s="13">
        <f>IF(O478="","",IF(O478&lt;='组合输入'!$K4,"AAA",IF(O478&lt;='组合输入'!$L4,"AA",IF(O478&lt;='组合输入'!$M4,"A",IF(O478&lt;='组合输入'!$N4,"BBB",IF(O478&lt;='组合输入'!$O4,"BB",IF(O478&lt;='组合输入'!$P4,"B",IF(O478&lt;='组合输入'!$Q4,"CCC","D")))))))</f>
        <v/>
      </c>
      <c r="Q478" s="12">
        <f>IF(P478="","",INDEX('状态价值'!$D4:$K4,MATCH(P478,'状态价值'!$D$1:$K$1,0)))</f>
        <v/>
      </c>
      <c r="R478" s="15">
        <f>NORM.S.INV(RAND())</f>
        <v/>
      </c>
      <c r="S478" s="15">
        <f>IF('组合输入'!$C5="","",'组合输入'!$H5*$B478+SQRT(1-'组合输入'!$H5^2)*R478)</f>
        <v/>
      </c>
      <c r="T478" s="7">
        <f>IF(S478="","",NORM.S.DIST(S478,TRUE))</f>
        <v/>
      </c>
      <c r="U478" s="13">
        <f>IF(T478="","",IF(T478&lt;='组合输入'!$K5,"AAA",IF(T478&lt;='组合输入'!$L5,"AA",IF(T478&lt;='组合输入'!$M5,"A",IF(T478&lt;='组合输入'!$N5,"BBB",IF(T478&lt;='组合输入'!$O5,"BB",IF(T478&lt;='组合输入'!$P5,"B",IF(T478&lt;='组合输入'!$Q5,"CCC","D")))))))</f>
        <v/>
      </c>
      <c r="V478" s="12">
        <f>IF(U478="","",INDEX('状态价值'!$D5:$K5,MATCH(U478,'状态价值'!$D$1:$K$1,0)))</f>
        <v/>
      </c>
      <c r="W478" s="15">
        <f>NORM.S.INV(RAND())</f>
        <v/>
      </c>
      <c r="X478" s="15">
        <f>IF('组合输入'!$C6="","",'组合输入'!$H6*$B478+SQRT(1-'组合输入'!$H6^2)*W478)</f>
        <v/>
      </c>
      <c r="Y478" s="7">
        <f>IF(X478="","",NORM.S.DIST(X478,TRUE))</f>
        <v/>
      </c>
      <c r="Z478" s="13">
        <f>IF(Y478="","",IF(Y478&lt;='组合输入'!$K6,"AAA",IF(Y478&lt;='组合输入'!$L6,"AA",IF(Y478&lt;='组合输入'!$M6,"A",IF(Y478&lt;='组合输入'!$N6,"BBB",IF(Y478&lt;='组合输入'!$O6,"BB",IF(Y478&lt;='组合输入'!$P6,"B",IF(Y478&lt;='组合输入'!$Q6,"CCC","D")))))))</f>
        <v/>
      </c>
      <c r="AA478" s="12">
        <f>IF(Z478="","",INDEX('状态价值'!$D6:$K6,MATCH(Z478,'状态价值'!$D$1:$K$1,0)))</f>
        <v/>
      </c>
      <c r="AB478" s="15">
        <f>NORM.S.INV(RAND())</f>
        <v/>
      </c>
      <c r="AC478" s="15">
        <f>IF('组合输入'!$C7="","",'组合输入'!$H7*$B478+SQRT(1-'组合输入'!$H7^2)*AB478)</f>
        <v/>
      </c>
      <c r="AD478" s="7">
        <f>IF(AC478="","",NORM.S.DIST(AC478,TRUE))</f>
        <v/>
      </c>
      <c r="AE478" s="13">
        <f>IF(AD478="","",IF(AD478&lt;='组合输入'!$K7,"AAA",IF(AD478&lt;='组合输入'!$L7,"AA",IF(AD478&lt;='组合输入'!$M7,"A",IF(AD478&lt;='组合输入'!$N7,"BBB",IF(AD478&lt;='组合输入'!$O7,"BB",IF(AD478&lt;='组合输入'!$P7,"B",IF(AD478&lt;='组合输入'!$Q7,"CCC","D")))))))</f>
        <v/>
      </c>
      <c r="AF478" s="12">
        <f>IF(AE478="","",INDEX('状态价值'!$D7:$K7,MATCH(AE478,'状态价值'!$D$1:$K$1,0)))</f>
        <v/>
      </c>
      <c r="AG478" s="15">
        <f>NORM.S.INV(RAND())</f>
        <v/>
      </c>
      <c r="AH478" s="15">
        <f>IF('组合输入'!$C8="","",'组合输入'!$H8*$B478+SQRT(1-'组合输入'!$H8^2)*AG478)</f>
        <v/>
      </c>
      <c r="AI478" s="7">
        <f>IF(AH478="","",NORM.S.DIST(AH478,TRUE))</f>
        <v/>
      </c>
      <c r="AJ478" s="13">
        <f>IF(AI478="","",IF(AI478&lt;='组合输入'!$K8,"AAA",IF(AI478&lt;='组合输入'!$L8,"AA",IF(AI478&lt;='组合输入'!$M8,"A",IF(AI478&lt;='组合输入'!$N8,"BBB",IF(AI478&lt;='组合输入'!$O8,"BB",IF(AI478&lt;='组合输入'!$P8,"B",IF(AI478&lt;='组合输入'!$Q8,"CCC","D")))))))</f>
        <v/>
      </c>
      <c r="AK478" s="12">
        <f>IF(AJ478="","",INDEX('状态价值'!$D8:$K8,MATCH(AJ478,'状态价值'!$D$1:$K$1,0)))</f>
        <v/>
      </c>
      <c r="AL478" s="15">
        <f>NORM.S.INV(RAND())</f>
        <v/>
      </c>
      <c r="AM478" s="15">
        <f>IF('组合输入'!$C9="","",'组合输入'!$H9*$B478+SQRT(1-'组合输入'!$H9^2)*AL478)</f>
        <v/>
      </c>
      <c r="AN478" s="7">
        <f>IF(AM478="","",NORM.S.DIST(AM478,TRUE))</f>
        <v/>
      </c>
      <c r="AO478" s="13">
        <f>IF(AN478="","",IF(AN478&lt;='组合输入'!$K9,"AAA",IF(AN478&lt;='组合输入'!$L9,"AA",IF(AN478&lt;='组合输入'!$M9,"A",IF(AN478&lt;='组合输入'!$N9,"BBB",IF(AN478&lt;='组合输入'!$O9,"BB",IF(AN478&lt;='组合输入'!$P9,"B",IF(AN478&lt;='组合输入'!$Q9,"CCC","D")))))))</f>
        <v/>
      </c>
      <c r="AP478" s="12">
        <f>IF(AO478="","",INDEX('状态价值'!$D9:$K9,MATCH(AO478,'状态价值'!$D$1:$K$1,0)))</f>
        <v/>
      </c>
      <c r="AQ478" s="15">
        <f>NORM.S.INV(RAND())</f>
        <v/>
      </c>
      <c r="AR478" s="15">
        <f>IF('组合输入'!$C10="","",'组合输入'!$H10*$B478+SQRT(1-'组合输入'!$H10^2)*AQ478)</f>
        <v/>
      </c>
      <c r="AS478" s="7">
        <f>IF(AR478="","",NORM.S.DIST(AR478,TRUE))</f>
        <v/>
      </c>
      <c r="AT478" s="13">
        <f>IF(AS478="","",IF(AS478&lt;='组合输入'!$K10,"AAA",IF(AS478&lt;='组合输入'!$L10,"AA",IF(AS478&lt;='组合输入'!$M10,"A",IF(AS478&lt;='组合输入'!$N10,"BBB",IF(AS478&lt;='组合输入'!$O10,"BB",IF(AS478&lt;='组合输入'!$P10,"B",IF(AS478&lt;='组合输入'!$Q10,"CCC","D")))))))</f>
        <v/>
      </c>
      <c r="AU478" s="12">
        <f>IF(AT478="","",INDEX('状态价值'!$D10:$K10,MATCH(AT478,'状态价值'!$D$1:$K$1,0)))</f>
        <v/>
      </c>
      <c r="AV478" s="15">
        <f>NORM.S.INV(RAND())</f>
        <v/>
      </c>
      <c r="AW478" s="15">
        <f>IF('组合输入'!$C11="","",'组合输入'!$H11*$B478+SQRT(1-'组合输入'!$H11^2)*AV478)</f>
        <v/>
      </c>
      <c r="AX478" s="7">
        <f>IF(AW478="","",NORM.S.DIST(AW478,TRUE))</f>
        <v/>
      </c>
      <c r="AY478" s="13">
        <f>IF(AX478="","",IF(AX478&lt;='组合输入'!$K11,"AAA",IF(AX478&lt;='组合输入'!$L11,"AA",IF(AX478&lt;='组合输入'!$M11,"A",IF(AX478&lt;='组合输入'!$N11,"BBB",IF(AX478&lt;='组合输入'!$O11,"BB",IF(AX478&lt;='组合输入'!$P11,"B",IF(AX478&lt;='组合输入'!$Q11,"CCC","D")))))))</f>
        <v/>
      </c>
      <c r="AZ478" s="12">
        <f>IF(AY478="","",INDEX('状态价值'!$D11:$K11,MATCH(AY478,'状态价值'!$D$1:$K$1,0)))</f>
        <v/>
      </c>
      <c r="BA478" s="12">
        <f>G478+L478+Q478+V478+AA478+AF478+AK478+AP478+AU478+AZ478</f>
        <v/>
      </c>
      <c r="BB478" s="12">
        <f>SUM('组合输入'!$J$2:$J$11)-BA478</f>
        <v/>
      </c>
    </row>
    <row r="479">
      <c r="A479" s="11" t="n">
        <v>478</v>
      </c>
      <c r="B479" s="14">
        <f>NORM.S.INV(RAND())</f>
        <v/>
      </c>
      <c r="C479" s="14">
        <f>NORM.S.INV(RAND())</f>
        <v/>
      </c>
      <c r="D479" s="15">
        <f>IF('组合输入'!$C2="","",'组合输入'!$H2*$B479+SQRT(1-'组合输入'!$H2^2)*C479)</f>
        <v/>
      </c>
      <c r="E479" s="7">
        <f>IF(D479="","",NORM.S.DIST(D479,TRUE))</f>
        <v/>
      </c>
      <c r="F479" s="13">
        <f>IF(E479="","",IF(E479&lt;='组合输入'!$K2,"AAA",IF(E479&lt;='组合输入'!$L2,"AA",IF(E479&lt;='组合输入'!$M2,"A",IF(E479&lt;='组合输入'!$N2,"BBB",IF(E479&lt;='组合输入'!$O2,"BB",IF(E479&lt;='组合输入'!$P2,"B",IF(E479&lt;='组合输入'!$Q2,"CCC","D")))))))</f>
        <v/>
      </c>
      <c r="G479" s="12">
        <f>IF(F479="","",INDEX('状态价值'!$D2:$K2,MATCH(F479,'状态价值'!$D$1:$K$1,0)))</f>
        <v/>
      </c>
      <c r="H479" s="15">
        <f>NORM.S.INV(RAND())</f>
        <v/>
      </c>
      <c r="I479" s="15">
        <f>IF('组合输入'!$C3="","",'组合输入'!$H3*$B479+SQRT(1-'组合输入'!$H3^2)*H479)</f>
        <v/>
      </c>
      <c r="J479" s="7">
        <f>IF(I479="","",NORM.S.DIST(I479,TRUE))</f>
        <v/>
      </c>
      <c r="K479" s="13">
        <f>IF(J479="","",IF(J479&lt;='组合输入'!$K3,"AAA",IF(J479&lt;='组合输入'!$L3,"AA",IF(J479&lt;='组合输入'!$M3,"A",IF(J479&lt;='组合输入'!$N3,"BBB",IF(J479&lt;='组合输入'!$O3,"BB",IF(J479&lt;='组合输入'!$P3,"B",IF(J479&lt;='组合输入'!$Q3,"CCC","D")))))))</f>
        <v/>
      </c>
      <c r="L479" s="12">
        <f>IF(K479="","",INDEX('状态价值'!$D3:$K3,MATCH(K479,'状态价值'!$D$1:$K$1,0)))</f>
        <v/>
      </c>
      <c r="M479" s="15">
        <f>NORM.S.INV(RAND())</f>
        <v/>
      </c>
      <c r="N479" s="15">
        <f>IF('组合输入'!$C4="","",'组合输入'!$H4*$B479+SQRT(1-'组合输入'!$H4^2)*M479)</f>
        <v/>
      </c>
      <c r="O479" s="7">
        <f>IF(N479="","",NORM.S.DIST(N479,TRUE))</f>
        <v/>
      </c>
      <c r="P479" s="13">
        <f>IF(O479="","",IF(O479&lt;='组合输入'!$K4,"AAA",IF(O479&lt;='组合输入'!$L4,"AA",IF(O479&lt;='组合输入'!$M4,"A",IF(O479&lt;='组合输入'!$N4,"BBB",IF(O479&lt;='组合输入'!$O4,"BB",IF(O479&lt;='组合输入'!$P4,"B",IF(O479&lt;='组合输入'!$Q4,"CCC","D")))))))</f>
        <v/>
      </c>
      <c r="Q479" s="12">
        <f>IF(P479="","",INDEX('状态价值'!$D4:$K4,MATCH(P479,'状态价值'!$D$1:$K$1,0)))</f>
        <v/>
      </c>
      <c r="R479" s="15">
        <f>NORM.S.INV(RAND())</f>
        <v/>
      </c>
      <c r="S479" s="15">
        <f>IF('组合输入'!$C5="","",'组合输入'!$H5*$B479+SQRT(1-'组合输入'!$H5^2)*R479)</f>
        <v/>
      </c>
      <c r="T479" s="7">
        <f>IF(S479="","",NORM.S.DIST(S479,TRUE))</f>
        <v/>
      </c>
      <c r="U479" s="13">
        <f>IF(T479="","",IF(T479&lt;='组合输入'!$K5,"AAA",IF(T479&lt;='组合输入'!$L5,"AA",IF(T479&lt;='组合输入'!$M5,"A",IF(T479&lt;='组合输入'!$N5,"BBB",IF(T479&lt;='组合输入'!$O5,"BB",IF(T479&lt;='组合输入'!$P5,"B",IF(T479&lt;='组合输入'!$Q5,"CCC","D")))))))</f>
        <v/>
      </c>
      <c r="V479" s="12">
        <f>IF(U479="","",INDEX('状态价值'!$D5:$K5,MATCH(U479,'状态价值'!$D$1:$K$1,0)))</f>
        <v/>
      </c>
      <c r="W479" s="15">
        <f>NORM.S.INV(RAND())</f>
        <v/>
      </c>
      <c r="X479" s="15">
        <f>IF('组合输入'!$C6="","",'组合输入'!$H6*$B479+SQRT(1-'组合输入'!$H6^2)*W479)</f>
        <v/>
      </c>
      <c r="Y479" s="7">
        <f>IF(X479="","",NORM.S.DIST(X479,TRUE))</f>
        <v/>
      </c>
      <c r="Z479" s="13">
        <f>IF(Y479="","",IF(Y479&lt;='组合输入'!$K6,"AAA",IF(Y479&lt;='组合输入'!$L6,"AA",IF(Y479&lt;='组合输入'!$M6,"A",IF(Y479&lt;='组合输入'!$N6,"BBB",IF(Y479&lt;='组合输入'!$O6,"BB",IF(Y479&lt;='组合输入'!$P6,"B",IF(Y479&lt;='组合输入'!$Q6,"CCC","D")))))))</f>
        <v/>
      </c>
      <c r="AA479" s="12">
        <f>IF(Z479="","",INDEX('状态价值'!$D6:$K6,MATCH(Z479,'状态价值'!$D$1:$K$1,0)))</f>
        <v/>
      </c>
      <c r="AB479" s="15">
        <f>NORM.S.INV(RAND())</f>
        <v/>
      </c>
      <c r="AC479" s="15">
        <f>IF('组合输入'!$C7="","",'组合输入'!$H7*$B479+SQRT(1-'组合输入'!$H7^2)*AB479)</f>
        <v/>
      </c>
      <c r="AD479" s="7">
        <f>IF(AC479="","",NORM.S.DIST(AC479,TRUE))</f>
        <v/>
      </c>
      <c r="AE479" s="13">
        <f>IF(AD479="","",IF(AD479&lt;='组合输入'!$K7,"AAA",IF(AD479&lt;='组合输入'!$L7,"AA",IF(AD479&lt;='组合输入'!$M7,"A",IF(AD479&lt;='组合输入'!$N7,"BBB",IF(AD479&lt;='组合输入'!$O7,"BB",IF(AD479&lt;='组合输入'!$P7,"B",IF(AD479&lt;='组合输入'!$Q7,"CCC","D")))))))</f>
        <v/>
      </c>
      <c r="AF479" s="12">
        <f>IF(AE479="","",INDEX('状态价值'!$D7:$K7,MATCH(AE479,'状态价值'!$D$1:$K$1,0)))</f>
        <v/>
      </c>
      <c r="AG479" s="15">
        <f>NORM.S.INV(RAND())</f>
        <v/>
      </c>
      <c r="AH479" s="15">
        <f>IF('组合输入'!$C8="","",'组合输入'!$H8*$B479+SQRT(1-'组合输入'!$H8^2)*AG479)</f>
        <v/>
      </c>
      <c r="AI479" s="7">
        <f>IF(AH479="","",NORM.S.DIST(AH479,TRUE))</f>
        <v/>
      </c>
      <c r="AJ479" s="13">
        <f>IF(AI479="","",IF(AI479&lt;='组合输入'!$K8,"AAA",IF(AI479&lt;='组合输入'!$L8,"AA",IF(AI479&lt;='组合输入'!$M8,"A",IF(AI479&lt;='组合输入'!$N8,"BBB",IF(AI479&lt;='组合输入'!$O8,"BB",IF(AI479&lt;='组合输入'!$P8,"B",IF(AI479&lt;='组合输入'!$Q8,"CCC","D")))))))</f>
        <v/>
      </c>
      <c r="AK479" s="12">
        <f>IF(AJ479="","",INDEX('状态价值'!$D8:$K8,MATCH(AJ479,'状态价值'!$D$1:$K$1,0)))</f>
        <v/>
      </c>
      <c r="AL479" s="15">
        <f>NORM.S.INV(RAND())</f>
        <v/>
      </c>
      <c r="AM479" s="15">
        <f>IF('组合输入'!$C9="","",'组合输入'!$H9*$B479+SQRT(1-'组合输入'!$H9^2)*AL479)</f>
        <v/>
      </c>
      <c r="AN479" s="7">
        <f>IF(AM479="","",NORM.S.DIST(AM479,TRUE))</f>
        <v/>
      </c>
      <c r="AO479" s="13">
        <f>IF(AN479="","",IF(AN479&lt;='组合输入'!$K9,"AAA",IF(AN479&lt;='组合输入'!$L9,"AA",IF(AN479&lt;='组合输入'!$M9,"A",IF(AN479&lt;='组合输入'!$N9,"BBB",IF(AN479&lt;='组合输入'!$O9,"BB",IF(AN479&lt;='组合输入'!$P9,"B",IF(AN479&lt;='组合输入'!$Q9,"CCC","D")))))))</f>
        <v/>
      </c>
      <c r="AP479" s="12">
        <f>IF(AO479="","",INDEX('状态价值'!$D9:$K9,MATCH(AO479,'状态价值'!$D$1:$K$1,0)))</f>
        <v/>
      </c>
      <c r="AQ479" s="15">
        <f>NORM.S.INV(RAND())</f>
        <v/>
      </c>
      <c r="AR479" s="15">
        <f>IF('组合输入'!$C10="","",'组合输入'!$H10*$B479+SQRT(1-'组合输入'!$H10^2)*AQ479)</f>
        <v/>
      </c>
      <c r="AS479" s="7">
        <f>IF(AR479="","",NORM.S.DIST(AR479,TRUE))</f>
        <v/>
      </c>
      <c r="AT479" s="13">
        <f>IF(AS479="","",IF(AS479&lt;='组合输入'!$K10,"AAA",IF(AS479&lt;='组合输入'!$L10,"AA",IF(AS479&lt;='组合输入'!$M10,"A",IF(AS479&lt;='组合输入'!$N10,"BBB",IF(AS479&lt;='组合输入'!$O10,"BB",IF(AS479&lt;='组合输入'!$P10,"B",IF(AS479&lt;='组合输入'!$Q10,"CCC","D")))))))</f>
        <v/>
      </c>
      <c r="AU479" s="12">
        <f>IF(AT479="","",INDEX('状态价值'!$D10:$K10,MATCH(AT479,'状态价值'!$D$1:$K$1,0)))</f>
        <v/>
      </c>
      <c r="AV479" s="15">
        <f>NORM.S.INV(RAND())</f>
        <v/>
      </c>
      <c r="AW479" s="15">
        <f>IF('组合输入'!$C11="","",'组合输入'!$H11*$B479+SQRT(1-'组合输入'!$H11^2)*AV479)</f>
        <v/>
      </c>
      <c r="AX479" s="7">
        <f>IF(AW479="","",NORM.S.DIST(AW479,TRUE))</f>
        <v/>
      </c>
      <c r="AY479" s="13">
        <f>IF(AX479="","",IF(AX479&lt;='组合输入'!$K11,"AAA",IF(AX479&lt;='组合输入'!$L11,"AA",IF(AX479&lt;='组合输入'!$M11,"A",IF(AX479&lt;='组合输入'!$N11,"BBB",IF(AX479&lt;='组合输入'!$O11,"BB",IF(AX479&lt;='组合输入'!$P11,"B",IF(AX479&lt;='组合输入'!$Q11,"CCC","D")))))))</f>
        <v/>
      </c>
      <c r="AZ479" s="12">
        <f>IF(AY479="","",INDEX('状态价值'!$D11:$K11,MATCH(AY479,'状态价值'!$D$1:$K$1,0)))</f>
        <v/>
      </c>
      <c r="BA479" s="12">
        <f>G479+L479+Q479+V479+AA479+AF479+AK479+AP479+AU479+AZ479</f>
        <v/>
      </c>
      <c r="BB479" s="12">
        <f>SUM('组合输入'!$J$2:$J$11)-BA479</f>
        <v/>
      </c>
    </row>
    <row r="480">
      <c r="A480" s="11" t="n">
        <v>479</v>
      </c>
      <c r="B480" s="14">
        <f>NORM.S.INV(RAND())</f>
        <v/>
      </c>
      <c r="C480" s="14">
        <f>NORM.S.INV(RAND())</f>
        <v/>
      </c>
      <c r="D480" s="15">
        <f>IF('组合输入'!$C2="","",'组合输入'!$H2*$B480+SQRT(1-'组合输入'!$H2^2)*C480)</f>
        <v/>
      </c>
      <c r="E480" s="7">
        <f>IF(D480="","",NORM.S.DIST(D480,TRUE))</f>
        <v/>
      </c>
      <c r="F480" s="13">
        <f>IF(E480="","",IF(E480&lt;='组合输入'!$K2,"AAA",IF(E480&lt;='组合输入'!$L2,"AA",IF(E480&lt;='组合输入'!$M2,"A",IF(E480&lt;='组合输入'!$N2,"BBB",IF(E480&lt;='组合输入'!$O2,"BB",IF(E480&lt;='组合输入'!$P2,"B",IF(E480&lt;='组合输入'!$Q2,"CCC","D")))))))</f>
        <v/>
      </c>
      <c r="G480" s="12">
        <f>IF(F480="","",INDEX('状态价值'!$D2:$K2,MATCH(F480,'状态价值'!$D$1:$K$1,0)))</f>
        <v/>
      </c>
      <c r="H480" s="15">
        <f>NORM.S.INV(RAND())</f>
        <v/>
      </c>
      <c r="I480" s="15">
        <f>IF('组合输入'!$C3="","",'组合输入'!$H3*$B480+SQRT(1-'组合输入'!$H3^2)*H480)</f>
        <v/>
      </c>
      <c r="J480" s="7">
        <f>IF(I480="","",NORM.S.DIST(I480,TRUE))</f>
        <v/>
      </c>
      <c r="K480" s="13">
        <f>IF(J480="","",IF(J480&lt;='组合输入'!$K3,"AAA",IF(J480&lt;='组合输入'!$L3,"AA",IF(J480&lt;='组合输入'!$M3,"A",IF(J480&lt;='组合输入'!$N3,"BBB",IF(J480&lt;='组合输入'!$O3,"BB",IF(J480&lt;='组合输入'!$P3,"B",IF(J480&lt;='组合输入'!$Q3,"CCC","D")))))))</f>
        <v/>
      </c>
      <c r="L480" s="12">
        <f>IF(K480="","",INDEX('状态价值'!$D3:$K3,MATCH(K480,'状态价值'!$D$1:$K$1,0)))</f>
        <v/>
      </c>
      <c r="M480" s="15">
        <f>NORM.S.INV(RAND())</f>
        <v/>
      </c>
      <c r="N480" s="15">
        <f>IF('组合输入'!$C4="","",'组合输入'!$H4*$B480+SQRT(1-'组合输入'!$H4^2)*M480)</f>
        <v/>
      </c>
      <c r="O480" s="7">
        <f>IF(N480="","",NORM.S.DIST(N480,TRUE))</f>
        <v/>
      </c>
      <c r="P480" s="13">
        <f>IF(O480="","",IF(O480&lt;='组合输入'!$K4,"AAA",IF(O480&lt;='组合输入'!$L4,"AA",IF(O480&lt;='组合输入'!$M4,"A",IF(O480&lt;='组合输入'!$N4,"BBB",IF(O480&lt;='组合输入'!$O4,"BB",IF(O480&lt;='组合输入'!$P4,"B",IF(O480&lt;='组合输入'!$Q4,"CCC","D")))))))</f>
        <v/>
      </c>
      <c r="Q480" s="12">
        <f>IF(P480="","",INDEX('状态价值'!$D4:$K4,MATCH(P480,'状态价值'!$D$1:$K$1,0)))</f>
        <v/>
      </c>
      <c r="R480" s="15">
        <f>NORM.S.INV(RAND())</f>
        <v/>
      </c>
      <c r="S480" s="15">
        <f>IF('组合输入'!$C5="","",'组合输入'!$H5*$B480+SQRT(1-'组合输入'!$H5^2)*R480)</f>
        <v/>
      </c>
      <c r="T480" s="7">
        <f>IF(S480="","",NORM.S.DIST(S480,TRUE))</f>
        <v/>
      </c>
      <c r="U480" s="13">
        <f>IF(T480="","",IF(T480&lt;='组合输入'!$K5,"AAA",IF(T480&lt;='组合输入'!$L5,"AA",IF(T480&lt;='组合输入'!$M5,"A",IF(T480&lt;='组合输入'!$N5,"BBB",IF(T480&lt;='组合输入'!$O5,"BB",IF(T480&lt;='组合输入'!$P5,"B",IF(T480&lt;='组合输入'!$Q5,"CCC","D")))))))</f>
        <v/>
      </c>
      <c r="V480" s="12">
        <f>IF(U480="","",INDEX('状态价值'!$D5:$K5,MATCH(U480,'状态价值'!$D$1:$K$1,0)))</f>
        <v/>
      </c>
      <c r="W480" s="15">
        <f>NORM.S.INV(RAND())</f>
        <v/>
      </c>
      <c r="X480" s="15">
        <f>IF('组合输入'!$C6="","",'组合输入'!$H6*$B480+SQRT(1-'组合输入'!$H6^2)*W480)</f>
        <v/>
      </c>
      <c r="Y480" s="7">
        <f>IF(X480="","",NORM.S.DIST(X480,TRUE))</f>
        <v/>
      </c>
      <c r="Z480" s="13">
        <f>IF(Y480="","",IF(Y480&lt;='组合输入'!$K6,"AAA",IF(Y480&lt;='组合输入'!$L6,"AA",IF(Y480&lt;='组合输入'!$M6,"A",IF(Y480&lt;='组合输入'!$N6,"BBB",IF(Y480&lt;='组合输入'!$O6,"BB",IF(Y480&lt;='组合输入'!$P6,"B",IF(Y480&lt;='组合输入'!$Q6,"CCC","D")))))))</f>
        <v/>
      </c>
      <c r="AA480" s="12">
        <f>IF(Z480="","",INDEX('状态价值'!$D6:$K6,MATCH(Z480,'状态价值'!$D$1:$K$1,0)))</f>
        <v/>
      </c>
      <c r="AB480" s="15">
        <f>NORM.S.INV(RAND())</f>
        <v/>
      </c>
      <c r="AC480" s="15">
        <f>IF('组合输入'!$C7="","",'组合输入'!$H7*$B480+SQRT(1-'组合输入'!$H7^2)*AB480)</f>
        <v/>
      </c>
      <c r="AD480" s="7">
        <f>IF(AC480="","",NORM.S.DIST(AC480,TRUE))</f>
        <v/>
      </c>
      <c r="AE480" s="13">
        <f>IF(AD480="","",IF(AD480&lt;='组合输入'!$K7,"AAA",IF(AD480&lt;='组合输入'!$L7,"AA",IF(AD480&lt;='组合输入'!$M7,"A",IF(AD480&lt;='组合输入'!$N7,"BBB",IF(AD480&lt;='组合输入'!$O7,"BB",IF(AD480&lt;='组合输入'!$P7,"B",IF(AD480&lt;='组合输入'!$Q7,"CCC","D")))))))</f>
        <v/>
      </c>
      <c r="AF480" s="12">
        <f>IF(AE480="","",INDEX('状态价值'!$D7:$K7,MATCH(AE480,'状态价值'!$D$1:$K$1,0)))</f>
        <v/>
      </c>
      <c r="AG480" s="15">
        <f>NORM.S.INV(RAND())</f>
        <v/>
      </c>
      <c r="AH480" s="15">
        <f>IF('组合输入'!$C8="","",'组合输入'!$H8*$B480+SQRT(1-'组合输入'!$H8^2)*AG480)</f>
        <v/>
      </c>
      <c r="AI480" s="7">
        <f>IF(AH480="","",NORM.S.DIST(AH480,TRUE))</f>
        <v/>
      </c>
      <c r="AJ480" s="13">
        <f>IF(AI480="","",IF(AI480&lt;='组合输入'!$K8,"AAA",IF(AI480&lt;='组合输入'!$L8,"AA",IF(AI480&lt;='组合输入'!$M8,"A",IF(AI480&lt;='组合输入'!$N8,"BBB",IF(AI480&lt;='组合输入'!$O8,"BB",IF(AI480&lt;='组合输入'!$P8,"B",IF(AI480&lt;='组合输入'!$Q8,"CCC","D")))))))</f>
        <v/>
      </c>
      <c r="AK480" s="12">
        <f>IF(AJ480="","",INDEX('状态价值'!$D8:$K8,MATCH(AJ480,'状态价值'!$D$1:$K$1,0)))</f>
        <v/>
      </c>
      <c r="AL480" s="15">
        <f>NORM.S.INV(RAND())</f>
        <v/>
      </c>
      <c r="AM480" s="15">
        <f>IF('组合输入'!$C9="","",'组合输入'!$H9*$B480+SQRT(1-'组合输入'!$H9^2)*AL480)</f>
        <v/>
      </c>
      <c r="AN480" s="7">
        <f>IF(AM480="","",NORM.S.DIST(AM480,TRUE))</f>
        <v/>
      </c>
      <c r="AO480" s="13">
        <f>IF(AN480="","",IF(AN480&lt;='组合输入'!$K9,"AAA",IF(AN480&lt;='组合输入'!$L9,"AA",IF(AN480&lt;='组合输入'!$M9,"A",IF(AN480&lt;='组合输入'!$N9,"BBB",IF(AN480&lt;='组合输入'!$O9,"BB",IF(AN480&lt;='组合输入'!$P9,"B",IF(AN480&lt;='组合输入'!$Q9,"CCC","D")))))))</f>
        <v/>
      </c>
      <c r="AP480" s="12">
        <f>IF(AO480="","",INDEX('状态价值'!$D9:$K9,MATCH(AO480,'状态价值'!$D$1:$K$1,0)))</f>
        <v/>
      </c>
      <c r="AQ480" s="15">
        <f>NORM.S.INV(RAND())</f>
        <v/>
      </c>
      <c r="AR480" s="15">
        <f>IF('组合输入'!$C10="","",'组合输入'!$H10*$B480+SQRT(1-'组合输入'!$H10^2)*AQ480)</f>
        <v/>
      </c>
      <c r="AS480" s="7">
        <f>IF(AR480="","",NORM.S.DIST(AR480,TRUE))</f>
        <v/>
      </c>
      <c r="AT480" s="13">
        <f>IF(AS480="","",IF(AS480&lt;='组合输入'!$K10,"AAA",IF(AS480&lt;='组合输入'!$L10,"AA",IF(AS480&lt;='组合输入'!$M10,"A",IF(AS480&lt;='组合输入'!$N10,"BBB",IF(AS480&lt;='组合输入'!$O10,"BB",IF(AS480&lt;='组合输入'!$P10,"B",IF(AS480&lt;='组合输入'!$Q10,"CCC","D")))))))</f>
        <v/>
      </c>
      <c r="AU480" s="12">
        <f>IF(AT480="","",INDEX('状态价值'!$D10:$K10,MATCH(AT480,'状态价值'!$D$1:$K$1,0)))</f>
        <v/>
      </c>
      <c r="AV480" s="15">
        <f>NORM.S.INV(RAND())</f>
        <v/>
      </c>
      <c r="AW480" s="15">
        <f>IF('组合输入'!$C11="","",'组合输入'!$H11*$B480+SQRT(1-'组合输入'!$H11^2)*AV480)</f>
        <v/>
      </c>
      <c r="AX480" s="7">
        <f>IF(AW480="","",NORM.S.DIST(AW480,TRUE))</f>
        <v/>
      </c>
      <c r="AY480" s="13">
        <f>IF(AX480="","",IF(AX480&lt;='组合输入'!$K11,"AAA",IF(AX480&lt;='组合输入'!$L11,"AA",IF(AX480&lt;='组合输入'!$M11,"A",IF(AX480&lt;='组合输入'!$N11,"BBB",IF(AX480&lt;='组合输入'!$O11,"BB",IF(AX480&lt;='组合输入'!$P11,"B",IF(AX480&lt;='组合输入'!$Q11,"CCC","D")))))))</f>
        <v/>
      </c>
      <c r="AZ480" s="12">
        <f>IF(AY480="","",INDEX('状态价值'!$D11:$K11,MATCH(AY480,'状态价值'!$D$1:$K$1,0)))</f>
        <v/>
      </c>
      <c r="BA480" s="12">
        <f>G480+L480+Q480+V480+AA480+AF480+AK480+AP480+AU480+AZ480</f>
        <v/>
      </c>
      <c r="BB480" s="12">
        <f>SUM('组合输入'!$J$2:$J$11)-BA480</f>
        <v/>
      </c>
    </row>
    <row r="481">
      <c r="A481" s="11" t="n">
        <v>480</v>
      </c>
      <c r="B481" s="14">
        <f>NORM.S.INV(RAND())</f>
        <v/>
      </c>
      <c r="C481" s="14">
        <f>NORM.S.INV(RAND())</f>
        <v/>
      </c>
      <c r="D481" s="15">
        <f>IF('组合输入'!$C2="","",'组合输入'!$H2*$B481+SQRT(1-'组合输入'!$H2^2)*C481)</f>
        <v/>
      </c>
      <c r="E481" s="7">
        <f>IF(D481="","",NORM.S.DIST(D481,TRUE))</f>
        <v/>
      </c>
      <c r="F481" s="13">
        <f>IF(E481="","",IF(E481&lt;='组合输入'!$K2,"AAA",IF(E481&lt;='组合输入'!$L2,"AA",IF(E481&lt;='组合输入'!$M2,"A",IF(E481&lt;='组合输入'!$N2,"BBB",IF(E481&lt;='组合输入'!$O2,"BB",IF(E481&lt;='组合输入'!$P2,"B",IF(E481&lt;='组合输入'!$Q2,"CCC","D")))))))</f>
        <v/>
      </c>
      <c r="G481" s="12">
        <f>IF(F481="","",INDEX('状态价值'!$D2:$K2,MATCH(F481,'状态价值'!$D$1:$K$1,0)))</f>
        <v/>
      </c>
      <c r="H481" s="15">
        <f>NORM.S.INV(RAND())</f>
        <v/>
      </c>
      <c r="I481" s="15">
        <f>IF('组合输入'!$C3="","",'组合输入'!$H3*$B481+SQRT(1-'组合输入'!$H3^2)*H481)</f>
        <v/>
      </c>
      <c r="J481" s="7">
        <f>IF(I481="","",NORM.S.DIST(I481,TRUE))</f>
        <v/>
      </c>
      <c r="K481" s="13">
        <f>IF(J481="","",IF(J481&lt;='组合输入'!$K3,"AAA",IF(J481&lt;='组合输入'!$L3,"AA",IF(J481&lt;='组合输入'!$M3,"A",IF(J481&lt;='组合输入'!$N3,"BBB",IF(J481&lt;='组合输入'!$O3,"BB",IF(J481&lt;='组合输入'!$P3,"B",IF(J481&lt;='组合输入'!$Q3,"CCC","D")))))))</f>
        <v/>
      </c>
      <c r="L481" s="12">
        <f>IF(K481="","",INDEX('状态价值'!$D3:$K3,MATCH(K481,'状态价值'!$D$1:$K$1,0)))</f>
        <v/>
      </c>
      <c r="M481" s="15">
        <f>NORM.S.INV(RAND())</f>
        <v/>
      </c>
      <c r="N481" s="15">
        <f>IF('组合输入'!$C4="","",'组合输入'!$H4*$B481+SQRT(1-'组合输入'!$H4^2)*M481)</f>
        <v/>
      </c>
      <c r="O481" s="7">
        <f>IF(N481="","",NORM.S.DIST(N481,TRUE))</f>
        <v/>
      </c>
      <c r="P481" s="13">
        <f>IF(O481="","",IF(O481&lt;='组合输入'!$K4,"AAA",IF(O481&lt;='组合输入'!$L4,"AA",IF(O481&lt;='组合输入'!$M4,"A",IF(O481&lt;='组合输入'!$N4,"BBB",IF(O481&lt;='组合输入'!$O4,"BB",IF(O481&lt;='组合输入'!$P4,"B",IF(O481&lt;='组合输入'!$Q4,"CCC","D")))))))</f>
        <v/>
      </c>
      <c r="Q481" s="12">
        <f>IF(P481="","",INDEX('状态价值'!$D4:$K4,MATCH(P481,'状态价值'!$D$1:$K$1,0)))</f>
        <v/>
      </c>
      <c r="R481" s="15">
        <f>NORM.S.INV(RAND())</f>
        <v/>
      </c>
      <c r="S481" s="15">
        <f>IF('组合输入'!$C5="","",'组合输入'!$H5*$B481+SQRT(1-'组合输入'!$H5^2)*R481)</f>
        <v/>
      </c>
      <c r="T481" s="7">
        <f>IF(S481="","",NORM.S.DIST(S481,TRUE))</f>
        <v/>
      </c>
      <c r="U481" s="13">
        <f>IF(T481="","",IF(T481&lt;='组合输入'!$K5,"AAA",IF(T481&lt;='组合输入'!$L5,"AA",IF(T481&lt;='组合输入'!$M5,"A",IF(T481&lt;='组合输入'!$N5,"BBB",IF(T481&lt;='组合输入'!$O5,"BB",IF(T481&lt;='组合输入'!$P5,"B",IF(T481&lt;='组合输入'!$Q5,"CCC","D")))))))</f>
        <v/>
      </c>
      <c r="V481" s="12">
        <f>IF(U481="","",INDEX('状态价值'!$D5:$K5,MATCH(U481,'状态价值'!$D$1:$K$1,0)))</f>
        <v/>
      </c>
      <c r="W481" s="15">
        <f>NORM.S.INV(RAND())</f>
        <v/>
      </c>
      <c r="X481" s="15">
        <f>IF('组合输入'!$C6="","",'组合输入'!$H6*$B481+SQRT(1-'组合输入'!$H6^2)*W481)</f>
        <v/>
      </c>
      <c r="Y481" s="7">
        <f>IF(X481="","",NORM.S.DIST(X481,TRUE))</f>
        <v/>
      </c>
      <c r="Z481" s="13">
        <f>IF(Y481="","",IF(Y481&lt;='组合输入'!$K6,"AAA",IF(Y481&lt;='组合输入'!$L6,"AA",IF(Y481&lt;='组合输入'!$M6,"A",IF(Y481&lt;='组合输入'!$N6,"BBB",IF(Y481&lt;='组合输入'!$O6,"BB",IF(Y481&lt;='组合输入'!$P6,"B",IF(Y481&lt;='组合输入'!$Q6,"CCC","D")))))))</f>
        <v/>
      </c>
      <c r="AA481" s="12">
        <f>IF(Z481="","",INDEX('状态价值'!$D6:$K6,MATCH(Z481,'状态价值'!$D$1:$K$1,0)))</f>
        <v/>
      </c>
      <c r="AB481" s="15">
        <f>NORM.S.INV(RAND())</f>
        <v/>
      </c>
      <c r="AC481" s="15">
        <f>IF('组合输入'!$C7="","",'组合输入'!$H7*$B481+SQRT(1-'组合输入'!$H7^2)*AB481)</f>
        <v/>
      </c>
      <c r="AD481" s="7">
        <f>IF(AC481="","",NORM.S.DIST(AC481,TRUE))</f>
        <v/>
      </c>
      <c r="AE481" s="13">
        <f>IF(AD481="","",IF(AD481&lt;='组合输入'!$K7,"AAA",IF(AD481&lt;='组合输入'!$L7,"AA",IF(AD481&lt;='组合输入'!$M7,"A",IF(AD481&lt;='组合输入'!$N7,"BBB",IF(AD481&lt;='组合输入'!$O7,"BB",IF(AD481&lt;='组合输入'!$P7,"B",IF(AD481&lt;='组合输入'!$Q7,"CCC","D")))))))</f>
        <v/>
      </c>
      <c r="AF481" s="12">
        <f>IF(AE481="","",INDEX('状态价值'!$D7:$K7,MATCH(AE481,'状态价值'!$D$1:$K$1,0)))</f>
        <v/>
      </c>
      <c r="AG481" s="15">
        <f>NORM.S.INV(RAND())</f>
        <v/>
      </c>
      <c r="AH481" s="15">
        <f>IF('组合输入'!$C8="","",'组合输入'!$H8*$B481+SQRT(1-'组合输入'!$H8^2)*AG481)</f>
        <v/>
      </c>
      <c r="AI481" s="7">
        <f>IF(AH481="","",NORM.S.DIST(AH481,TRUE))</f>
        <v/>
      </c>
      <c r="AJ481" s="13">
        <f>IF(AI481="","",IF(AI481&lt;='组合输入'!$K8,"AAA",IF(AI481&lt;='组合输入'!$L8,"AA",IF(AI481&lt;='组合输入'!$M8,"A",IF(AI481&lt;='组合输入'!$N8,"BBB",IF(AI481&lt;='组合输入'!$O8,"BB",IF(AI481&lt;='组合输入'!$P8,"B",IF(AI481&lt;='组合输入'!$Q8,"CCC","D")))))))</f>
        <v/>
      </c>
      <c r="AK481" s="12">
        <f>IF(AJ481="","",INDEX('状态价值'!$D8:$K8,MATCH(AJ481,'状态价值'!$D$1:$K$1,0)))</f>
        <v/>
      </c>
      <c r="AL481" s="15">
        <f>NORM.S.INV(RAND())</f>
        <v/>
      </c>
      <c r="AM481" s="15">
        <f>IF('组合输入'!$C9="","",'组合输入'!$H9*$B481+SQRT(1-'组合输入'!$H9^2)*AL481)</f>
        <v/>
      </c>
      <c r="AN481" s="7">
        <f>IF(AM481="","",NORM.S.DIST(AM481,TRUE))</f>
        <v/>
      </c>
      <c r="AO481" s="13">
        <f>IF(AN481="","",IF(AN481&lt;='组合输入'!$K9,"AAA",IF(AN481&lt;='组合输入'!$L9,"AA",IF(AN481&lt;='组合输入'!$M9,"A",IF(AN481&lt;='组合输入'!$N9,"BBB",IF(AN481&lt;='组合输入'!$O9,"BB",IF(AN481&lt;='组合输入'!$P9,"B",IF(AN481&lt;='组合输入'!$Q9,"CCC","D")))))))</f>
        <v/>
      </c>
      <c r="AP481" s="12">
        <f>IF(AO481="","",INDEX('状态价值'!$D9:$K9,MATCH(AO481,'状态价值'!$D$1:$K$1,0)))</f>
        <v/>
      </c>
      <c r="AQ481" s="15">
        <f>NORM.S.INV(RAND())</f>
        <v/>
      </c>
      <c r="AR481" s="15">
        <f>IF('组合输入'!$C10="","",'组合输入'!$H10*$B481+SQRT(1-'组合输入'!$H10^2)*AQ481)</f>
        <v/>
      </c>
      <c r="AS481" s="7">
        <f>IF(AR481="","",NORM.S.DIST(AR481,TRUE))</f>
        <v/>
      </c>
      <c r="AT481" s="13">
        <f>IF(AS481="","",IF(AS481&lt;='组合输入'!$K10,"AAA",IF(AS481&lt;='组合输入'!$L10,"AA",IF(AS481&lt;='组合输入'!$M10,"A",IF(AS481&lt;='组合输入'!$N10,"BBB",IF(AS481&lt;='组合输入'!$O10,"BB",IF(AS481&lt;='组合输入'!$P10,"B",IF(AS481&lt;='组合输入'!$Q10,"CCC","D")))))))</f>
        <v/>
      </c>
      <c r="AU481" s="12">
        <f>IF(AT481="","",INDEX('状态价值'!$D10:$K10,MATCH(AT481,'状态价值'!$D$1:$K$1,0)))</f>
        <v/>
      </c>
      <c r="AV481" s="15">
        <f>NORM.S.INV(RAND())</f>
        <v/>
      </c>
      <c r="AW481" s="15">
        <f>IF('组合输入'!$C11="","",'组合输入'!$H11*$B481+SQRT(1-'组合输入'!$H11^2)*AV481)</f>
        <v/>
      </c>
      <c r="AX481" s="7">
        <f>IF(AW481="","",NORM.S.DIST(AW481,TRUE))</f>
        <v/>
      </c>
      <c r="AY481" s="13">
        <f>IF(AX481="","",IF(AX481&lt;='组合输入'!$K11,"AAA",IF(AX481&lt;='组合输入'!$L11,"AA",IF(AX481&lt;='组合输入'!$M11,"A",IF(AX481&lt;='组合输入'!$N11,"BBB",IF(AX481&lt;='组合输入'!$O11,"BB",IF(AX481&lt;='组合输入'!$P11,"B",IF(AX481&lt;='组合输入'!$Q11,"CCC","D")))))))</f>
        <v/>
      </c>
      <c r="AZ481" s="12">
        <f>IF(AY481="","",INDEX('状态价值'!$D11:$K11,MATCH(AY481,'状态价值'!$D$1:$K$1,0)))</f>
        <v/>
      </c>
      <c r="BA481" s="12">
        <f>G481+L481+Q481+V481+AA481+AF481+AK481+AP481+AU481+AZ481</f>
        <v/>
      </c>
      <c r="BB481" s="12">
        <f>SUM('组合输入'!$J$2:$J$11)-BA481</f>
        <v/>
      </c>
    </row>
    <row r="482">
      <c r="A482" s="11" t="n">
        <v>481</v>
      </c>
      <c r="B482" s="14">
        <f>NORM.S.INV(RAND())</f>
        <v/>
      </c>
      <c r="C482" s="14">
        <f>NORM.S.INV(RAND())</f>
        <v/>
      </c>
      <c r="D482" s="15">
        <f>IF('组合输入'!$C2="","",'组合输入'!$H2*$B482+SQRT(1-'组合输入'!$H2^2)*C482)</f>
        <v/>
      </c>
      <c r="E482" s="7">
        <f>IF(D482="","",NORM.S.DIST(D482,TRUE))</f>
        <v/>
      </c>
      <c r="F482" s="13">
        <f>IF(E482="","",IF(E482&lt;='组合输入'!$K2,"AAA",IF(E482&lt;='组合输入'!$L2,"AA",IF(E482&lt;='组合输入'!$M2,"A",IF(E482&lt;='组合输入'!$N2,"BBB",IF(E482&lt;='组合输入'!$O2,"BB",IF(E482&lt;='组合输入'!$P2,"B",IF(E482&lt;='组合输入'!$Q2,"CCC","D")))))))</f>
        <v/>
      </c>
      <c r="G482" s="12">
        <f>IF(F482="","",INDEX('状态价值'!$D2:$K2,MATCH(F482,'状态价值'!$D$1:$K$1,0)))</f>
        <v/>
      </c>
      <c r="H482" s="15">
        <f>NORM.S.INV(RAND())</f>
        <v/>
      </c>
      <c r="I482" s="15">
        <f>IF('组合输入'!$C3="","",'组合输入'!$H3*$B482+SQRT(1-'组合输入'!$H3^2)*H482)</f>
        <v/>
      </c>
      <c r="J482" s="7">
        <f>IF(I482="","",NORM.S.DIST(I482,TRUE))</f>
        <v/>
      </c>
      <c r="K482" s="13">
        <f>IF(J482="","",IF(J482&lt;='组合输入'!$K3,"AAA",IF(J482&lt;='组合输入'!$L3,"AA",IF(J482&lt;='组合输入'!$M3,"A",IF(J482&lt;='组合输入'!$N3,"BBB",IF(J482&lt;='组合输入'!$O3,"BB",IF(J482&lt;='组合输入'!$P3,"B",IF(J482&lt;='组合输入'!$Q3,"CCC","D")))))))</f>
        <v/>
      </c>
      <c r="L482" s="12">
        <f>IF(K482="","",INDEX('状态价值'!$D3:$K3,MATCH(K482,'状态价值'!$D$1:$K$1,0)))</f>
        <v/>
      </c>
      <c r="M482" s="15">
        <f>NORM.S.INV(RAND())</f>
        <v/>
      </c>
      <c r="N482" s="15">
        <f>IF('组合输入'!$C4="","",'组合输入'!$H4*$B482+SQRT(1-'组合输入'!$H4^2)*M482)</f>
        <v/>
      </c>
      <c r="O482" s="7">
        <f>IF(N482="","",NORM.S.DIST(N482,TRUE))</f>
        <v/>
      </c>
      <c r="P482" s="13">
        <f>IF(O482="","",IF(O482&lt;='组合输入'!$K4,"AAA",IF(O482&lt;='组合输入'!$L4,"AA",IF(O482&lt;='组合输入'!$M4,"A",IF(O482&lt;='组合输入'!$N4,"BBB",IF(O482&lt;='组合输入'!$O4,"BB",IF(O482&lt;='组合输入'!$P4,"B",IF(O482&lt;='组合输入'!$Q4,"CCC","D")))))))</f>
        <v/>
      </c>
      <c r="Q482" s="12">
        <f>IF(P482="","",INDEX('状态价值'!$D4:$K4,MATCH(P482,'状态价值'!$D$1:$K$1,0)))</f>
        <v/>
      </c>
      <c r="R482" s="15">
        <f>NORM.S.INV(RAND())</f>
        <v/>
      </c>
      <c r="S482" s="15">
        <f>IF('组合输入'!$C5="","",'组合输入'!$H5*$B482+SQRT(1-'组合输入'!$H5^2)*R482)</f>
        <v/>
      </c>
      <c r="T482" s="7">
        <f>IF(S482="","",NORM.S.DIST(S482,TRUE))</f>
        <v/>
      </c>
      <c r="U482" s="13">
        <f>IF(T482="","",IF(T482&lt;='组合输入'!$K5,"AAA",IF(T482&lt;='组合输入'!$L5,"AA",IF(T482&lt;='组合输入'!$M5,"A",IF(T482&lt;='组合输入'!$N5,"BBB",IF(T482&lt;='组合输入'!$O5,"BB",IF(T482&lt;='组合输入'!$P5,"B",IF(T482&lt;='组合输入'!$Q5,"CCC","D")))))))</f>
        <v/>
      </c>
      <c r="V482" s="12">
        <f>IF(U482="","",INDEX('状态价值'!$D5:$K5,MATCH(U482,'状态价值'!$D$1:$K$1,0)))</f>
        <v/>
      </c>
      <c r="W482" s="15">
        <f>NORM.S.INV(RAND())</f>
        <v/>
      </c>
      <c r="X482" s="15">
        <f>IF('组合输入'!$C6="","",'组合输入'!$H6*$B482+SQRT(1-'组合输入'!$H6^2)*W482)</f>
        <v/>
      </c>
      <c r="Y482" s="7">
        <f>IF(X482="","",NORM.S.DIST(X482,TRUE))</f>
        <v/>
      </c>
      <c r="Z482" s="13">
        <f>IF(Y482="","",IF(Y482&lt;='组合输入'!$K6,"AAA",IF(Y482&lt;='组合输入'!$L6,"AA",IF(Y482&lt;='组合输入'!$M6,"A",IF(Y482&lt;='组合输入'!$N6,"BBB",IF(Y482&lt;='组合输入'!$O6,"BB",IF(Y482&lt;='组合输入'!$P6,"B",IF(Y482&lt;='组合输入'!$Q6,"CCC","D")))))))</f>
        <v/>
      </c>
      <c r="AA482" s="12">
        <f>IF(Z482="","",INDEX('状态价值'!$D6:$K6,MATCH(Z482,'状态价值'!$D$1:$K$1,0)))</f>
        <v/>
      </c>
      <c r="AB482" s="15">
        <f>NORM.S.INV(RAND())</f>
        <v/>
      </c>
      <c r="AC482" s="15">
        <f>IF('组合输入'!$C7="","",'组合输入'!$H7*$B482+SQRT(1-'组合输入'!$H7^2)*AB482)</f>
        <v/>
      </c>
      <c r="AD482" s="7">
        <f>IF(AC482="","",NORM.S.DIST(AC482,TRUE))</f>
        <v/>
      </c>
      <c r="AE482" s="13">
        <f>IF(AD482="","",IF(AD482&lt;='组合输入'!$K7,"AAA",IF(AD482&lt;='组合输入'!$L7,"AA",IF(AD482&lt;='组合输入'!$M7,"A",IF(AD482&lt;='组合输入'!$N7,"BBB",IF(AD482&lt;='组合输入'!$O7,"BB",IF(AD482&lt;='组合输入'!$P7,"B",IF(AD482&lt;='组合输入'!$Q7,"CCC","D")))))))</f>
        <v/>
      </c>
      <c r="AF482" s="12">
        <f>IF(AE482="","",INDEX('状态价值'!$D7:$K7,MATCH(AE482,'状态价值'!$D$1:$K$1,0)))</f>
        <v/>
      </c>
      <c r="AG482" s="15">
        <f>NORM.S.INV(RAND())</f>
        <v/>
      </c>
      <c r="AH482" s="15">
        <f>IF('组合输入'!$C8="","",'组合输入'!$H8*$B482+SQRT(1-'组合输入'!$H8^2)*AG482)</f>
        <v/>
      </c>
      <c r="AI482" s="7">
        <f>IF(AH482="","",NORM.S.DIST(AH482,TRUE))</f>
        <v/>
      </c>
      <c r="AJ482" s="13">
        <f>IF(AI482="","",IF(AI482&lt;='组合输入'!$K8,"AAA",IF(AI482&lt;='组合输入'!$L8,"AA",IF(AI482&lt;='组合输入'!$M8,"A",IF(AI482&lt;='组合输入'!$N8,"BBB",IF(AI482&lt;='组合输入'!$O8,"BB",IF(AI482&lt;='组合输入'!$P8,"B",IF(AI482&lt;='组合输入'!$Q8,"CCC","D")))))))</f>
        <v/>
      </c>
      <c r="AK482" s="12">
        <f>IF(AJ482="","",INDEX('状态价值'!$D8:$K8,MATCH(AJ482,'状态价值'!$D$1:$K$1,0)))</f>
        <v/>
      </c>
      <c r="AL482" s="15">
        <f>NORM.S.INV(RAND())</f>
        <v/>
      </c>
      <c r="AM482" s="15">
        <f>IF('组合输入'!$C9="","",'组合输入'!$H9*$B482+SQRT(1-'组合输入'!$H9^2)*AL482)</f>
        <v/>
      </c>
      <c r="AN482" s="7">
        <f>IF(AM482="","",NORM.S.DIST(AM482,TRUE))</f>
        <v/>
      </c>
      <c r="AO482" s="13">
        <f>IF(AN482="","",IF(AN482&lt;='组合输入'!$K9,"AAA",IF(AN482&lt;='组合输入'!$L9,"AA",IF(AN482&lt;='组合输入'!$M9,"A",IF(AN482&lt;='组合输入'!$N9,"BBB",IF(AN482&lt;='组合输入'!$O9,"BB",IF(AN482&lt;='组合输入'!$P9,"B",IF(AN482&lt;='组合输入'!$Q9,"CCC","D")))))))</f>
        <v/>
      </c>
      <c r="AP482" s="12">
        <f>IF(AO482="","",INDEX('状态价值'!$D9:$K9,MATCH(AO482,'状态价值'!$D$1:$K$1,0)))</f>
        <v/>
      </c>
      <c r="AQ482" s="15">
        <f>NORM.S.INV(RAND())</f>
        <v/>
      </c>
      <c r="AR482" s="15">
        <f>IF('组合输入'!$C10="","",'组合输入'!$H10*$B482+SQRT(1-'组合输入'!$H10^2)*AQ482)</f>
        <v/>
      </c>
      <c r="AS482" s="7">
        <f>IF(AR482="","",NORM.S.DIST(AR482,TRUE))</f>
        <v/>
      </c>
      <c r="AT482" s="13">
        <f>IF(AS482="","",IF(AS482&lt;='组合输入'!$K10,"AAA",IF(AS482&lt;='组合输入'!$L10,"AA",IF(AS482&lt;='组合输入'!$M10,"A",IF(AS482&lt;='组合输入'!$N10,"BBB",IF(AS482&lt;='组合输入'!$O10,"BB",IF(AS482&lt;='组合输入'!$P10,"B",IF(AS482&lt;='组合输入'!$Q10,"CCC","D")))))))</f>
        <v/>
      </c>
      <c r="AU482" s="12">
        <f>IF(AT482="","",INDEX('状态价值'!$D10:$K10,MATCH(AT482,'状态价值'!$D$1:$K$1,0)))</f>
        <v/>
      </c>
      <c r="AV482" s="15">
        <f>NORM.S.INV(RAND())</f>
        <v/>
      </c>
      <c r="AW482" s="15">
        <f>IF('组合输入'!$C11="","",'组合输入'!$H11*$B482+SQRT(1-'组合输入'!$H11^2)*AV482)</f>
        <v/>
      </c>
      <c r="AX482" s="7">
        <f>IF(AW482="","",NORM.S.DIST(AW482,TRUE))</f>
        <v/>
      </c>
      <c r="AY482" s="13">
        <f>IF(AX482="","",IF(AX482&lt;='组合输入'!$K11,"AAA",IF(AX482&lt;='组合输入'!$L11,"AA",IF(AX482&lt;='组合输入'!$M11,"A",IF(AX482&lt;='组合输入'!$N11,"BBB",IF(AX482&lt;='组合输入'!$O11,"BB",IF(AX482&lt;='组合输入'!$P11,"B",IF(AX482&lt;='组合输入'!$Q11,"CCC","D")))))))</f>
        <v/>
      </c>
      <c r="AZ482" s="12">
        <f>IF(AY482="","",INDEX('状态价值'!$D11:$K11,MATCH(AY482,'状态价值'!$D$1:$K$1,0)))</f>
        <v/>
      </c>
      <c r="BA482" s="12">
        <f>G482+L482+Q482+V482+AA482+AF482+AK482+AP482+AU482+AZ482</f>
        <v/>
      </c>
      <c r="BB482" s="12">
        <f>SUM('组合输入'!$J$2:$J$11)-BA482</f>
        <v/>
      </c>
    </row>
    <row r="483">
      <c r="A483" s="11" t="n">
        <v>482</v>
      </c>
      <c r="B483" s="14">
        <f>NORM.S.INV(RAND())</f>
        <v/>
      </c>
      <c r="C483" s="14">
        <f>NORM.S.INV(RAND())</f>
        <v/>
      </c>
      <c r="D483" s="15">
        <f>IF('组合输入'!$C2="","",'组合输入'!$H2*$B483+SQRT(1-'组合输入'!$H2^2)*C483)</f>
        <v/>
      </c>
      <c r="E483" s="7">
        <f>IF(D483="","",NORM.S.DIST(D483,TRUE))</f>
        <v/>
      </c>
      <c r="F483" s="13">
        <f>IF(E483="","",IF(E483&lt;='组合输入'!$K2,"AAA",IF(E483&lt;='组合输入'!$L2,"AA",IF(E483&lt;='组合输入'!$M2,"A",IF(E483&lt;='组合输入'!$N2,"BBB",IF(E483&lt;='组合输入'!$O2,"BB",IF(E483&lt;='组合输入'!$P2,"B",IF(E483&lt;='组合输入'!$Q2,"CCC","D")))))))</f>
        <v/>
      </c>
      <c r="G483" s="12">
        <f>IF(F483="","",INDEX('状态价值'!$D2:$K2,MATCH(F483,'状态价值'!$D$1:$K$1,0)))</f>
        <v/>
      </c>
      <c r="H483" s="15">
        <f>NORM.S.INV(RAND())</f>
        <v/>
      </c>
      <c r="I483" s="15">
        <f>IF('组合输入'!$C3="","",'组合输入'!$H3*$B483+SQRT(1-'组合输入'!$H3^2)*H483)</f>
        <v/>
      </c>
      <c r="J483" s="7">
        <f>IF(I483="","",NORM.S.DIST(I483,TRUE))</f>
        <v/>
      </c>
      <c r="K483" s="13">
        <f>IF(J483="","",IF(J483&lt;='组合输入'!$K3,"AAA",IF(J483&lt;='组合输入'!$L3,"AA",IF(J483&lt;='组合输入'!$M3,"A",IF(J483&lt;='组合输入'!$N3,"BBB",IF(J483&lt;='组合输入'!$O3,"BB",IF(J483&lt;='组合输入'!$P3,"B",IF(J483&lt;='组合输入'!$Q3,"CCC","D")))))))</f>
        <v/>
      </c>
      <c r="L483" s="12">
        <f>IF(K483="","",INDEX('状态价值'!$D3:$K3,MATCH(K483,'状态价值'!$D$1:$K$1,0)))</f>
        <v/>
      </c>
      <c r="M483" s="15">
        <f>NORM.S.INV(RAND())</f>
        <v/>
      </c>
      <c r="N483" s="15">
        <f>IF('组合输入'!$C4="","",'组合输入'!$H4*$B483+SQRT(1-'组合输入'!$H4^2)*M483)</f>
        <v/>
      </c>
      <c r="O483" s="7">
        <f>IF(N483="","",NORM.S.DIST(N483,TRUE))</f>
        <v/>
      </c>
      <c r="P483" s="13">
        <f>IF(O483="","",IF(O483&lt;='组合输入'!$K4,"AAA",IF(O483&lt;='组合输入'!$L4,"AA",IF(O483&lt;='组合输入'!$M4,"A",IF(O483&lt;='组合输入'!$N4,"BBB",IF(O483&lt;='组合输入'!$O4,"BB",IF(O483&lt;='组合输入'!$P4,"B",IF(O483&lt;='组合输入'!$Q4,"CCC","D")))))))</f>
        <v/>
      </c>
      <c r="Q483" s="12">
        <f>IF(P483="","",INDEX('状态价值'!$D4:$K4,MATCH(P483,'状态价值'!$D$1:$K$1,0)))</f>
        <v/>
      </c>
      <c r="R483" s="15">
        <f>NORM.S.INV(RAND())</f>
        <v/>
      </c>
      <c r="S483" s="15">
        <f>IF('组合输入'!$C5="","",'组合输入'!$H5*$B483+SQRT(1-'组合输入'!$H5^2)*R483)</f>
        <v/>
      </c>
      <c r="T483" s="7">
        <f>IF(S483="","",NORM.S.DIST(S483,TRUE))</f>
        <v/>
      </c>
      <c r="U483" s="13">
        <f>IF(T483="","",IF(T483&lt;='组合输入'!$K5,"AAA",IF(T483&lt;='组合输入'!$L5,"AA",IF(T483&lt;='组合输入'!$M5,"A",IF(T483&lt;='组合输入'!$N5,"BBB",IF(T483&lt;='组合输入'!$O5,"BB",IF(T483&lt;='组合输入'!$P5,"B",IF(T483&lt;='组合输入'!$Q5,"CCC","D")))))))</f>
        <v/>
      </c>
      <c r="V483" s="12">
        <f>IF(U483="","",INDEX('状态价值'!$D5:$K5,MATCH(U483,'状态价值'!$D$1:$K$1,0)))</f>
        <v/>
      </c>
      <c r="W483" s="15">
        <f>NORM.S.INV(RAND())</f>
        <v/>
      </c>
      <c r="X483" s="15">
        <f>IF('组合输入'!$C6="","",'组合输入'!$H6*$B483+SQRT(1-'组合输入'!$H6^2)*W483)</f>
        <v/>
      </c>
      <c r="Y483" s="7">
        <f>IF(X483="","",NORM.S.DIST(X483,TRUE))</f>
        <v/>
      </c>
      <c r="Z483" s="13">
        <f>IF(Y483="","",IF(Y483&lt;='组合输入'!$K6,"AAA",IF(Y483&lt;='组合输入'!$L6,"AA",IF(Y483&lt;='组合输入'!$M6,"A",IF(Y483&lt;='组合输入'!$N6,"BBB",IF(Y483&lt;='组合输入'!$O6,"BB",IF(Y483&lt;='组合输入'!$P6,"B",IF(Y483&lt;='组合输入'!$Q6,"CCC","D")))))))</f>
        <v/>
      </c>
      <c r="AA483" s="12">
        <f>IF(Z483="","",INDEX('状态价值'!$D6:$K6,MATCH(Z483,'状态价值'!$D$1:$K$1,0)))</f>
        <v/>
      </c>
      <c r="AB483" s="15">
        <f>NORM.S.INV(RAND())</f>
        <v/>
      </c>
      <c r="AC483" s="15">
        <f>IF('组合输入'!$C7="","",'组合输入'!$H7*$B483+SQRT(1-'组合输入'!$H7^2)*AB483)</f>
        <v/>
      </c>
      <c r="AD483" s="7">
        <f>IF(AC483="","",NORM.S.DIST(AC483,TRUE))</f>
        <v/>
      </c>
      <c r="AE483" s="13">
        <f>IF(AD483="","",IF(AD483&lt;='组合输入'!$K7,"AAA",IF(AD483&lt;='组合输入'!$L7,"AA",IF(AD483&lt;='组合输入'!$M7,"A",IF(AD483&lt;='组合输入'!$N7,"BBB",IF(AD483&lt;='组合输入'!$O7,"BB",IF(AD483&lt;='组合输入'!$P7,"B",IF(AD483&lt;='组合输入'!$Q7,"CCC","D")))))))</f>
        <v/>
      </c>
      <c r="AF483" s="12">
        <f>IF(AE483="","",INDEX('状态价值'!$D7:$K7,MATCH(AE483,'状态价值'!$D$1:$K$1,0)))</f>
        <v/>
      </c>
      <c r="AG483" s="15">
        <f>NORM.S.INV(RAND())</f>
        <v/>
      </c>
      <c r="AH483" s="15">
        <f>IF('组合输入'!$C8="","",'组合输入'!$H8*$B483+SQRT(1-'组合输入'!$H8^2)*AG483)</f>
        <v/>
      </c>
      <c r="AI483" s="7">
        <f>IF(AH483="","",NORM.S.DIST(AH483,TRUE))</f>
        <v/>
      </c>
      <c r="AJ483" s="13">
        <f>IF(AI483="","",IF(AI483&lt;='组合输入'!$K8,"AAA",IF(AI483&lt;='组合输入'!$L8,"AA",IF(AI483&lt;='组合输入'!$M8,"A",IF(AI483&lt;='组合输入'!$N8,"BBB",IF(AI483&lt;='组合输入'!$O8,"BB",IF(AI483&lt;='组合输入'!$P8,"B",IF(AI483&lt;='组合输入'!$Q8,"CCC","D")))))))</f>
        <v/>
      </c>
      <c r="AK483" s="12">
        <f>IF(AJ483="","",INDEX('状态价值'!$D8:$K8,MATCH(AJ483,'状态价值'!$D$1:$K$1,0)))</f>
        <v/>
      </c>
      <c r="AL483" s="15">
        <f>NORM.S.INV(RAND())</f>
        <v/>
      </c>
      <c r="AM483" s="15">
        <f>IF('组合输入'!$C9="","",'组合输入'!$H9*$B483+SQRT(1-'组合输入'!$H9^2)*AL483)</f>
        <v/>
      </c>
      <c r="AN483" s="7">
        <f>IF(AM483="","",NORM.S.DIST(AM483,TRUE))</f>
        <v/>
      </c>
      <c r="AO483" s="13">
        <f>IF(AN483="","",IF(AN483&lt;='组合输入'!$K9,"AAA",IF(AN483&lt;='组合输入'!$L9,"AA",IF(AN483&lt;='组合输入'!$M9,"A",IF(AN483&lt;='组合输入'!$N9,"BBB",IF(AN483&lt;='组合输入'!$O9,"BB",IF(AN483&lt;='组合输入'!$P9,"B",IF(AN483&lt;='组合输入'!$Q9,"CCC","D")))))))</f>
        <v/>
      </c>
      <c r="AP483" s="12">
        <f>IF(AO483="","",INDEX('状态价值'!$D9:$K9,MATCH(AO483,'状态价值'!$D$1:$K$1,0)))</f>
        <v/>
      </c>
      <c r="AQ483" s="15">
        <f>NORM.S.INV(RAND())</f>
        <v/>
      </c>
      <c r="AR483" s="15">
        <f>IF('组合输入'!$C10="","",'组合输入'!$H10*$B483+SQRT(1-'组合输入'!$H10^2)*AQ483)</f>
        <v/>
      </c>
      <c r="AS483" s="7">
        <f>IF(AR483="","",NORM.S.DIST(AR483,TRUE))</f>
        <v/>
      </c>
      <c r="AT483" s="13">
        <f>IF(AS483="","",IF(AS483&lt;='组合输入'!$K10,"AAA",IF(AS483&lt;='组合输入'!$L10,"AA",IF(AS483&lt;='组合输入'!$M10,"A",IF(AS483&lt;='组合输入'!$N10,"BBB",IF(AS483&lt;='组合输入'!$O10,"BB",IF(AS483&lt;='组合输入'!$P10,"B",IF(AS483&lt;='组合输入'!$Q10,"CCC","D")))))))</f>
        <v/>
      </c>
      <c r="AU483" s="12">
        <f>IF(AT483="","",INDEX('状态价值'!$D10:$K10,MATCH(AT483,'状态价值'!$D$1:$K$1,0)))</f>
        <v/>
      </c>
      <c r="AV483" s="15">
        <f>NORM.S.INV(RAND())</f>
        <v/>
      </c>
      <c r="AW483" s="15">
        <f>IF('组合输入'!$C11="","",'组合输入'!$H11*$B483+SQRT(1-'组合输入'!$H11^2)*AV483)</f>
        <v/>
      </c>
      <c r="AX483" s="7">
        <f>IF(AW483="","",NORM.S.DIST(AW483,TRUE))</f>
        <v/>
      </c>
      <c r="AY483" s="13">
        <f>IF(AX483="","",IF(AX483&lt;='组合输入'!$K11,"AAA",IF(AX483&lt;='组合输入'!$L11,"AA",IF(AX483&lt;='组合输入'!$M11,"A",IF(AX483&lt;='组合输入'!$N11,"BBB",IF(AX483&lt;='组合输入'!$O11,"BB",IF(AX483&lt;='组合输入'!$P11,"B",IF(AX483&lt;='组合输入'!$Q11,"CCC","D")))))))</f>
        <v/>
      </c>
      <c r="AZ483" s="12">
        <f>IF(AY483="","",INDEX('状态价值'!$D11:$K11,MATCH(AY483,'状态价值'!$D$1:$K$1,0)))</f>
        <v/>
      </c>
      <c r="BA483" s="12">
        <f>G483+L483+Q483+V483+AA483+AF483+AK483+AP483+AU483+AZ483</f>
        <v/>
      </c>
      <c r="BB483" s="12">
        <f>SUM('组合输入'!$J$2:$J$11)-BA483</f>
        <v/>
      </c>
    </row>
    <row r="484">
      <c r="A484" s="11" t="n">
        <v>483</v>
      </c>
      <c r="B484" s="14">
        <f>NORM.S.INV(RAND())</f>
        <v/>
      </c>
      <c r="C484" s="14">
        <f>NORM.S.INV(RAND())</f>
        <v/>
      </c>
      <c r="D484" s="15">
        <f>IF('组合输入'!$C2="","",'组合输入'!$H2*$B484+SQRT(1-'组合输入'!$H2^2)*C484)</f>
        <v/>
      </c>
      <c r="E484" s="7">
        <f>IF(D484="","",NORM.S.DIST(D484,TRUE))</f>
        <v/>
      </c>
      <c r="F484" s="13">
        <f>IF(E484="","",IF(E484&lt;='组合输入'!$K2,"AAA",IF(E484&lt;='组合输入'!$L2,"AA",IF(E484&lt;='组合输入'!$M2,"A",IF(E484&lt;='组合输入'!$N2,"BBB",IF(E484&lt;='组合输入'!$O2,"BB",IF(E484&lt;='组合输入'!$P2,"B",IF(E484&lt;='组合输入'!$Q2,"CCC","D")))))))</f>
        <v/>
      </c>
      <c r="G484" s="12">
        <f>IF(F484="","",INDEX('状态价值'!$D2:$K2,MATCH(F484,'状态价值'!$D$1:$K$1,0)))</f>
        <v/>
      </c>
      <c r="H484" s="15">
        <f>NORM.S.INV(RAND())</f>
        <v/>
      </c>
      <c r="I484" s="15">
        <f>IF('组合输入'!$C3="","",'组合输入'!$H3*$B484+SQRT(1-'组合输入'!$H3^2)*H484)</f>
        <v/>
      </c>
      <c r="J484" s="7">
        <f>IF(I484="","",NORM.S.DIST(I484,TRUE))</f>
        <v/>
      </c>
      <c r="K484" s="13">
        <f>IF(J484="","",IF(J484&lt;='组合输入'!$K3,"AAA",IF(J484&lt;='组合输入'!$L3,"AA",IF(J484&lt;='组合输入'!$M3,"A",IF(J484&lt;='组合输入'!$N3,"BBB",IF(J484&lt;='组合输入'!$O3,"BB",IF(J484&lt;='组合输入'!$P3,"B",IF(J484&lt;='组合输入'!$Q3,"CCC","D")))))))</f>
        <v/>
      </c>
      <c r="L484" s="12">
        <f>IF(K484="","",INDEX('状态价值'!$D3:$K3,MATCH(K484,'状态价值'!$D$1:$K$1,0)))</f>
        <v/>
      </c>
      <c r="M484" s="15">
        <f>NORM.S.INV(RAND())</f>
        <v/>
      </c>
      <c r="N484" s="15">
        <f>IF('组合输入'!$C4="","",'组合输入'!$H4*$B484+SQRT(1-'组合输入'!$H4^2)*M484)</f>
        <v/>
      </c>
      <c r="O484" s="7">
        <f>IF(N484="","",NORM.S.DIST(N484,TRUE))</f>
        <v/>
      </c>
      <c r="P484" s="13">
        <f>IF(O484="","",IF(O484&lt;='组合输入'!$K4,"AAA",IF(O484&lt;='组合输入'!$L4,"AA",IF(O484&lt;='组合输入'!$M4,"A",IF(O484&lt;='组合输入'!$N4,"BBB",IF(O484&lt;='组合输入'!$O4,"BB",IF(O484&lt;='组合输入'!$P4,"B",IF(O484&lt;='组合输入'!$Q4,"CCC","D")))))))</f>
        <v/>
      </c>
      <c r="Q484" s="12">
        <f>IF(P484="","",INDEX('状态价值'!$D4:$K4,MATCH(P484,'状态价值'!$D$1:$K$1,0)))</f>
        <v/>
      </c>
      <c r="R484" s="15">
        <f>NORM.S.INV(RAND())</f>
        <v/>
      </c>
      <c r="S484" s="15">
        <f>IF('组合输入'!$C5="","",'组合输入'!$H5*$B484+SQRT(1-'组合输入'!$H5^2)*R484)</f>
        <v/>
      </c>
      <c r="T484" s="7">
        <f>IF(S484="","",NORM.S.DIST(S484,TRUE))</f>
        <v/>
      </c>
      <c r="U484" s="13">
        <f>IF(T484="","",IF(T484&lt;='组合输入'!$K5,"AAA",IF(T484&lt;='组合输入'!$L5,"AA",IF(T484&lt;='组合输入'!$M5,"A",IF(T484&lt;='组合输入'!$N5,"BBB",IF(T484&lt;='组合输入'!$O5,"BB",IF(T484&lt;='组合输入'!$P5,"B",IF(T484&lt;='组合输入'!$Q5,"CCC","D")))))))</f>
        <v/>
      </c>
      <c r="V484" s="12">
        <f>IF(U484="","",INDEX('状态价值'!$D5:$K5,MATCH(U484,'状态价值'!$D$1:$K$1,0)))</f>
        <v/>
      </c>
      <c r="W484" s="15">
        <f>NORM.S.INV(RAND())</f>
        <v/>
      </c>
      <c r="X484" s="15">
        <f>IF('组合输入'!$C6="","",'组合输入'!$H6*$B484+SQRT(1-'组合输入'!$H6^2)*W484)</f>
        <v/>
      </c>
      <c r="Y484" s="7">
        <f>IF(X484="","",NORM.S.DIST(X484,TRUE))</f>
        <v/>
      </c>
      <c r="Z484" s="13">
        <f>IF(Y484="","",IF(Y484&lt;='组合输入'!$K6,"AAA",IF(Y484&lt;='组合输入'!$L6,"AA",IF(Y484&lt;='组合输入'!$M6,"A",IF(Y484&lt;='组合输入'!$N6,"BBB",IF(Y484&lt;='组合输入'!$O6,"BB",IF(Y484&lt;='组合输入'!$P6,"B",IF(Y484&lt;='组合输入'!$Q6,"CCC","D")))))))</f>
        <v/>
      </c>
      <c r="AA484" s="12">
        <f>IF(Z484="","",INDEX('状态价值'!$D6:$K6,MATCH(Z484,'状态价值'!$D$1:$K$1,0)))</f>
        <v/>
      </c>
      <c r="AB484" s="15">
        <f>NORM.S.INV(RAND())</f>
        <v/>
      </c>
      <c r="AC484" s="15">
        <f>IF('组合输入'!$C7="","",'组合输入'!$H7*$B484+SQRT(1-'组合输入'!$H7^2)*AB484)</f>
        <v/>
      </c>
      <c r="AD484" s="7">
        <f>IF(AC484="","",NORM.S.DIST(AC484,TRUE))</f>
        <v/>
      </c>
      <c r="AE484" s="13">
        <f>IF(AD484="","",IF(AD484&lt;='组合输入'!$K7,"AAA",IF(AD484&lt;='组合输入'!$L7,"AA",IF(AD484&lt;='组合输入'!$M7,"A",IF(AD484&lt;='组合输入'!$N7,"BBB",IF(AD484&lt;='组合输入'!$O7,"BB",IF(AD484&lt;='组合输入'!$P7,"B",IF(AD484&lt;='组合输入'!$Q7,"CCC","D")))))))</f>
        <v/>
      </c>
      <c r="AF484" s="12">
        <f>IF(AE484="","",INDEX('状态价值'!$D7:$K7,MATCH(AE484,'状态价值'!$D$1:$K$1,0)))</f>
        <v/>
      </c>
      <c r="AG484" s="15">
        <f>NORM.S.INV(RAND())</f>
        <v/>
      </c>
      <c r="AH484" s="15">
        <f>IF('组合输入'!$C8="","",'组合输入'!$H8*$B484+SQRT(1-'组合输入'!$H8^2)*AG484)</f>
        <v/>
      </c>
      <c r="AI484" s="7">
        <f>IF(AH484="","",NORM.S.DIST(AH484,TRUE))</f>
        <v/>
      </c>
      <c r="AJ484" s="13">
        <f>IF(AI484="","",IF(AI484&lt;='组合输入'!$K8,"AAA",IF(AI484&lt;='组合输入'!$L8,"AA",IF(AI484&lt;='组合输入'!$M8,"A",IF(AI484&lt;='组合输入'!$N8,"BBB",IF(AI484&lt;='组合输入'!$O8,"BB",IF(AI484&lt;='组合输入'!$P8,"B",IF(AI484&lt;='组合输入'!$Q8,"CCC","D")))))))</f>
        <v/>
      </c>
      <c r="AK484" s="12">
        <f>IF(AJ484="","",INDEX('状态价值'!$D8:$K8,MATCH(AJ484,'状态价值'!$D$1:$K$1,0)))</f>
        <v/>
      </c>
      <c r="AL484" s="15">
        <f>NORM.S.INV(RAND())</f>
        <v/>
      </c>
      <c r="AM484" s="15">
        <f>IF('组合输入'!$C9="","",'组合输入'!$H9*$B484+SQRT(1-'组合输入'!$H9^2)*AL484)</f>
        <v/>
      </c>
      <c r="AN484" s="7">
        <f>IF(AM484="","",NORM.S.DIST(AM484,TRUE))</f>
        <v/>
      </c>
      <c r="AO484" s="13">
        <f>IF(AN484="","",IF(AN484&lt;='组合输入'!$K9,"AAA",IF(AN484&lt;='组合输入'!$L9,"AA",IF(AN484&lt;='组合输入'!$M9,"A",IF(AN484&lt;='组合输入'!$N9,"BBB",IF(AN484&lt;='组合输入'!$O9,"BB",IF(AN484&lt;='组合输入'!$P9,"B",IF(AN484&lt;='组合输入'!$Q9,"CCC","D")))))))</f>
        <v/>
      </c>
      <c r="AP484" s="12">
        <f>IF(AO484="","",INDEX('状态价值'!$D9:$K9,MATCH(AO484,'状态价值'!$D$1:$K$1,0)))</f>
        <v/>
      </c>
      <c r="AQ484" s="15">
        <f>NORM.S.INV(RAND())</f>
        <v/>
      </c>
      <c r="AR484" s="15">
        <f>IF('组合输入'!$C10="","",'组合输入'!$H10*$B484+SQRT(1-'组合输入'!$H10^2)*AQ484)</f>
        <v/>
      </c>
      <c r="AS484" s="7">
        <f>IF(AR484="","",NORM.S.DIST(AR484,TRUE))</f>
        <v/>
      </c>
      <c r="AT484" s="13">
        <f>IF(AS484="","",IF(AS484&lt;='组合输入'!$K10,"AAA",IF(AS484&lt;='组合输入'!$L10,"AA",IF(AS484&lt;='组合输入'!$M10,"A",IF(AS484&lt;='组合输入'!$N10,"BBB",IF(AS484&lt;='组合输入'!$O10,"BB",IF(AS484&lt;='组合输入'!$P10,"B",IF(AS484&lt;='组合输入'!$Q10,"CCC","D")))))))</f>
        <v/>
      </c>
      <c r="AU484" s="12">
        <f>IF(AT484="","",INDEX('状态价值'!$D10:$K10,MATCH(AT484,'状态价值'!$D$1:$K$1,0)))</f>
        <v/>
      </c>
      <c r="AV484" s="15">
        <f>NORM.S.INV(RAND())</f>
        <v/>
      </c>
      <c r="AW484" s="15">
        <f>IF('组合输入'!$C11="","",'组合输入'!$H11*$B484+SQRT(1-'组合输入'!$H11^2)*AV484)</f>
        <v/>
      </c>
      <c r="AX484" s="7">
        <f>IF(AW484="","",NORM.S.DIST(AW484,TRUE))</f>
        <v/>
      </c>
      <c r="AY484" s="13">
        <f>IF(AX484="","",IF(AX484&lt;='组合输入'!$K11,"AAA",IF(AX484&lt;='组合输入'!$L11,"AA",IF(AX484&lt;='组合输入'!$M11,"A",IF(AX484&lt;='组合输入'!$N11,"BBB",IF(AX484&lt;='组合输入'!$O11,"BB",IF(AX484&lt;='组合输入'!$P11,"B",IF(AX484&lt;='组合输入'!$Q11,"CCC","D")))))))</f>
        <v/>
      </c>
      <c r="AZ484" s="12">
        <f>IF(AY484="","",INDEX('状态价值'!$D11:$K11,MATCH(AY484,'状态价值'!$D$1:$K$1,0)))</f>
        <v/>
      </c>
      <c r="BA484" s="12">
        <f>G484+L484+Q484+V484+AA484+AF484+AK484+AP484+AU484+AZ484</f>
        <v/>
      </c>
      <c r="BB484" s="12">
        <f>SUM('组合输入'!$J$2:$J$11)-BA484</f>
        <v/>
      </c>
    </row>
    <row r="485">
      <c r="A485" s="11" t="n">
        <v>484</v>
      </c>
      <c r="B485" s="14">
        <f>NORM.S.INV(RAND())</f>
        <v/>
      </c>
      <c r="C485" s="14">
        <f>NORM.S.INV(RAND())</f>
        <v/>
      </c>
      <c r="D485" s="15">
        <f>IF('组合输入'!$C2="","",'组合输入'!$H2*$B485+SQRT(1-'组合输入'!$H2^2)*C485)</f>
        <v/>
      </c>
      <c r="E485" s="7">
        <f>IF(D485="","",NORM.S.DIST(D485,TRUE))</f>
        <v/>
      </c>
      <c r="F485" s="13">
        <f>IF(E485="","",IF(E485&lt;='组合输入'!$K2,"AAA",IF(E485&lt;='组合输入'!$L2,"AA",IF(E485&lt;='组合输入'!$M2,"A",IF(E485&lt;='组合输入'!$N2,"BBB",IF(E485&lt;='组合输入'!$O2,"BB",IF(E485&lt;='组合输入'!$P2,"B",IF(E485&lt;='组合输入'!$Q2,"CCC","D")))))))</f>
        <v/>
      </c>
      <c r="G485" s="12">
        <f>IF(F485="","",INDEX('状态价值'!$D2:$K2,MATCH(F485,'状态价值'!$D$1:$K$1,0)))</f>
        <v/>
      </c>
      <c r="H485" s="15">
        <f>NORM.S.INV(RAND())</f>
        <v/>
      </c>
      <c r="I485" s="15">
        <f>IF('组合输入'!$C3="","",'组合输入'!$H3*$B485+SQRT(1-'组合输入'!$H3^2)*H485)</f>
        <v/>
      </c>
      <c r="J485" s="7">
        <f>IF(I485="","",NORM.S.DIST(I485,TRUE))</f>
        <v/>
      </c>
      <c r="K485" s="13">
        <f>IF(J485="","",IF(J485&lt;='组合输入'!$K3,"AAA",IF(J485&lt;='组合输入'!$L3,"AA",IF(J485&lt;='组合输入'!$M3,"A",IF(J485&lt;='组合输入'!$N3,"BBB",IF(J485&lt;='组合输入'!$O3,"BB",IF(J485&lt;='组合输入'!$P3,"B",IF(J485&lt;='组合输入'!$Q3,"CCC","D")))))))</f>
        <v/>
      </c>
      <c r="L485" s="12">
        <f>IF(K485="","",INDEX('状态价值'!$D3:$K3,MATCH(K485,'状态价值'!$D$1:$K$1,0)))</f>
        <v/>
      </c>
      <c r="M485" s="15">
        <f>NORM.S.INV(RAND())</f>
        <v/>
      </c>
      <c r="N485" s="15">
        <f>IF('组合输入'!$C4="","",'组合输入'!$H4*$B485+SQRT(1-'组合输入'!$H4^2)*M485)</f>
        <v/>
      </c>
      <c r="O485" s="7">
        <f>IF(N485="","",NORM.S.DIST(N485,TRUE))</f>
        <v/>
      </c>
      <c r="P485" s="13">
        <f>IF(O485="","",IF(O485&lt;='组合输入'!$K4,"AAA",IF(O485&lt;='组合输入'!$L4,"AA",IF(O485&lt;='组合输入'!$M4,"A",IF(O485&lt;='组合输入'!$N4,"BBB",IF(O485&lt;='组合输入'!$O4,"BB",IF(O485&lt;='组合输入'!$P4,"B",IF(O485&lt;='组合输入'!$Q4,"CCC","D")))))))</f>
        <v/>
      </c>
      <c r="Q485" s="12">
        <f>IF(P485="","",INDEX('状态价值'!$D4:$K4,MATCH(P485,'状态价值'!$D$1:$K$1,0)))</f>
        <v/>
      </c>
      <c r="R485" s="15">
        <f>NORM.S.INV(RAND())</f>
        <v/>
      </c>
      <c r="S485" s="15">
        <f>IF('组合输入'!$C5="","",'组合输入'!$H5*$B485+SQRT(1-'组合输入'!$H5^2)*R485)</f>
        <v/>
      </c>
      <c r="T485" s="7">
        <f>IF(S485="","",NORM.S.DIST(S485,TRUE))</f>
        <v/>
      </c>
      <c r="U485" s="13">
        <f>IF(T485="","",IF(T485&lt;='组合输入'!$K5,"AAA",IF(T485&lt;='组合输入'!$L5,"AA",IF(T485&lt;='组合输入'!$M5,"A",IF(T485&lt;='组合输入'!$N5,"BBB",IF(T485&lt;='组合输入'!$O5,"BB",IF(T485&lt;='组合输入'!$P5,"B",IF(T485&lt;='组合输入'!$Q5,"CCC","D")))))))</f>
        <v/>
      </c>
      <c r="V485" s="12">
        <f>IF(U485="","",INDEX('状态价值'!$D5:$K5,MATCH(U485,'状态价值'!$D$1:$K$1,0)))</f>
        <v/>
      </c>
      <c r="W485" s="15">
        <f>NORM.S.INV(RAND())</f>
        <v/>
      </c>
      <c r="X485" s="15">
        <f>IF('组合输入'!$C6="","",'组合输入'!$H6*$B485+SQRT(1-'组合输入'!$H6^2)*W485)</f>
        <v/>
      </c>
      <c r="Y485" s="7">
        <f>IF(X485="","",NORM.S.DIST(X485,TRUE))</f>
        <v/>
      </c>
      <c r="Z485" s="13">
        <f>IF(Y485="","",IF(Y485&lt;='组合输入'!$K6,"AAA",IF(Y485&lt;='组合输入'!$L6,"AA",IF(Y485&lt;='组合输入'!$M6,"A",IF(Y485&lt;='组合输入'!$N6,"BBB",IF(Y485&lt;='组合输入'!$O6,"BB",IF(Y485&lt;='组合输入'!$P6,"B",IF(Y485&lt;='组合输入'!$Q6,"CCC","D")))))))</f>
        <v/>
      </c>
      <c r="AA485" s="12">
        <f>IF(Z485="","",INDEX('状态价值'!$D6:$K6,MATCH(Z485,'状态价值'!$D$1:$K$1,0)))</f>
        <v/>
      </c>
      <c r="AB485" s="15">
        <f>NORM.S.INV(RAND())</f>
        <v/>
      </c>
      <c r="AC485" s="15">
        <f>IF('组合输入'!$C7="","",'组合输入'!$H7*$B485+SQRT(1-'组合输入'!$H7^2)*AB485)</f>
        <v/>
      </c>
      <c r="AD485" s="7">
        <f>IF(AC485="","",NORM.S.DIST(AC485,TRUE))</f>
        <v/>
      </c>
      <c r="AE485" s="13">
        <f>IF(AD485="","",IF(AD485&lt;='组合输入'!$K7,"AAA",IF(AD485&lt;='组合输入'!$L7,"AA",IF(AD485&lt;='组合输入'!$M7,"A",IF(AD485&lt;='组合输入'!$N7,"BBB",IF(AD485&lt;='组合输入'!$O7,"BB",IF(AD485&lt;='组合输入'!$P7,"B",IF(AD485&lt;='组合输入'!$Q7,"CCC","D")))))))</f>
        <v/>
      </c>
      <c r="AF485" s="12">
        <f>IF(AE485="","",INDEX('状态价值'!$D7:$K7,MATCH(AE485,'状态价值'!$D$1:$K$1,0)))</f>
        <v/>
      </c>
      <c r="AG485" s="15">
        <f>NORM.S.INV(RAND())</f>
        <v/>
      </c>
      <c r="AH485" s="15">
        <f>IF('组合输入'!$C8="","",'组合输入'!$H8*$B485+SQRT(1-'组合输入'!$H8^2)*AG485)</f>
        <v/>
      </c>
      <c r="AI485" s="7">
        <f>IF(AH485="","",NORM.S.DIST(AH485,TRUE))</f>
        <v/>
      </c>
      <c r="AJ485" s="13">
        <f>IF(AI485="","",IF(AI485&lt;='组合输入'!$K8,"AAA",IF(AI485&lt;='组合输入'!$L8,"AA",IF(AI485&lt;='组合输入'!$M8,"A",IF(AI485&lt;='组合输入'!$N8,"BBB",IF(AI485&lt;='组合输入'!$O8,"BB",IF(AI485&lt;='组合输入'!$P8,"B",IF(AI485&lt;='组合输入'!$Q8,"CCC","D")))))))</f>
        <v/>
      </c>
      <c r="AK485" s="12">
        <f>IF(AJ485="","",INDEX('状态价值'!$D8:$K8,MATCH(AJ485,'状态价值'!$D$1:$K$1,0)))</f>
        <v/>
      </c>
      <c r="AL485" s="15">
        <f>NORM.S.INV(RAND())</f>
        <v/>
      </c>
      <c r="AM485" s="15">
        <f>IF('组合输入'!$C9="","",'组合输入'!$H9*$B485+SQRT(1-'组合输入'!$H9^2)*AL485)</f>
        <v/>
      </c>
      <c r="AN485" s="7">
        <f>IF(AM485="","",NORM.S.DIST(AM485,TRUE))</f>
        <v/>
      </c>
      <c r="AO485" s="13">
        <f>IF(AN485="","",IF(AN485&lt;='组合输入'!$K9,"AAA",IF(AN485&lt;='组合输入'!$L9,"AA",IF(AN485&lt;='组合输入'!$M9,"A",IF(AN485&lt;='组合输入'!$N9,"BBB",IF(AN485&lt;='组合输入'!$O9,"BB",IF(AN485&lt;='组合输入'!$P9,"B",IF(AN485&lt;='组合输入'!$Q9,"CCC","D")))))))</f>
        <v/>
      </c>
      <c r="AP485" s="12">
        <f>IF(AO485="","",INDEX('状态价值'!$D9:$K9,MATCH(AO485,'状态价值'!$D$1:$K$1,0)))</f>
        <v/>
      </c>
      <c r="AQ485" s="15">
        <f>NORM.S.INV(RAND())</f>
        <v/>
      </c>
      <c r="AR485" s="15">
        <f>IF('组合输入'!$C10="","",'组合输入'!$H10*$B485+SQRT(1-'组合输入'!$H10^2)*AQ485)</f>
        <v/>
      </c>
      <c r="AS485" s="7">
        <f>IF(AR485="","",NORM.S.DIST(AR485,TRUE))</f>
        <v/>
      </c>
      <c r="AT485" s="13">
        <f>IF(AS485="","",IF(AS485&lt;='组合输入'!$K10,"AAA",IF(AS485&lt;='组合输入'!$L10,"AA",IF(AS485&lt;='组合输入'!$M10,"A",IF(AS485&lt;='组合输入'!$N10,"BBB",IF(AS485&lt;='组合输入'!$O10,"BB",IF(AS485&lt;='组合输入'!$P10,"B",IF(AS485&lt;='组合输入'!$Q10,"CCC","D")))))))</f>
        <v/>
      </c>
      <c r="AU485" s="12">
        <f>IF(AT485="","",INDEX('状态价值'!$D10:$K10,MATCH(AT485,'状态价值'!$D$1:$K$1,0)))</f>
        <v/>
      </c>
      <c r="AV485" s="15">
        <f>NORM.S.INV(RAND())</f>
        <v/>
      </c>
      <c r="AW485" s="15">
        <f>IF('组合输入'!$C11="","",'组合输入'!$H11*$B485+SQRT(1-'组合输入'!$H11^2)*AV485)</f>
        <v/>
      </c>
      <c r="AX485" s="7">
        <f>IF(AW485="","",NORM.S.DIST(AW485,TRUE))</f>
        <v/>
      </c>
      <c r="AY485" s="13">
        <f>IF(AX485="","",IF(AX485&lt;='组合输入'!$K11,"AAA",IF(AX485&lt;='组合输入'!$L11,"AA",IF(AX485&lt;='组合输入'!$M11,"A",IF(AX485&lt;='组合输入'!$N11,"BBB",IF(AX485&lt;='组合输入'!$O11,"BB",IF(AX485&lt;='组合输入'!$P11,"B",IF(AX485&lt;='组合输入'!$Q11,"CCC","D")))))))</f>
        <v/>
      </c>
      <c r="AZ485" s="12">
        <f>IF(AY485="","",INDEX('状态价值'!$D11:$K11,MATCH(AY485,'状态价值'!$D$1:$K$1,0)))</f>
        <v/>
      </c>
      <c r="BA485" s="12">
        <f>G485+L485+Q485+V485+AA485+AF485+AK485+AP485+AU485+AZ485</f>
        <v/>
      </c>
      <c r="BB485" s="12">
        <f>SUM('组合输入'!$J$2:$J$11)-BA485</f>
        <v/>
      </c>
    </row>
    <row r="486">
      <c r="A486" s="11" t="n">
        <v>485</v>
      </c>
      <c r="B486" s="14">
        <f>NORM.S.INV(RAND())</f>
        <v/>
      </c>
      <c r="C486" s="14">
        <f>NORM.S.INV(RAND())</f>
        <v/>
      </c>
      <c r="D486" s="15">
        <f>IF('组合输入'!$C2="","",'组合输入'!$H2*$B486+SQRT(1-'组合输入'!$H2^2)*C486)</f>
        <v/>
      </c>
      <c r="E486" s="7">
        <f>IF(D486="","",NORM.S.DIST(D486,TRUE))</f>
        <v/>
      </c>
      <c r="F486" s="13">
        <f>IF(E486="","",IF(E486&lt;='组合输入'!$K2,"AAA",IF(E486&lt;='组合输入'!$L2,"AA",IF(E486&lt;='组合输入'!$M2,"A",IF(E486&lt;='组合输入'!$N2,"BBB",IF(E486&lt;='组合输入'!$O2,"BB",IF(E486&lt;='组合输入'!$P2,"B",IF(E486&lt;='组合输入'!$Q2,"CCC","D")))))))</f>
        <v/>
      </c>
      <c r="G486" s="12">
        <f>IF(F486="","",INDEX('状态价值'!$D2:$K2,MATCH(F486,'状态价值'!$D$1:$K$1,0)))</f>
        <v/>
      </c>
      <c r="H486" s="15">
        <f>NORM.S.INV(RAND())</f>
        <v/>
      </c>
      <c r="I486" s="15">
        <f>IF('组合输入'!$C3="","",'组合输入'!$H3*$B486+SQRT(1-'组合输入'!$H3^2)*H486)</f>
        <v/>
      </c>
      <c r="J486" s="7">
        <f>IF(I486="","",NORM.S.DIST(I486,TRUE))</f>
        <v/>
      </c>
      <c r="K486" s="13">
        <f>IF(J486="","",IF(J486&lt;='组合输入'!$K3,"AAA",IF(J486&lt;='组合输入'!$L3,"AA",IF(J486&lt;='组合输入'!$M3,"A",IF(J486&lt;='组合输入'!$N3,"BBB",IF(J486&lt;='组合输入'!$O3,"BB",IF(J486&lt;='组合输入'!$P3,"B",IF(J486&lt;='组合输入'!$Q3,"CCC","D")))))))</f>
        <v/>
      </c>
      <c r="L486" s="12">
        <f>IF(K486="","",INDEX('状态价值'!$D3:$K3,MATCH(K486,'状态价值'!$D$1:$K$1,0)))</f>
        <v/>
      </c>
      <c r="M486" s="15">
        <f>NORM.S.INV(RAND())</f>
        <v/>
      </c>
      <c r="N486" s="15">
        <f>IF('组合输入'!$C4="","",'组合输入'!$H4*$B486+SQRT(1-'组合输入'!$H4^2)*M486)</f>
        <v/>
      </c>
      <c r="O486" s="7">
        <f>IF(N486="","",NORM.S.DIST(N486,TRUE))</f>
        <v/>
      </c>
      <c r="P486" s="13">
        <f>IF(O486="","",IF(O486&lt;='组合输入'!$K4,"AAA",IF(O486&lt;='组合输入'!$L4,"AA",IF(O486&lt;='组合输入'!$M4,"A",IF(O486&lt;='组合输入'!$N4,"BBB",IF(O486&lt;='组合输入'!$O4,"BB",IF(O486&lt;='组合输入'!$P4,"B",IF(O486&lt;='组合输入'!$Q4,"CCC","D")))))))</f>
        <v/>
      </c>
      <c r="Q486" s="12">
        <f>IF(P486="","",INDEX('状态价值'!$D4:$K4,MATCH(P486,'状态价值'!$D$1:$K$1,0)))</f>
        <v/>
      </c>
      <c r="R486" s="15">
        <f>NORM.S.INV(RAND())</f>
        <v/>
      </c>
      <c r="S486" s="15">
        <f>IF('组合输入'!$C5="","",'组合输入'!$H5*$B486+SQRT(1-'组合输入'!$H5^2)*R486)</f>
        <v/>
      </c>
      <c r="T486" s="7">
        <f>IF(S486="","",NORM.S.DIST(S486,TRUE))</f>
        <v/>
      </c>
      <c r="U486" s="13">
        <f>IF(T486="","",IF(T486&lt;='组合输入'!$K5,"AAA",IF(T486&lt;='组合输入'!$L5,"AA",IF(T486&lt;='组合输入'!$M5,"A",IF(T486&lt;='组合输入'!$N5,"BBB",IF(T486&lt;='组合输入'!$O5,"BB",IF(T486&lt;='组合输入'!$P5,"B",IF(T486&lt;='组合输入'!$Q5,"CCC","D")))))))</f>
        <v/>
      </c>
      <c r="V486" s="12">
        <f>IF(U486="","",INDEX('状态价值'!$D5:$K5,MATCH(U486,'状态价值'!$D$1:$K$1,0)))</f>
        <v/>
      </c>
      <c r="W486" s="15">
        <f>NORM.S.INV(RAND())</f>
        <v/>
      </c>
      <c r="X486" s="15">
        <f>IF('组合输入'!$C6="","",'组合输入'!$H6*$B486+SQRT(1-'组合输入'!$H6^2)*W486)</f>
        <v/>
      </c>
      <c r="Y486" s="7">
        <f>IF(X486="","",NORM.S.DIST(X486,TRUE))</f>
        <v/>
      </c>
      <c r="Z486" s="13">
        <f>IF(Y486="","",IF(Y486&lt;='组合输入'!$K6,"AAA",IF(Y486&lt;='组合输入'!$L6,"AA",IF(Y486&lt;='组合输入'!$M6,"A",IF(Y486&lt;='组合输入'!$N6,"BBB",IF(Y486&lt;='组合输入'!$O6,"BB",IF(Y486&lt;='组合输入'!$P6,"B",IF(Y486&lt;='组合输入'!$Q6,"CCC","D")))))))</f>
        <v/>
      </c>
      <c r="AA486" s="12">
        <f>IF(Z486="","",INDEX('状态价值'!$D6:$K6,MATCH(Z486,'状态价值'!$D$1:$K$1,0)))</f>
        <v/>
      </c>
      <c r="AB486" s="15">
        <f>NORM.S.INV(RAND())</f>
        <v/>
      </c>
      <c r="AC486" s="15">
        <f>IF('组合输入'!$C7="","",'组合输入'!$H7*$B486+SQRT(1-'组合输入'!$H7^2)*AB486)</f>
        <v/>
      </c>
      <c r="AD486" s="7">
        <f>IF(AC486="","",NORM.S.DIST(AC486,TRUE))</f>
        <v/>
      </c>
      <c r="AE486" s="13">
        <f>IF(AD486="","",IF(AD486&lt;='组合输入'!$K7,"AAA",IF(AD486&lt;='组合输入'!$L7,"AA",IF(AD486&lt;='组合输入'!$M7,"A",IF(AD486&lt;='组合输入'!$N7,"BBB",IF(AD486&lt;='组合输入'!$O7,"BB",IF(AD486&lt;='组合输入'!$P7,"B",IF(AD486&lt;='组合输入'!$Q7,"CCC","D")))))))</f>
        <v/>
      </c>
      <c r="AF486" s="12">
        <f>IF(AE486="","",INDEX('状态价值'!$D7:$K7,MATCH(AE486,'状态价值'!$D$1:$K$1,0)))</f>
        <v/>
      </c>
      <c r="AG486" s="15">
        <f>NORM.S.INV(RAND())</f>
        <v/>
      </c>
      <c r="AH486" s="15">
        <f>IF('组合输入'!$C8="","",'组合输入'!$H8*$B486+SQRT(1-'组合输入'!$H8^2)*AG486)</f>
        <v/>
      </c>
      <c r="AI486" s="7">
        <f>IF(AH486="","",NORM.S.DIST(AH486,TRUE))</f>
        <v/>
      </c>
      <c r="AJ486" s="13">
        <f>IF(AI486="","",IF(AI486&lt;='组合输入'!$K8,"AAA",IF(AI486&lt;='组合输入'!$L8,"AA",IF(AI486&lt;='组合输入'!$M8,"A",IF(AI486&lt;='组合输入'!$N8,"BBB",IF(AI486&lt;='组合输入'!$O8,"BB",IF(AI486&lt;='组合输入'!$P8,"B",IF(AI486&lt;='组合输入'!$Q8,"CCC","D")))))))</f>
        <v/>
      </c>
      <c r="AK486" s="12">
        <f>IF(AJ486="","",INDEX('状态价值'!$D8:$K8,MATCH(AJ486,'状态价值'!$D$1:$K$1,0)))</f>
        <v/>
      </c>
      <c r="AL486" s="15">
        <f>NORM.S.INV(RAND())</f>
        <v/>
      </c>
      <c r="AM486" s="15">
        <f>IF('组合输入'!$C9="","",'组合输入'!$H9*$B486+SQRT(1-'组合输入'!$H9^2)*AL486)</f>
        <v/>
      </c>
      <c r="AN486" s="7">
        <f>IF(AM486="","",NORM.S.DIST(AM486,TRUE))</f>
        <v/>
      </c>
      <c r="AO486" s="13">
        <f>IF(AN486="","",IF(AN486&lt;='组合输入'!$K9,"AAA",IF(AN486&lt;='组合输入'!$L9,"AA",IF(AN486&lt;='组合输入'!$M9,"A",IF(AN486&lt;='组合输入'!$N9,"BBB",IF(AN486&lt;='组合输入'!$O9,"BB",IF(AN486&lt;='组合输入'!$P9,"B",IF(AN486&lt;='组合输入'!$Q9,"CCC","D")))))))</f>
        <v/>
      </c>
      <c r="AP486" s="12">
        <f>IF(AO486="","",INDEX('状态价值'!$D9:$K9,MATCH(AO486,'状态价值'!$D$1:$K$1,0)))</f>
        <v/>
      </c>
      <c r="AQ486" s="15">
        <f>NORM.S.INV(RAND())</f>
        <v/>
      </c>
      <c r="AR486" s="15">
        <f>IF('组合输入'!$C10="","",'组合输入'!$H10*$B486+SQRT(1-'组合输入'!$H10^2)*AQ486)</f>
        <v/>
      </c>
      <c r="AS486" s="7">
        <f>IF(AR486="","",NORM.S.DIST(AR486,TRUE))</f>
        <v/>
      </c>
      <c r="AT486" s="13">
        <f>IF(AS486="","",IF(AS486&lt;='组合输入'!$K10,"AAA",IF(AS486&lt;='组合输入'!$L10,"AA",IF(AS486&lt;='组合输入'!$M10,"A",IF(AS486&lt;='组合输入'!$N10,"BBB",IF(AS486&lt;='组合输入'!$O10,"BB",IF(AS486&lt;='组合输入'!$P10,"B",IF(AS486&lt;='组合输入'!$Q10,"CCC","D")))))))</f>
        <v/>
      </c>
      <c r="AU486" s="12">
        <f>IF(AT486="","",INDEX('状态价值'!$D10:$K10,MATCH(AT486,'状态价值'!$D$1:$K$1,0)))</f>
        <v/>
      </c>
      <c r="AV486" s="15">
        <f>NORM.S.INV(RAND())</f>
        <v/>
      </c>
      <c r="AW486" s="15">
        <f>IF('组合输入'!$C11="","",'组合输入'!$H11*$B486+SQRT(1-'组合输入'!$H11^2)*AV486)</f>
        <v/>
      </c>
      <c r="AX486" s="7">
        <f>IF(AW486="","",NORM.S.DIST(AW486,TRUE))</f>
        <v/>
      </c>
      <c r="AY486" s="13">
        <f>IF(AX486="","",IF(AX486&lt;='组合输入'!$K11,"AAA",IF(AX486&lt;='组合输入'!$L11,"AA",IF(AX486&lt;='组合输入'!$M11,"A",IF(AX486&lt;='组合输入'!$N11,"BBB",IF(AX486&lt;='组合输入'!$O11,"BB",IF(AX486&lt;='组合输入'!$P11,"B",IF(AX486&lt;='组合输入'!$Q11,"CCC","D")))))))</f>
        <v/>
      </c>
      <c r="AZ486" s="12">
        <f>IF(AY486="","",INDEX('状态价值'!$D11:$K11,MATCH(AY486,'状态价值'!$D$1:$K$1,0)))</f>
        <v/>
      </c>
      <c r="BA486" s="12">
        <f>G486+L486+Q486+V486+AA486+AF486+AK486+AP486+AU486+AZ486</f>
        <v/>
      </c>
      <c r="BB486" s="12">
        <f>SUM('组合输入'!$J$2:$J$11)-BA486</f>
        <v/>
      </c>
    </row>
    <row r="487">
      <c r="A487" s="11" t="n">
        <v>486</v>
      </c>
      <c r="B487" s="14">
        <f>NORM.S.INV(RAND())</f>
        <v/>
      </c>
      <c r="C487" s="14">
        <f>NORM.S.INV(RAND())</f>
        <v/>
      </c>
      <c r="D487" s="15">
        <f>IF('组合输入'!$C2="","",'组合输入'!$H2*$B487+SQRT(1-'组合输入'!$H2^2)*C487)</f>
        <v/>
      </c>
      <c r="E487" s="7">
        <f>IF(D487="","",NORM.S.DIST(D487,TRUE))</f>
        <v/>
      </c>
      <c r="F487" s="13">
        <f>IF(E487="","",IF(E487&lt;='组合输入'!$K2,"AAA",IF(E487&lt;='组合输入'!$L2,"AA",IF(E487&lt;='组合输入'!$M2,"A",IF(E487&lt;='组合输入'!$N2,"BBB",IF(E487&lt;='组合输入'!$O2,"BB",IF(E487&lt;='组合输入'!$P2,"B",IF(E487&lt;='组合输入'!$Q2,"CCC","D")))))))</f>
        <v/>
      </c>
      <c r="G487" s="12">
        <f>IF(F487="","",INDEX('状态价值'!$D2:$K2,MATCH(F487,'状态价值'!$D$1:$K$1,0)))</f>
        <v/>
      </c>
      <c r="H487" s="15">
        <f>NORM.S.INV(RAND())</f>
        <v/>
      </c>
      <c r="I487" s="15">
        <f>IF('组合输入'!$C3="","",'组合输入'!$H3*$B487+SQRT(1-'组合输入'!$H3^2)*H487)</f>
        <v/>
      </c>
      <c r="J487" s="7">
        <f>IF(I487="","",NORM.S.DIST(I487,TRUE))</f>
        <v/>
      </c>
      <c r="K487" s="13">
        <f>IF(J487="","",IF(J487&lt;='组合输入'!$K3,"AAA",IF(J487&lt;='组合输入'!$L3,"AA",IF(J487&lt;='组合输入'!$M3,"A",IF(J487&lt;='组合输入'!$N3,"BBB",IF(J487&lt;='组合输入'!$O3,"BB",IF(J487&lt;='组合输入'!$P3,"B",IF(J487&lt;='组合输入'!$Q3,"CCC","D")))))))</f>
        <v/>
      </c>
      <c r="L487" s="12">
        <f>IF(K487="","",INDEX('状态价值'!$D3:$K3,MATCH(K487,'状态价值'!$D$1:$K$1,0)))</f>
        <v/>
      </c>
      <c r="M487" s="15">
        <f>NORM.S.INV(RAND())</f>
        <v/>
      </c>
      <c r="N487" s="15">
        <f>IF('组合输入'!$C4="","",'组合输入'!$H4*$B487+SQRT(1-'组合输入'!$H4^2)*M487)</f>
        <v/>
      </c>
      <c r="O487" s="7">
        <f>IF(N487="","",NORM.S.DIST(N487,TRUE))</f>
        <v/>
      </c>
      <c r="P487" s="13">
        <f>IF(O487="","",IF(O487&lt;='组合输入'!$K4,"AAA",IF(O487&lt;='组合输入'!$L4,"AA",IF(O487&lt;='组合输入'!$M4,"A",IF(O487&lt;='组合输入'!$N4,"BBB",IF(O487&lt;='组合输入'!$O4,"BB",IF(O487&lt;='组合输入'!$P4,"B",IF(O487&lt;='组合输入'!$Q4,"CCC","D")))))))</f>
        <v/>
      </c>
      <c r="Q487" s="12">
        <f>IF(P487="","",INDEX('状态价值'!$D4:$K4,MATCH(P487,'状态价值'!$D$1:$K$1,0)))</f>
        <v/>
      </c>
      <c r="R487" s="15">
        <f>NORM.S.INV(RAND())</f>
        <v/>
      </c>
      <c r="S487" s="15">
        <f>IF('组合输入'!$C5="","",'组合输入'!$H5*$B487+SQRT(1-'组合输入'!$H5^2)*R487)</f>
        <v/>
      </c>
      <c r="T487" s="7">
        <f>IF(S487="","",NORM.S.DIST(S487,TRUE))</f>
        <v/>
      </c>
      <c r="U487" s="13">
        <f>IF(T487="","",IF(T487&lt;='组合输入'!$K5,"AAA",IF(T487&lt;='组合输入'!$L5,"AA",IF(T487&lt;='组合输入'!$M5,"A",IF(T487&lt;='组合输入'!$N5,"BBB",IF(T487&lt;='组合输入'!$O5,"BB",IF(T487&lt;='组合输入'!$P5,"B",IF(T487&lt;='组合输入'!$Q5,"CCC","D")))))))</f>
        <v/>
      </c>
      <c r="V487" s="12">
        <f>IF(U487="","",INDEX('状态价值'!$D5:$K5,MATCH(U487,'状态价值'!$D$1:$K$1,0)))</f>
        <v/>
      </c>
      <c r="W487" s="15">
        <f>NORM.S.INV(RAND())</f>
        <v/>
      </c>
      <c r="X487" s="15">
        <f>IF('组合输入'!$C6="","",'组合输入'!$H6*$B487+SQRT(1-'组合输入'!$H6^2)*W487)</f>
        <v/>
      </c>
      <c r="Y487" s="7">
        <f>IF(X487="","",NORM.S.DIST(X487,TRUE))</f>
        <v/>
      </c>
      <c r="Z487" s="13">
        <f>IF(Y487="","",IF(Y487&lt;='组合输入'!$K6,"AAA",IF(Y487&lt;='组合输入'!$L6,"AA",IF(Y487&lt;='组合输入'!$M6,"A",IF(Y487&lt;='组合输入'!$N6,"BBB",IF(Y487&lt;='组合输入'!$O6,"BB",IF(Y487&lt;='组合输入'!$P6,"B",IF(Y487&lt;='组合输入'!$Q6,"CCC","D")))))))</f>
        <v/>
      </c>
      <c r="AA487" s="12">
        <f>IF(Z487="","",INDEX('状态价值'!$D6:$K6,MATCH(Z487,'状态价值'!$D$1:$K$1,0)))</f>
        <v/>
      </c>
      <c r="AB487" s="15">
        <f>NORM.S.INV(RAND())</f>
        <v/>
      </c>
      <c r="AC487" s="15">
        <f>IF('组合输入'!$C7="","",'组合输入'!$H7*$B487+SQRT(1-'组合输入'!$H7^2)*AB487)</f>
        <v/>
      </c>
      <c r="AD487" s="7">
        <f>IF(AC487="","",NORM.S.DIST(AC487,TRUE))</f>
        <v/>
      </c>
      <c r="AE487" s="13">
        <f>IF(AD487="","",IF(AD487&lt;='组合输入'!$K7,"AAA",IF(AD487&lt;='组合输入'!$L7,"AA",IF(AD487&lt;='组合输入'!$M7,"A",IF(AD487&lt;='组合输入'!$N7,"BBB",IF(AD487&lt;='组合输入'!$O7,"BB",IF(AD487&lt;='组合输入'!$P7,"B",IF(AD487&lt;='组合输入'!$Q7,"CCC","D")))))))</f>
        <v/>
      </c>
      <c r="AF487" s="12">
        <f>IF(AE487="","",INDEX('状态价值'!$D7:$K7,MATCH(AE487,'状态价值'!$D$1:$K$1,0)))</f>
        <v/>
      </c>
      <c r="AG487" s="15">
        <f>NORM.S.INV(RAND())</f>
        <v/>
      </c>
      <c r="AH487" s="15">
        <f>IF('组合输入'!$C8="","",'组合输入'!$H8*$B487+SQRT(1-'组合输入'!$H8^2)*AG487)</f>
        <v/>
      </c>
      <c r="AI487" s="7">
        <f>IF(AH487="","",NORM.S.DIST(AH487,TRUE))</f>
        <v/>
      </c>
      <c r="AJ487" s="13">
        <f>IF(AI487="","",IF(AI487&lt;='组合输入'!$K8,"AAA",IF(AI487&lt;='组合输入'!$L8,"AA",IF(AI487&lt;='组合输入'!$M8,"A",IF(AI487&lt;='组合输入'!$N8,"BBB",IF(AI487&lt;='组合输入'!$O8,"BB",IF(AI487&lt;='组合输入'!$P8,"B",IF(AI487&lt;='组合输入'!$Q8,"CCC","D")))))))</f>
        <v/>
      </c>
      <c r="AK487" s="12">
        <f>IF(AJ487="","",INDEX('状态价值'!$D8:$K8,MATCH(AJ487,'状态价值'!$D$1:$K$1,0)))</f>
        <v/>
      </c>
      <c r="AL487" s="15">
        <f>NORM.S.INV(RAND())</f>
        <v/>
      </c>
      <c r="AM487" s="15">
        <f>IF('组合输入'!$C9="","",'组合输入'!$H9*$B487+SQRT(1-'组合输入'!$H9^2)*AL487)</f>
        <v/>
      </c>
      <c r="AN487" s="7">
        <f>IF(AM487="","",NORM.S.DIST(AM487,TRUE))</f>
        <v/>
      </c>
      <c r="AO487" s="13">
        <f>IF(AN487="","",IF(AN487&lt;='组合输入'!$K9,"AAA",IF(AN487&lt;='组合输入'!$L9,"AA",IF(AN487&lt;='组合输入'!$M9,"A",IF(AN487&lt;='组合输入'!$N9,"BBB",IF(AN487&lt;='组合输入'!$O9,"BB",IF(AN487&lt;='组合输入'!$P9,"B",IF(AN487&lt;='组合输入'!$Q9,"CCC","D")))))))</f>
        <v/>
      </c>
      <c r="AP487" s="12">
        <f>IF(AO487="","",INDEX('状态价值'!$D9:$K9,MATCH(AO487,'状态价值'!$D$1:$K$1,0)))</f>
        <v/>
      </c>
      <c r="AQ487" s="15">
        <f>NORM.S.INV(RAND())</f>
        <v/>
      </c>
      <c r="AR487" s="15">
        <f>IF('组合输入'!$C10="","",'组合输入'!$H10*$B487+SQRT(1-'组合输入'!$H10^2)*AQ487)</f>
        <v/>
      </c>
      <c r="AS487" s="7">
        <f>IF(AR487="","",NORM.S.DIST(AR487,TRUE))</f>
        <v/>
      </c>
      <c r="AT487" s="13">
        <f>IF(AS487="","",IF(AS487&lt;='组合输入'!$K10,"AAA",IF(AS487&lt;='组合输入'!$L10,"AA",IF(AS487&lt;='组合输入'!$M10,"A",IF(AS487&lt;='组合输入'!$N10,"BBB",IF(AS487&lt;='组合输入'!$O10,"BB",IF(AS487&lt;='组合输入'!$P10,"B",IF(AS487&lt;='组合输入'!$Q10,"CCC","D")))))))</f>
        <v/>
      </c>
      <c r="AU487" s="12">
        <f>IF(AT487="","",INDEX('状态价值'!$D10:$K10,MATCH(AT487,'状态价值'!$D$1:$K$1,0)))</f>
        <v/>
      </c>
      <c r="AV487" s="15">
        <f>NORM.S.INV(RAND())</f>
        <v/>
      </c>
      <c r="AW487" s="15">
        <f>IF('组合输入'!$C11="","",'组合输入'!$H11*$B487+SQRT(1-'组合输入'!$H11^2)*AV487)</f>
        <v/>
      </c>
      <c r="AX487" s="7">
        <f>IF(AW487="","",NORM.S.DIST(AW487,TRUE))</f>
        <v/>
      </c>
      <c r="AY487" s="13">
        <f>IF(AX487="","",IF(AX487&lt;='组合输入'!$K11,"AAA",IF(AX487&lt;='组合输入'!$L11,"AA",IF(AX487&lt;='组合输入'!$M11,"A",IF(AX487&lt;='组合输入'!$N11,"BBB",IF(AX487&lt;='组合输入'!$O11,"BB",IF(AX487&lt;='组合输入'!$P11,"B",IF(AX487&lt;='组合输入'!$Q11,"CCC","D")))))))</f>
        <v/>
      </c>
      <c r="AZ487" s="12">
        <f>IF(AY487="","",INDEX('状态价值'!$D11:$K11,MATCH(AY487,'状态价值'!$D$1:$K$1,0)))</f>
        <v/>
      </c>
      <c r="BA487" s="12">
        <f>G487+L487+Q487+V487+AA487+AF487+AK487+AP487+AU487+AZ487</f>
        <v/>
      </c>
      <c r="BB487" s="12">
        <f>SUM('组合输入'!$J$2:$J$11)-BA487</f>
        <v/>
      </c>
    </row>
    <row r="488">
      <c r="A488" s="11" t="n">
        <v>487</v>
      </c>
      <c r="B488" s="14">
        <f>NORM.S.INV(RAND())</f>
        <v/>
      </c>
      <c r="C488" s="14">
        <f>NORM.S.INV(RAND())</f>
        <v/>
      </c>
      <c r="D488" s="15">
        <f>IF('组合输入'!$C2="","",'组合输入'!$H2*$B488+SQRT(1-'组合输入'!$H2^2)*C488)</f>
        <v/>
      </c>
      <c r="E488" s="7">
        <f>IF(D488="","",NORM.S.DIST(D488,TRUE))</f>
        <v/>
      </c>
      <c r="F488" s="13">
        <f>IF(E488="","",IF(E488&lt;='组合输入'!$K2,"AAA",IF(E488&lt;='组合输入'!$L2,"AA",IF(E488&lt;='组合输入'!$M2,"A",IF(E488&lt;='组合输入'!$N2,"BBB",IF(E488&lt;='组合输入'!$O2,"BB",IF(E488&lt;='组合输入'!$P2,"B",IF(E488&lt;='组合输入'!$Q2,"CCC","D")))))))</f>
        <v/>
      </c>
      <c r="G488" s="12">
        <f>IF(F488="","",INDEX('状态价值'!$D2:$K2,MATCH(F488,'状态价值'!$D$1:$K$1,0)))</f>
        <v/>
      </c>
      <c r="H488" s="15">
        <f>NORM.S.INV(RAND())</f>
        <v/>
      </c>
      <c r="I488" s="15">
        <f>IF('组合输入'!$C3="","",'组合输入'!$H3*$B488+SQRT(1-'组合输入'!$H3^2)*H488)</f>
        <v/>
      </c>
      <c r="J488" s="7">
        <f>IF(I488="","",NORM.S.DIST(I488,TRUE))</f>
        <v/>
      </c>
      <c r="K488" s="13">
        <f>IF(J488="","",IF(J488&lt;='组合输入'!$K3,"AAA",IF(J488&lt;='组合输入'!$L3,"AA",IF(J488&lt;='组合输入'!$M3,"A",IF(J488&lt;='组合输入'!$N3,"BBB",IF(J488&lt;='组合输入'!$O3,"BB",IF(J488&lt;='组合输入'!$P3,"B",IF(J488&lt;='组合输入'!$Q3,"CCC","D")))))))</f>
        <v/>
      </c>
      <c r="L488" s="12">
        <f>IF(K488="","",INDEX('状态价值'!$D3:$K3,MATCH(K488,'状态价值'!$D$1:$K$1,0)))</f>
        <v/>
      </c>
      <c r="M488" s="15">
        <f>NORM.S.INV(RAND())</f>
        <v/>
      </c>
      <c r="N488" s="15">
        <f>IF('组合输入'!$C4="","",'组合输入'!$H4*$B488+SQRT(1-'组合输入'!$H4^2)*M488)</f>
        <v/>
      </c>
      <c r="O488" s="7">
        <f>IF(N488="","",NORM.S.DIST(N488,TRUE))</f>
        <v/>
      </c>
      <c r="P488" s="13">
        <f>IF(O488="","",IF(O488&lt;='组合输入'!$K4,"AAA",IF(O488&lt;='组合输入'!$L4,"AA",IF(O488&lt;='组合输入'!$M4,"A",IF(O488&lt;='组合输入'!$N4,"BBB",IF(O488&lt;='组合输入'!$O4,"BB",IF(O488&lt;='组合输入'!$P4,"B",IF(O488&lt;='组合输入'!$Q4,"CCC","D")))))))</f>
        <v/>
      </c>
      <c r="Q488" s="12">
        <f>IF(P488="","",INDEX('状态价值'!$D4:$K4,MATCH(P488,'状态价值'!$D$1:$K$1,0)))</f>
        <v/>
      </c>
      <c r="R488" s="15">
        <f>NORM.S.INV(RAND())</f>
        <v/>
      </c>
      <c r="S488" s="15">
        <f>IF('组合输入'!$C5="","",'组合输入'!$H5*$B488+SQRT(1-'组合输入'!$H5^2)*R488)</f>
        <v/>
      </c>
      <c r="T488" s="7">
        <f>IF(S488="","",NORM.S.DIST(S488,TRUE))</f>
        <v/>
      </c>
      <c r="U488" s="13">
        <f>IF(T488="","",IF(T488&lt;='组合输入'!$K5,"AAA",IF(T488&lt;='组合输入'!$L5,"AA",IF(T488&lt;='组合输入'!$M5,"A",IF(T488&lt;='组合输入'!$N5,"BBB",IF(T488&lt;='组合输入'!$O5,"BB",IF(T488&lt;='组合输入'!$P5,"B",IF(T488&lt;='组合输入'!$Q5,"CCC","D")))))))</f>
        <v/>
      </c>
      <c r="V488" s="12">
        <f>IF(U488="","",INDEX('状态价值'!$D5:$K5,MATCH(U488,'状态价值'!$D$1:$K$1,0)))</f>
        <v/>
      </c>
      <c r="W488" s="15">
        <f>NORM.S.INV(RAND())</f>
        <v/>
      </c>
      <c r="X488" s="15">
        <f>IF('组合输入'!$C6="","",'组合输入'!$H6*$B488+SQRT(1-'组合输入'!$H6^2)*W488)</f>
        <v/>
      </c>
      <c r="Y488" s="7">
        <f>IF(X488="","",NORM.S.DIST(X488,TRUE))</f>
        <v/>
      </c>
      <c r="Z488" s="13">
        <f>IF(Y488="","",IF(Y488&lt;='组合输入'!$K6,"AAA",IF(Y488&lt;='组合输入'!$L6,"AA",IF(Y488&lt;='组合输入'!$M6,"A",IF(Y488&lt;='组合输入'!$N6,"BBB",IF(Y488&lt;='组合输入'!$O6,"BB",IF(Y488&lt;='组合输入'!$P6,"B",IF(Y488&lt;='组合输入'!$Q6,"CCC","D")))))))</f>
        <v/>
      </c>
      <c r="AA488" s="12">
        <f>IF(Z488="","",INDEX('状态价值'!$D6:$K6,MATCH(Z488,'状态价值'!$D$1:$K$1,0)))</f>
        <v/>
      </c>
      <c r="AB488" s="15">
        <f>NORM.S.INV(RAND())</f>
        <v/>
      </c>
      <c r="AC488" s="15">
        <f>IF('组合输入'!$C7="","",'组合输入'!$H7*$B488+SQRT(1-'组合输入'!$H7^2)*AB488)</f>
        <v/>
      </c>
      <c r="AD488" s="7">
        <f>IF(AC488="","",NORM.S.DIST(AC488,TRUE))</f>
        <v/>
      </c>
      <c r="AE488" s="13">
        <f>IF(AD488="","",IF(AD488&lt;='组合输入'!$K7,"AAA",IF(AD488&lt;='组合输入'!$L7,"AA",IF(AD488&lt;='组合输入'!$M7,"A",IF(AD488&lt;='组合输入'!$N7,"BBB",IF(AD488&lt;='组合输入'!$O7,"BB",IF(AD488&lt;='组合输入'!$P7,"B",IF(AD488&lt;='组合输入'!$Q7,"CCC","D")))))))</f>
        <v/>
      </c>
      <c r="AF488" s="12">
        <f>IF(AE488="","",INDEX('状态价值'!$D7:$K7,MATCH(AE488,'状态价值'!$D$1:$K$1,0)))</f>
        <v/>
      </c>
      <c r="AG488" s="15">
        <f>NORM.S.INV(RAND())</f>
        <v/>
      </c>
      <c r="AH488" s="15">
        <f>IF('组合输入'!$C8="","",'组合输入'!$H8*$B488+SQRT(1-'组合输入'!$H8^2)*AG488)</f>
        <v/>
      </c>
      <c r="AI488" s="7">
        <f>IF(AH488="","",NORM.S.DIST(AH488,TRUE))</f>
        <v/>
      </c>
      <c r="AJ488" s="13">
        <f>IF(AI488="","",IF(AI488&lt;='组合输入'!$K8,"AAA",IF(AI488&lt;='组合输入'!$L8,"AA",IF(AI488&lt;='组合输入'!$M8,"A",IF(AI488&lt;='组合输入'!$N8,"BBB",IF(AI488&lt;='组合输入'!$O8,"BB",IF(AI488&lt;='组合输入'!$P8,"B",IF(AI488&lt;='组合输入'!$Q8,"CCC","D")))))))</f>
        <v/>
      </c>
      <c r="AK488" s="12">
        <f>IF(AJ488="","",INDEX('状态价值'!$D8:$K8,MATCH(AJ488,'状态价值'!$D$1:$K$1,0)))</f>
        <v/>
      </c>
      <c r="AL488" s="15">
        <f>NORM.S.INV(RAND())</f>
        <v/>
      </c>
      <c r="AM488" s="15">
        <f>IF('组合输入'!$C9="","",'组合输入'!$H9*$B488+SQRT(1-'组合输入'!$H9^2)*AL488)</f>
        <v/>
      </c>
      <c r="AN488" s="7">
        <f>IF(AM488="","",NORM.S.DIST(AM488,TRUE))</f>
        <v/>
      </c>
      <c r="AO488" s="13">
        <f>IF(AN488="","",IF(AN488&lt;='组合输入'!$K9,"AAA",IF(AN488&lt;='组合输入'!$L9,"AA",IF(AN488&lt;='组合输入'!$M9,"A",IF(AN488&lt;='组合输入'!$N9,"BBB",IF(AN488&lt;='组合输入'!$O9,"BB",IF(AN488&lt;='组合输入'!$P9,"B",IF(AN488&lt;='组合输入'!$Q9,"CCC","D")))))))</f>
        <v/>
      </c>
      <c r="AP488" s="12">
        <f>IF(AO488="","",INDEX('状态价值'!$D9:$K9,MATCH(AO488,'状态价值'!$D$1:$K$1,0)))</f>
        <v/>
      </c>
      <c r="AQ488" s="15">
        <f>NORM.S.INV(RAND())</f>
        <v/>
      </c>
      <c r="AR488" s="15">
        <f>IF('组合输入'!$C10="","",'组合输入'!$H10*$B488+SQRT(1-'组合输入'!$H10^2)*AQ488)</f>
        <v/>
      </c>
      <c r="AS488" s="7">
        <f>IF(AR488="","",NORM.S.DIST(AR488,TRUE))</f>
        <v/>
      </c>
      <c r="AT488" s="13">
        <f>IF(AS488="","",IF(AS488&lt;='组合输入'!$K10,"AAA",IF(AS488&lt;='组合输入'!$L10,"AA",IF(AS488&lt;='组合输入'!$M10,"A",IF(AS488&lt;='组合输入'!$N10,"BBB",IF(AS488&lt;='组合输入'!$O10,"BB",IF(AS488&lt;='组合输入'!$P10,"B",IF(AS488&lt;='组合输入'!$Q10,"CCC","D")))))))</f>
        <v/>
      </c>
      <c r="AU488" s="12">
        <f>IF(AT488="","",INDEX('状态价值'!$D10:$K10,MATCH(AT488,'状态价值'!$D$1:$K$1,0)))</f>
        <v/>
      </c>
      <c r="AV488" s="15">
        <f>NORM.S.INV(RAND())</f>
        <v/>
      </c>
      <c r="AW488" s="15">
        <f>IF('组合输入'!$C11="","",'组合输入'!$H11*$B488+SQRT(1-'组合输入'!$H11^2)*AV488)</f>
        <v/>
      </c>
      <c r="AX488" s="7">
        <f>IF(AW488="","",NORM.S.DIST(AW488,TRUE))</f>
        <v/>
      </c>
      <c r="AY488" s="13">
        <f>IF(AX488="","",IF(AX488&lt;='组合输入'!$K11,"AAA",IF(AX488&lt;='组合输入'!$L11,"AA",IF(AX488&lt;='组合输入'!$M11,"A",IF(AX488&lt;='组合输入'!$N11,"BBB",IF(AX488&lt;='组合输入'!$O11,"BB",IF(AX488&lt;='组合输入'!$P11,"B",IF(AX488&lt;='组合输入'!$Q11,"CCC","D")))))))</f>
        <v/>
      </c>
      <c r="AZ488" s="12">
        <f>IF(AY488="","",INDEX('状态价值'!$D11:$K11,MATCH(AY488,'状态价值'!$D$1:$K$1,0)))</f>
        <v/>
      </c>
      <c r="BA488" s="12">
        <f>G488+L488+Q488+V488+AA488+AF488+AK488+AP488+AU488+AZ488</f>
        <v/>
      </c>
      <c r="BB488" s="12">
        <f>SUM('组合输入'!$J$2:$J$11)-BA488</f>
        <v/>
      </c>
    </row>
    <row r="489">
      <c r="A489" s="11" t="n">
        <v>488</v>
      </c>
      <c r="B489" s="14">
        <f>NORM.S.INV(RAND())</f>
        <v/>
      </c>
      <c r="C489" s="14">
        <f>NORM.S.INV(RAND())</f>
        <v/>
      </c>
      <c r="D489" s="15">
        <f>IF('组合输入'!$C2="","",'组合输入'!$H2*$B489+SQRT(1-'组合输入'!$H2^2)*C489)</f>
        <v/>
      </c>
      <c r="E489" s="7">
        <f>IF(D489="","",NORM.S.DIST(D489,TRUE))</f>
        <v/>
      </c>
      <c r="F489" s="13">
        <f>IF(E489="","",IF(E489&lt;='组合输入'!$K2,"AAA",IF(E489&lt;='组合输入'!$L2,"AA",IF(E489&lt;='组合输入'!$M2,"A",IF(E489&lt;='组合输入'!$N2,"BBB",IF(E489&lt;='组合输入'!$O2,"BB",IF(E489&lt;='组合输入'!$P2,"B",IF(E489&lt;='组合输入'!$Q2,"CCC","D")))))))</f>
        <v/>
      </c>
      <c r="G489" s="12">
        <f>IF(F489="","",INDEX('状态价值'!$D2:$K2,MATCH(F489,'状态价值'!$D$1:$K$1,0)))</f>
        <v/>
      </c>
      <c r="H489" s="15">
        <f>NORM.S.INV(RAND())</f>
        <v/>
      </c>
      <c r="I489" s="15">
        <f>IF('组合输入'!$C3="","",'组合输入'!$H3*$B489+SQRT(1-'组合输入'!$H3^2)*H489)</f>
        <v/>
      </c>
      <c r="J489" s="7">
        <f>IF(I489="","",NORM.S.DIST(I489,TRUE))</f>
        <v/>
      </c>
      <c r="K489" s="13">
        <f>IF(J489="","",IF(J489&lt;='组合输入'!$K3,"AAA",IF(J489&lt;='组合输入'!$L3,"AA",IF(J489&lt;='组合输入'!$M3,"A",IF(J489&lt;='组合输入'!$N3,"BBB",IF(J489&lt;='组合输入'!$O3,"BB",IF(J489&lt;='组合输入'!$P3,"B",IF(J489&lt;='组合输入'!$Q3,"CCC","D")))))))</f>
        <v/>
      </c>
      <c r="L489" s="12">
        <f>IF(K489="","",INDEX('状态价值'!$D3:$K3,MATCH(K489,'状态价值'!$D$1:$K$1,0)))</f>
        <v/>
      </c>
      <c r="M489" s="15">
        <f>NORM.S.INV(RAND())</f>
        <v/>
      </c>
      <c r="N489" s="15">
        <f>IF('组合输入'!$C4="","",'组合输入'!$H4*$B489+SQRT(1-'组合输入'!$H4^2)*M489)</f>
        <v/>
      </c>
      <c r="O489" s="7">
        <f>IF(N489="","",NORM.S.DIST(N489,TRUE))</f>
        <v/>
      </c>
      <c r="P489" s="13">
        <f>IF(O489="","",IF(O489&lt;='组合输入'!$K4,"AAA",IF(O489&lt;='组合输入'!$L4,"AA",IF(O489&lt;='组合输入'!$M4,"A",IF(O489&lt;='组合输入'!$N4,"BBB",IF(O489&lt;='组合输入'!$O4,"BB",IF(O489&lt;='组合输入'!$P4,"B",IF(O489&lt;='组合输入'!$Q4,"CCC","D")))))))</f>
        <v/>
      </c>
      <c r="Q489" s="12">
        <f>IF(P489="","",INDEX('状态价值'!$D4:$K4,MATCH(P489,'状态价值'!$D$1:$K$1,0)))</f>
        <v/>
      </c>
      <c r="R489" s="15">
        <f>NORM.S.INV(RAND())</f>
        <v/>
      </c>
      <c r="S489" s="15">
        <f>IF('组合输入'!$C5="","",'组合输入'!$H5*$B489+SQRT(1-'组合输入'!$H5^2)*R489)</f>
        <v/>
      </c>
      <c r="T489" s="7">
        <f>IF(S489="","",NORM.S.DIST(S489,TRUE))</f>
        <v/>
      </c>
      <c r="U489" s="13">
        <f>IF(T489="","",IF(T489&lt;='组合输入'!$K5,"AAA",IF(T489&lt;='组合输入'!$L5,"AA",IF(T489&lt;='组合输入'!$M5,"A",IF(T489&lt;='组合输入'!$N5,"BBB",IF(T489&lt;='组合输入'!$O5,"BB",IF(T489&lt;='组合输入'!$P5,"B",IF(T489&lt;='组合输入'!$Q5,"CCC","D")))))))</f>
        <v/>
      </c>
      <c r="V489" s="12">
        <f>IF(U489="","",INDEX('状态价值'!$D5:$K5,MATCH(U489,'状态价值'!$D$1:$K$1,0)))</f>
        <v/>
      </c>
      <c r="W489" s="15">
        <f>NORM.S.INV(RAND())</f>
        <v/>
      </c>
      <c r="X489" s="15">
        <f>IF('组合输入'!$C6="","",'组合输入'!$H6*$B489+SQRT(1-'组合输入'!$H6^2)*W489)</f>
        <v/>
      </c>
      <c r="Y489" s="7">
        <f>IF(X489="","",NORM.S.DIST(X489,TRUE))</f>
        <v/>
      </c>
      <c r="Z489" s="13">
        <f>IF(Y489="","",IF(Y489&lt;='组合输入'!$K6,"AAA",IF(Y489&lt;='组合输入'!$L6,"AA",IF(Y489&lt;='组合输入'!$M6,"A",IF(Y489&lt;='组合输入'!$N6,"BBB",IF(Y489&lt;='组合输入'!$O6,"BB",IF(Y489&lt;='组合输入'!$P6,"B",IF(Y489&lt;='组合输入'!$Q6,"CCC","D")))))))</f>
        <v/>
      </c>
      <c r="AA489" s="12">
        <f>IF(Z489="","",INDEX('状态价值'!$D6:$K6,MATCH(Z489,'状态价值'!$D$1:$K$1,0)))</f>
        <v/>
      </c>
      <c r="AB489" s="15">
        <f>NORM.S.INV(RAND())</f>
        <v/>
      </c>
      <c r="AC489" s="15">
        <f>IF('组合输入'!$C7="","",'组合输入'!$H7*$B489+SQRT(1-'组合输入'!$H7^2)*AB489)</f>
        <v/>
      </c>
      <c r="AD489" s="7">
        <f>IF(AC489="","",NORM.S.DIST(AC489,TRUE))</f>
        <v/>
      </c>
      <c r="AE489" s="13">
        <f>IF(AD489="","",IF(AD489&lt;='组合输入'!$K7,"AAA",IF(AD489&lt;='组合输入'!$L7,"AA",IF(AD489&lt;='组合输入'!$M7,"A",IF(AD489&lt;='组合输入'!$N7,"BBB",IF(AD489&lt;='组合输入'!$O7,"BB",IF(AD489&lt;='组合输入'!$P7,"B",IF(AD489&lt;='组合输入'!$Q7,"CCC","D")))))))</f>
        <v/>
      </c>
      <c r="AF489" s="12">
        <f>IF(AE489="","",INDEX('状态价值'!$D7:$K7,MATCH(AE489,'状态价值'!$D$1:$K$1,0)))</f>
        <v/>
      </c>
      <c r="AG489" s="15">
        <f>NORM.S.INV(RAND())</f>
        <v/>
      </c>
      <c r="AH489" s="15">
        <f>IF('组合输入'!$C8="","",'组合输入'!$H8*$B489+SQRT(1-'组合输入'!$H8^2)*AG489)</f>
        <v/>
      </c>
      <c r="AI489" s="7">
        <f>IF(AH489="","",NORM.S.DIST(AH489,TRUE))</f>
        <v/>
      </c>
      <c r="AJ489" s="13">
        <f>IF(AI489="","",IF(AI489&lt;='组合输入'!$K8,"AAA",IF(AI489&lt;='组合输入'!$L8,"AA",IF(AI489&lt;='组合输入'!$M8,"A",IF(AI489&lt;='组合输入'!$N8,"BBB",IF(AI489&lt;='组合输入'!$O8,"BB",IF(AI489&lt;='组合输入'!$P8,"B",IF(AI489&lt;='组合输入'!$Q8,"CCC","D")))))))</f>
        <v/>
      </c>
      <c r="AK489" s="12">
        <f>IF(AJ489="","",INDEX('状态价值'!$D8:$K8,MATCH(AJ489,'状态价值'!$D$1:$K$1,0)))</f>
        <v/>
      </c>
      <c r="AL489" s="15">
        <f>NORM.S.INV(RAND())</f>
        <v/>
      </c>
      <c r="AM489" s="15">
        <f>IF('组合输入'!$C9="","",'组合输入'!$H9*$B489+SQRT(1-'组合输入'!$H9^2)*AL489)</f>
        <v/>
      </c>
      <c r="AN489" s="7">
        <f>IF(AM489="","",NORM.S.DIST(AM489,TRUE))</f>
        <v/>
      </c>
      <c r="AO489" s="13">
        <f>IF(AN489="","",IF(AN489&lt;='组合输入'!$K9,"AAA",IF(AN489&lt;='组合输入'!$L9,"AA",IF(AN489&lt;='组合输入'!$M9,"A",IF(AN489&lt;='组合输入'!$N9,"BBB",IF(AN489&lt;='组合输入'!$O9,"BB",IF(AN489&lt;='组合输入'!$P9,"B",IF(AN489&lt;='组合输入'!$Q9,"CCC","D")))))))</f>
        <v/>
      </c>
      <c r="AP489" s="12">
        <f>IF(AO489="","",INDEX('状态价值'!$D9:$K9,MATCH(AO489,'状态价值'!$D$1:$K$1,0)))</f>
        <v/>
      </c>
      <c r="AQ489" s="15">
        <f>NORM.S.INV(RAND())</f>
        <v/>
      </c>
      <c r="AR489" s="15">
        <f>IF('组合输入'!$C10="","",'组合输入'!$H10*$B489+SQRT(1-'组合输入'!$H10^2)*AQ489)</f>
        <v/>
      </c>
      <c r="AS489" s="7">
        <f>IF(AR489="","",NORM.S.DIST(AR489,TRUE))</f>
        <v/>
      </c>
      <c r="AT489" s="13">
        <f>IF(AS489="","",IF(AS489&lt;='组合输入'!$K10,"AAA",IF(AS489&lt;='组合输入'!$L10,"AA",IF(AS489&lt;='组合输入'!$M10,"A",IF(AS489&lt;='组合输入'!$N10,"BBB",IF(AS489&lt;='组合输入'!$O10,"BB",IF(AS489&lt;='组合输入'!$P10,"B",IF(AS489&lt;='组合输入'!$Q10,"CCC","D")))))))</f>
        <v/>
      </c>
      <c r="AU489" s="12">
        <f>IF(AT489="","",INDEX('状态价值'!$D10:$K10,MATCH(AT489,'状态价值'!$D$1:$K$1,0)))</f>
        <v/>
      </c>
      <c r="AV489" s="15">
        <f>NORM.S.INV(RAND())</f>
        <v/>
      </c>
      <c r="AW489" s="15">
        <f>IF('组合输入'!$C11="","",'组合输入'!$H11*$B489+SQRT(1-'组合输入'!$H11^2)*AV489)</f>
        <v/>
      </c>
      <c r="AX489" s="7">
        <f>IF(AW489="","",NORM.S.DIST(AW489,TRUE))</f>
        <v/>
      </c>
      <c r="AY489" s="13">
        <f>IF(AX489="","",IF(AX489&lt;='组合输入'!$K11,"AAA",IF(AX489&lt;='组合输入'!$L11,"AA",IF(AX489&lt;='组合输入'!$M11,"A",IF(AX489&lt;='组合输入'!$N11,"BBB",IF(AX489&lt;='组合输入'!$O11,"BB",IF(AX489&lt;='组合输入'!$P11,"B",IF(AX489&lt;='组合输入'!$Q11,"CCC","D")))))))</f>
        <v/>
      </c>
      <c r="AZ489" s="12">
        <f>IF(AY489="","",INDEX('状态价值'!$D11:$K11,MATCH(AY489,'状态价值'!$D$1:$K$1,0)))</f>
        <v/>
      </c>
      <c r="BA489" s="12">
        <f>G489+L489+Q489+V489+AA489+AF489+AK489+AP489+AU489+AZ489</f>
        <v/>
      </c>
      <c r="BB489" s="12">
        <f>SUM('组合输入'!$J$2:$J$11)-BA489</f>
        <v/>
      </c>
    </row>
    <row r="490">
      <c r="A490" s="11" t="n">
        <v>489</v>
      </c>
      <c r="B490" s="14">
        <f>NORM.S.INV(RAND())</f>
        <v/>
      </c>
      <c r="C490" s="14">
        <f>NORM.S.INV(RAND())</f>
        <v/>
      </c>
      <c r="D490" s="15">
        <f>IF('组合输入'!$C2="","",'组合输入'!$H2*$B490+SQRT(1-'组合输入'!$H2^2)*C490)</f>
        <v/>
      </c>
      <c r="E490" s="7">
        <f>IF(D490="","",NORM.S.DIST(D490,TRUE))</f>
        <v/>
      </c>
      <c r="F490" s="13">
        <f>IF(E490="","",IF(E490&lt;='组合输入'!$K2,"AAA",IF(E490&lt;='组合输入'!$L2,"AA",IF(E490&lt;='组合输入'!$M2,"A",IF(E490&lt;='组合输入'!$N2,"BBB",IF(E490&lt;='组合输入'!$O2,"BB",IF(E490&lt;='组合输入'!$P2,"B",IF(E490&lt;='组合输入'!$Q2,"CCC","D")))))))</f>
        <v/>
      </c>
      <c r="G490" s="12">
        <f>IF(F490="","",INDEX('状态价值'!$D2:$K2,MATCH(F490,'状态价值'!$D$1:$K$1,0)))</f>
        <v/>
      </c>
      <c r="H490" s="15">
        <f>NORM.S.INV(RAND())</f>
        <v/>
      </c>
      <c r="I490" s="15">
        <f>IF('组合输入'!$C3="","",'组合输入'!$H3*$B490+SQRT(1-'组合输入'!$H3^2)*H490)</f>
        <v/>
      </c>
      <c r="J490" s="7">
        <f>IF(I490="","",NORM.S.DIST(I490,TRUE))</f>
        <v/>
      </c>
      <c r="K490" s="13">
        <f>IF(J490="","",IF(J490&lt;='组合输入'!$K3,"AAA",IF(J490&lt;='组合输入'!$L3,"AA",IF(J490&lt;='组合输入'!$M3,"A",IF(J490&lt;='组合输入'!$N3,"BBB",IF(J490&lt;='组合输入'!$O3,"BB",IF(J490&lt;='组合输入'!$P3,"B",IF(J490&lt;='组合输入'!$Q3,"CCC","D")))))))</f>
        <v/>
      </c>
      <c r="L490" s="12">
        <f>IF(K490="","",INDEX('状态价值'!$D3:$K3,MATCH(K490,'状态价值'!$D$1:$K$1,0)))</f>
        <v/>
      </c>
      <c r="M490" s="15">
        <f>NORM.S.INV(RAND())</f>
        <v/>
      </c>
      <c r="N490" s="15">
        <f>IF('组合输入'!$C4="","",'组合输入'!$H4*$B490+SQRT(1-'组合输入'!$H4^2)*M490)</f>
        <v/>
      </c>
      <c r="O490" s="7">
        <f>IF(N490="","",NORM.S.DIST(N490,TRUE))</f>
        <v/>
      </c>
      <c r="P490" s="13">
        <f>IF(O490="","",IF(O490&lt;='组合输入'!$K4,"AAA",IF(O490&lt;='组合输入'!$L4,"AA",IF(O490&lt;='组合输入'!$M4,"A",IF(O490&lt;='组合输入'!$N4,"BBB",IF(O490&lt;='组合输入'!$O4,"BB",IF(O490&lt;='组合输入'!$P4,"B",IF(O490&lt;='组合输入'!$Q4,"CCC","D")))))))</f>
        <v/>
      </c>
      <c r="Q490" s="12">
        <f>IF(P490="","",INDEX('状态价值'!$D4:$K4,MATCH(P490,'状态价值'!$D$1:$K$1,0)))</f>
        <v/>
      </c>
      <c r="R490" s="15">
        <f>NORM.S.INV(RAND())</f>
        <v/>
      </c>
      <c r="S490" s="15">
        <f>IF('组合输入'!$C5="","",'组合输入'!$H5*$B490+SQRT(1-'组合输入'!$H5^2)*R490)</f>
        <v/>
      </c>
      <c r="T490" s="7">
        <f>IF(S490="","",NORM.S.DIST(S490,TRUE))</f>
        <v/>
      </c>
      <c r="U490" s="13">
        <f>IF(T490="","",IF(T490&lt;='组合输入'!$K5,"AAA",IF(T490&lt;='组合输入'!$L5,"AA",IF(T490&lt;='组合输入'!$M5,"A",IF(T490&lt;='组合输入'!$N5,"BBB",IF(T490&lt;='组合输入'!$O5,"BB",IF(T490&lt;='组合输入'!$P5,"B",IF(T490&lt;='组合输入'!$Q5,"CCC","D")))))))</f>
        <v/>
      </c>
      <c r="V490" s="12">
        <f>IF(U490="","",INDEX('状态价值'!$D5:$K5,MATCH(U490,'状态价值'!$D$1:$K$1,0)))</f>
        <v/>
      </c>
      <c r="W490" s="15">
        <f>NORM.S.INV(RAND())</f>
        <v/>
      </c>
      <c r="X490" s="15">
        <f>IF('组合输入'!$C6="","",'组合输入'!$H6*$B490+SQRT(1-'组合输入'!$H6^2)*W490)</f>
        <v/>
      </c>
      <c r="Y490" s="7">
        <f>IF(X490="","",NORM.S.DIST(X490,TRUE))</f>
        <v/>
      </c>
      <c r="Z490" s="13">
        <f>IF(Y490="","",IF(Y490&lt;='组合输入'!$K6,"AAA",IF(Y490&lt;='组合输入'!$L6,"AA",IF(Y490&lt;='组合输入'!$M6,"A",IF(Y490&lt;='组合输入'!$N6,"BBB",IF(Y490&lt;='组合输入'!$O6,"BB",IF(Y490&lt;='组合输入'!$P6,"B",IF(Y490&lt;='组合输入'!$Q6,"CCC","D")))))))</f>
        <v/>
      </c>
      <c r="AA490" s="12">
        <f>IF(Z490="","",INDEX('状态价值'!$D6:$K6,MATCH(Z490,'状态价值'!$D$1:$K$1,0)))</f>
        <v/>
      </c>
      <c r="AB490" s="15">
        <f>NORM.S.INV(RAND())</f>
        <v/>
      </c>
      <c r="AC490" s="15">
        <f>IF('组合输入'!$C7="","",'组合输入'!$H7*$B490+SQRT(1-'组合输入'!$H7^2)*AB490)</f>
        <v/>
      </c>
      <c r="AD490" s="7">
        <f>IF(AC490="","",NORM.S.DIST(AC490,TRUE))</f>
        <v/>
      </c>
      <c r="AE490" s="13">
        <f>IF(AD490="","",IF(AD490&lt;='组合输入'!$K7,"AAA",IF(AD490&lt;='组合输入'!$L7,"AA",IF(AD490&lt;='组合输入'!$M7,"A",IF(AD490&lt;='组合输入'!$N7,"BBB",IF(AD490&lt;='组合输入'!$O7,"BB",IF(AD490&lt;='组合输入'!$P7,"B",IF(AD490&lt;='组合输入'!$Q7,"CCC","D")))))))</f>
        <v/>
      </c>
      <c r="AF490" s="12">
        <f>IF(AE490="","",INDEX('状态价值'!$D7:$K7,MATCH(AE490,'状态价值'!$D$1:$K$1,0)))</f>
        <v/>
      </c>
      <c r="AG490" s="15">
        <f>NORM.S.INV(RAND())</f>
        <v/>
      </c>
      <c r="AH490" s="15">
        <f>IF('组合输入'!$C8="","",'组合输入'!$H8*$B490+SQRT(1-'组合输入'!$H8^2)*AG490)</f>
        <v/>
      </c>
      <c r="AI490" s="7">
        <f>IF(AH490="","",NORM.S.DIST(AH490,TRUE))</f>
        <v/>
      </c>
      <c r="AJ490" s="13">
        <f>IF(AI490="","",IF(AI490&lt;='组合输入'!$K8,"AAA",IF(AI490&lt;='组合输入'!$L8,"AA",IF(AI490&lt;='组合输入'!$M8,"A",IF(AI490&lt;='组合输入'!$N8,"BBB",IF(AI490&lt;='组合输入'!$O8,"BB",IF(AI490&lt;='组合输入'!$P8,"B",IF(AI490&lt;='组合输入'!$Q8,"CCC","D")))))))</f>
        <v/>
      </c>
      <c r="AK490" s="12">
        <f>IF(AJ490="","",INDEX('状态价值'!$D8:$K8,MATCH(AJ490,'状态价值'!$D$1:$K$1,0)))</f>
        <v/>
      </c>
      <c r="AL490" s="15">
        <f>NORM.S.INV(RAND())</f>
        <v/>
      </c>
      <c r="AM490" s="15">
        <f>IF('组合输入'!$C9="","",'组合输入'!$H9*$B490+SQRT(1-'组合输入'!$H9^2)*AL490)</f>
        <v/>
      </c>
      <c r="AN490" s="7">
        <f>IF(AM490="","",NORM.S.DIST(AM490,TRUE))</f>
        <v/>
      </c>
      <c r="AO490" s="13">
        <f>IF(AN490="","",IF(AN490&lt;='组合输入'!$K9,"AAA",IF(AN490&lt;='组合输入'!$L9,"AA",IF(AN490&lt;='组合输入'!$M9,"A",IF(AN490&lt;='组合输入'!$N9,"BBB",IF(AN490&lt;='组合输入'!$O9,"BB",IF(AN490&lt;='组合输入'!$P9,"B",IF(AN490&lt;='组合输入'!$Q9,"CCC","D")))))))</f>
        <v/>
      </c>
      <c r="AP490" s="12">
        <f>IF(AO490="","",INDEX('状态价值'!$D9:$K9,MATCH(AO490,'状态价值'!$D$1:$K$1,0)))</f>
        <v/>
      </c>
      <c r="AQ490" s="15">
        <f>NORM.S.INV(RAND())</f>
        <v/>
      </c>
      <c r="AR490" s="15">
        <f>IF('组合输入'!$C10="","",'组合输入'!$H10*$B490+SQRT(1-'组合输入'!$H10^2)*AQ490)</f>
        <v/>
      </c>
      <c r="AS490" s="7">
        <f>IF(AR490="","",NORM.S.DIST(AR490,TRUE))</f>
        <v/>
      </c>
      <c r="AT490" s="13">
        <f>IF(AS490="","",IF(AS490&lt;='组合输入'!$K10,"AAA",IF(AS490&lt;='组合输入'!$L10,"AA",IF(AS490&lt;='组合输入'!$M10,"A",IF(AS490&lt;='组合输入'!$N10,"BBB",IF(AS490&lt;='组合输入'!$O10,"BB",IF(AS490&lt;='组合输入'!$P10,"B",IF(AS490&lt;='组合输入'!$Q10,"CCC","D")))))))</f>
        <v/>
      </c>
      <c r="AU490" s="12">
        <f>IF(AT490="","",INDEX('状态价值'!$D10:$K10,MATCH(AT490,'状态价值'!$D$1:$K$1,0)))</f>
        <v/>
      </c>
      <c r="AV490" s="15">
        <f>NORM.S.INV(RAND())</f>
        <v/>
      </c>
      <c r="AW490" s="15">
        <f>IF('组合输入'!$C11="","",'组合输入'!$H11*$B490+SQRT(1-'组合输入'!$H11^2)*AV490)</f>
        <v/>
      </c>
      <c r="AX490" s="7">
        <f>IF(AW490="","",NORM.S.DIST(AW490,TRUE))</f>
        <v/>
      </c>
      <c r="AY490" s="13">
        <f>IF(AX490="","",IF(AX490&lt;='组合输入'!$K11,"AAA",IF(AX490&lt;='组合输入'!$L11,"AA",IF(AX490&lt;='组合输入'!$M11,"A",IF(AX490&lt;='组合输入'!$N11,"BBB",IF(AX490&lt;='组合输入'!$O11,"BB",IF(AX490&lt;='组合输入'!$P11,"B",IF(AX490&lt;='组合输入'!$Q11,"CCC","D")))))))</f>
        <v/>
      </c>
      <c r="AZ490" s="12">
        <f>IF(AY490="","",INDEX('状态价值'!$D11:$K11,MATCH(AY490,'状态价值'!$D$1:$K$1,0)))</f>
        <v/>
      </c>
      <c r="BA490" s="12">
        <f>G490+L490+Q490+V490+AA490+AF490+AK490+AP490+AU490+AZ490</f>
        <v/>
      </c>
      <c r="BB490" s="12">
        <f>SUM('组合输入'!$J$2:$J$11)-BA490</f>
        <v/>
      </c>
    </row>
    <row r="491">
      <c r="A491" s="11" t="n">
        <v>490</v>
      </c>
      <c r="B491" s="14">
        <f>NORM.S.INV(RAND())</f>
        <v/>
      </c>
      <c r="C491" s="14">
        <f>NORM.S.INV(RAND())</f>
        <v/>
      </c>
      <c r="D491" s="15">
        <f>IF('组合输入'!$C2="","",'组合输入'!$H2*$B491+SQRT(1-'组合输入'!$H2^2)*C491)</f>
        <v/>
      </c>
      <c r="E491" s="7">
        <f>IF(D491="","",NORM.S.DIST(D491,TRUE))</f>
        <v/>
      </c>
      <c r="F491" s="13">
        <f>IF(E491="","",IF(E491&lt;='组合输入'!$K2,"AAA",IF(E491&lt;='组合输入'!$L2,"AA",IF(E491&lt;='组合输入'!$M2,"A",IF(E491&lt;='组合输入'!$N2,"BBB",IF(E491&lt;='组合输入'!$O2,"BB",IF(E491&lt;='组合输入'!$P2,"B",IF(E491&lt;='组合输入'!$Q2,"CCC","D")))))))</f>
        <v/>
      </c>
      <c r="G491" s="12">
        <f>IF(F491="","",INDEX('状态价值'!$D2:$K2,MATCH(F491,'状态价值'!$D$1:$K$1,0)))</f>
        <v/>
      </c>
      <c r="H491" s="15">
        <f>NORM.S.INV(RAND())</f>
        <v/>
      </c>
      <c r="I491" s="15">
        <f>IF('组合输入'!$C3="","",'组合输入'!$H3*$B491+SQRT(1-'组合输入'!$H3^2)*H491)</f>
        <v/>
      </c>
      <c r="J491" s="7">
        <f>IF(I491="","",NORM.S.DIST(I491,TRUE))</f>
        <v/>
      </c>
      <c r="K491" s="13">
        <f>IF(J491="","",IF(J491&lt;='组合输入'!$K3,"AAA",IF(J491&lt;='组合输入'!$L3,"AA",IF(J491&lt;='组合输入'!$M3,"A",IF(J491&lt;='组合输入'!$N3,"BBB",IF(J491&lt;='组合输入'!$O3,"BB",IF(J491&lt;='组合输入'!$P3,"B",IF(J491&lt;='组合输入'!$Q3,"CCC","D")))))))</f>
        <v/>
      </c>
      <c r="L491" s="12">
        <f>IF(K491="","",INDEX('状态价值'!$D3:$K3,MATCH(K491,'状态价值'!$D$1:$K$1,0)))</f>
        <v/>
      </c>
      <c r="M491" s="15">
        <f>NORM.S.INV(RAND())</f>
        <v/>
      </c>
      <c r="N491" s="15">
        <f>IF('组合输入'!$C4="","",'组合输入'!$H4*$B491+SQRT(1-'组合输入'!$H4^2)*M491)</f>
        <v/>
      </c>
      <c r="O491" s="7">
        <f>IF(N491="","",NORM.S.DIST(N491,TRUE))</f>
        <v/>
      </c>
      <c r="P491" s="13">
        <f>IF(O491="","",IF(O491&lt;='组合输入'!$K4,"AAA",IF(O491&lt;='组合输入'!$L4,"AA",IF(O491&lt;='组合输入'!$M4,"A",IF(O491&lt;='组合输入'!$N4,"BBB",IF(O491&lt;='组合输入'!$O4,"BB",IF(O491&lt;='组合输入'!$P4,"B",IF(O491&lt;='组合输入'!$Q4,"CCC","D")))))))</f>
        <v/>
      </c>
      <c r="Q491" s="12">
        <f>IF(P491="","",INDEX('状态价值'!$D4:$K4,MATCH(P491,'状态价值'!$D$1:$K$1,0)))</f>
        <v/>
      </c>
      <c r="R491" s="15">
        <f>NORM.S.INV(RAND())</f>
        <v/>
      </c>
      <c r="S491" s="15">
        <f>IF('组合输入'!$C5="","",'组合输入'!$H5*$B491+SQRT(1-'组合输入'!$H5^2)*R491)</f>
        <v/>
      </c>
      <c r="T491" s="7">
        <f>IF(S491="","",NORM.S.DIST(S491,TRUE))</f>
        <v/>
      </c>
      <c r="U491" s="13">
        <f>IF(T491="","",IF(T491&lt;='组合输入'!$K5,"AAA",IF(T491&lt;='组合输入'!$L5,"AA",IF(T491&lt;='组合输入'!$M5,"A",IF(T491&lt;='组合输入'!$N5,"BBB",IF(T491&lt;='组合输入'!$O5,"BB",IF(T491&lt;='组合输入'!$P5,"B",IF(T491&lt;='组合输入'!$Q5,"CCC","D")))))))</f>
        <v/>
      </c>
      <c r="V491" s="12">
        <f>IF(U491="","",INDEX('状态价值'!$D5:$K5,MATCH(U491,'状态价值'!$D$1:$K$1,0)))</f>
        <v/>
      </c>
      <c r="W491" s="15">
        <f>NORM.S.INV(RAND())</f>
        <v/>
      </c>
      <c r="X491" s="15">
        <f>IF('组合输入'!$C6="","",'组合输入'!$H6*$B491+SQRT(1-'组合输入'!$H6^2)*W491)</f>
        <v/>
      </c>
      <c r="Y491" s="7">
        <f>IF(X491="","",NORM.S.DIST(X491,TRUE))</f>
        <v/>
      </c>
      <c r="Z491" s="13">
        <f>IF(Y491="","",IF(Y491&lt;='组合输入'!$K6,"AAA",IF(Y491&lt;='组合输入'!$L6,"AA",IF(Y491&lt;='组合输入'!$M6,"A",IF(Y491&lt;='组合输入'!$N6,"BBB",IF(Y491&lt;='组合输入'!$O6,"BB",IF(Y491&lt;='组合输入'!$P6,"B",IF(Y491&lt;='组合输入'!$Q6,"CCC","D")))))))</f>
        <v/>
      </c>
      <c r="AA491" s="12">
        <f>IF(Z491="","",INDEX('状态价值'!$D6:$K6,MATCH(Z491,'状态价值'!$D$1:$K$1,0)))</f>
        <v/>
      </c>
      <c r="AB491" s="15">
        <f>NORM.S.INV(RAND())</f>
        <v/>
      </c>
      <c r="AC491" s="15">
        <f>IF('组合输入'!$C7="","",'组合输入'!$H7*$B491+SQRT(1-'组合输入'!$H7^2)*AB491)</f>
        <v/>
      </c>
      <c r="AD491" s="7">
        <f>IF(AC491="","",NORM.S.DIST(AC491,TRUE))</f>
        <v/>
      </c>
      <c r="AE491" s="13">
        <f>IF(AD491="","",IF(AD491&lt;='组合输入'!$K7,"AAA",IF(AD491&lt;='组合输入'!$L7,"AA",IF(AD491&lt;='组合输入'!$M7,"A",IF(AD491&lt;='组合输入'!$N7,"BBB",IF(AD491&lt;='组合输入'!$O7,"BB",IF(AD491&lt;='组合输入'!$P7,"B",IF(AD491&lt;='组合输入'!$Q7,"CCC","D")))))))</f>
        <v/>
      </c>
      <c r="AF491" s="12">
        <f>IF(AE491="","",INDEX('状态价值'!$D7:$K7,MATCH(AE491,'状态价值'!$D$1:$K$1,0)))</f>
        <v/>
      </c>
      <c r="AG491" s="15">
        <f>NORM.S.INV(RAND())</f>
        <v/>
      </c>
      <c r="AH491" s="15">
        <f>IF('组合输入'!$C8="","",'组合输入'!$H8*$B491+SQRT(1-'组合输入'!$H8^2)*AG491)</f>
        <v/>
      </c>
      <c r="AI491" s="7">
        <f>IF(AH491="","",NORM.S.DIST(AH491,TRUE))</f>
        <v/>
      </c>
      <c r="AJ491" s="13">
        <f>IF(AI491="","",IF(AI491&lt;='组合输入'!$K8,"AAA",IF(AI491&lt;='组合输入'!$L8,"AA",IF(AI491&lt;='组合输入'!$M8,"A",IF(AI491&lt;='组合输入'!$N8,"BBB",IF(AI491&lt;='组合输入'!$O8,"BB",IF(AI491&lt;='组合输入'!$P8,"B",IF(AI491&lt;='组合输入'!$Q8,"CCC","D")))))))</f>
        <v/>
      </c>
      <c r="AK491" s="12">
        <f>IF(AJ491="","",INDEX('状态价值'!$D8:$K8,MATCH(AJ491,'状态价值'!$D$1:$K$1,0)))</f>
        <v/>
      </c>
      <c r="AL491" s="15">
        <f>NORM.S.INV(RAND())</f>
        <v/>
      </c>
      <c r="AM491" s="15">
        <f>IF('组合输入'!$C9="","",'组合输入'!$H9*$B491+SQRT(1-'组合输入'!$H9^2)*AL491)</f>
        <v/>
      </c>
      <c r="AN491" s="7">
        <f>IF(AM491="","",NORM.S.DIST(AM491,TRUE))</f>
        <v/>
      </c>
      <c r="AO491" s="13">
        <f>IF(AN491="","",IF(AN491&lt;='组合输入'!$K9,"AAA",IF(AN491&lt;='组合输入'!$L9,"AA",IF(AN491&lt;='组合输入'!$M9,"A",IF(AN491&lt;='组合输入'!$N9,"BBB",IF(AN491&lt;='组合输入'!$O9,"BB",IF(AN491&lt;='组合输入'!$P9,"B",IF(AN491&lt;='组合输入'!$Q9,"CCC","D")))))))</f>
        <v/>
      </c>
      <c r="AP491" s="12">
        <f>IF(AO491="","",INDEX('状态价值'!$D9:$K9,MATCH(AO491,'状态价值'!$D$1:$K$1,0)))</f>
        <v/>
      </c>
      <c r="AQ491" s="15">
        <f>NORM.S.INV(RAND())</f>
        <v/>
      </c>
      <c r="AR491" s="15">
        <f>IF('组合输入'!$C10="","",'组合输入'!$H10*$B491+SQRT(1-'组合输入'!$H10^2)*AQ491)</f>
        <v/>
      </c>
      <c r="AS491" s="7">
        <f>IF(AR491="","",NORM.S.DIST(AR491,TRUE))</f>
        <v/>
      </c>
      <c r="AT491" s="13">
        <f>IF(AS491="","",IF(AS491&lt;='组合输入'!$K10,"AAA",IF(AS491&lt;='组合输入'!$L10,"AA",IF(AS491&lt;='组合输入'!$M10,"A",IF(AS491&lt;='组合输入'!$N10,"BBB",IF(AS491&lt;='组合输入'!$O10,"BB",IF(AS491&lt;='组合输入'!$P10,"B",IF(AS491&lt;='组合输入'!$Q10,"CCC","D")))))))</f>
        <v/>
      </c>
      <c r="AU491" s="12">
        <f>IF(AT491="","",INDEX('状态价值'!$D10:$K10,MATCH(AT491,'状态价值'!$D$1:$K$1,0)))</f>
        <v/>
      </c>
      <c r="AV491" s="15">
        <f>NORM.S.INV(RAND())</f>
        <v/>
      </c>
      <c r="AW491" s="15">
        <f>IF('组合输入'!$C11="","",'组合输入'!$H11*$B491+SQRT(1-'组合输入'!$H11^2)*AV491)</f>
        <v/>
      </c>
      <c r="AX491" s="7">
        <f>IF(AW491="","",NORM.S.DIST(AW491,TRUE))</f>
        <v/>
      </c>
      <c r="AY491" s="13">
        <f>IF(AX491="","",IF(AX491&lt;='组合输入'!$K11,"AAA",IF(AX491&lt;='组合输入'!$L11,"AA",IF(AX491&lt;='组合输入'!$M11,"A",IF(AX491&lt;='组合输入'!$N11,"BBB",IF(AX491&lt;='组合输入'!$O11,"BB",IF(AX491&lt;='组合输入'!$P11,"B",IF(AX491&lt;='组合输入'!$Q11,"CCC","D")))))))</f>
        <v/>
      </c>
      <c r="AZ491" s="12">
        <f>IF(AY491="","",INDEX('状态价值'!$D11:$K11,MATCH(AY491,'状态价值'!$D$1:$K$1,0)))</f>
        <v/>
      </c>
      <c r="BA491" s="12">
        <f>G491+L491+Q491+V491+AA491+AF491+AK491+AP491+AU491+AZ491</f>
        <v/>
      </c>
      <c r="BB491" s="12">
        <f>SUM('组合输入'!$J$2:$J$11)-BA491</f>
        <v/>
      </c>
    </row>
    <row r="492">
      <c r="A492" s="11" t="n">
        <v>491</v>
      </c>
      <c r="B492" s="14">
        <f>NORM.S.INV(RAND())</f>
        <v/>
      </c>
      <c r="C492" s="14">
        <f>NORM.S.INV(RAND())</f>
        <v/>
      </c>
      <c r="D492" s="15">
        <f>IF('组合输入'!$C2="","",'组合输入'!$H2*$B492+SQRT(1-'组合输入'!$H2^2)*C492)</f>
        <v/>
      </c>
      <c r="E492" s="7">
        <f>IF(D492="","",NORM.S.DIST(D492,TRUE))</f>
        <v/>
      </c>
      <c r="F492" s="13">
        <f>IF(E492="","",IF(E492&lt;='组合输入'!$K2,"AAA",IF(E492&lt;='组合输入'!$L2,"AA",IF(E492&lt;='组合输入'!$M2,"A",IF(E492&lt;='组合输入'!$N2,"BBB",IF(E492&lt;='组合输入'!$O2,"BB",IF(E492&lt;='组合输入'!$P2,"B",IF(E492&lt;='组合输入'!$Q2,"CCC","D")))))))</f>
        <v/>
      </c>
      <c r="G492" s="12">
        <f>IF(F492="","",INDEX('状态价值'!$D2:$K2,MATCH(F492,'状态价值'!$D$1:$K$1,0)))</f>
        <v/>
      </c>
      <c r="H492" s="15">
        <f>NORM.S.INV(RAND())</f>
        <v/>
      </c>
      <c r="I492" s="15">
        <f>IF('组合输入'!$C3="","",'组合输入'!$H3*$B492+SQRT(1-'组合输入'!$H3^2)*H492)</f>
        <v/>
      </c>
      <c r="J492" s="7">
        <f>IF(I492="","",NORM.S.DIST(I492,TRUE))</f>
        <v/>
      </c>
      <c r="K492" s="13">
        <f>IF(J492="","",IF(J492&lt;='组合输入'!$K3,"AAA",IF(J492&lt;='组合输入'!$L3,"AA",IF(J492&lt;='组合输入'!$M3,"A",IF(J492&lt;='组合输入'!$N3,"BBB",IF(J492&lt;='组合输入'!$O3,"BB",IF(J492&lt;='组合输入'!$P3,"B",IF(J492&lt;='组合输入'!$Q3,"CCC","D")))))))</f>
        <v/>
      </c>
      <c r="L492" s="12">
        <f>IF(K492="","",INDEX('状态价值'!$D3:$K3,MATCH(K492,'状态价值'!$D$1:$K$1,0)))</f>
        <v/>
      </c>
      <c r="M492" s="15">
        <f>NORM.S.INV(RAND())</f>
        <v/>
      </c>
      <c r="N492" s="15">
        <f>IF('组合输入'!$C4="","",'组合输入'!$H4*$B492+SQRT(1-'组合输入'!$H4^2)*M492)</f>
        <v/>
      </c>
      <c r="O492" s="7">
        <f>IF(N492="","",NORM.S.DIST(N492,TRUE))</f>
        <v/>
      </c>
      <c r="P492" s="13">
        <f>IF(O492="","",IF(O492&lt;='组合输入'!$K4,"AAA",IF(O492&lt;='组合输入'!$L4,"AA",IF(O492&lt;='组合输入'!$M4,"A",IF(O492&lt;='组合输入'!$N4,"BBB",IF(O492&lt;='组合输入'!$O4,"BB",IF(O492&lt;='组合输入'!$P4,"B",IF(O492&lt;='组合输入'!$Q4,"CCC","D")))))))</f>
        <v/>
      </c>
      <c r="Q492" s="12">
        <f>IF(P492="","",INDEX('状态价值'!$D4:$K4,MATCH(P492,'状态价值'!$D$1:$K$1,0)))</f>
        <v/>
      </c>
      <c r="R492" s="15">
        <f>NORM.S.INV(RAND())</f>
        <v/>
      </c>
      <c r="S492" s="15">
        <f>IF('组合输入'!$C5="","",'组合输入'!$H5*$B492+SQRT(1-'组合输入'!$H5^2)*R492)</f>
        <v/>
      </c>
      <c r="T492" s="7">
        <f>IF(S492="","",NORM.S.DIST(S492,TRUE))</f>
        <v/>
      </c>
      <c r="U492" s="13">
        <f>IF(T492="","",IF(T492&lt;='组合输入'!$K5,"AAA",IF(T492&lt;='组合输入'!$L5,"AA",IF(T492&lt;='组合输入'!$M5,"A",IF(T492&lt;='组合输入'!$N5,"BBB",IF(T492&lt;='组合输入'!$O5,"BB",IF(T492&lt;='组合输入'!$P5,"B",IF(T492&lt;='组合输入'!$Q5,"CCC","D")))))))</f>
        <v/>
      </c>
      <c r="V492" s="12">
        <f>IF(U492="","",INDEX('状态价值'!$D5:$K5,MATCH(U492,'状态价值'!$D$1:$K$1,0)))</f>
        <v/>
      </c>
      <c r="W492" s="15">
        <f>NORM.S.INV(RAND())</f>
        <v/>
      </c>
      <c r="X492" s="15">
        <f>IF('组合输入'!$C6="","",'组合输入'!$H6*$B492+SQRT(1-'组合输入'!$H6^2)*W492)</f>
        <v/>
      </c>
      <c r="Y492" s="7">
        <f>IF(X492="","",NORM.S.DIST(X492,TRUE))</f>
        <v/>
      </c>
      <c r="Z492" s="13">
        <f>IF(Y492="","",IF(Y492&lt;='组合输入'!$K6,"AAA",IF(Y492&lt;='组合输入'!$L6,"AA",IF(Y492&lt;='组合输入'!$M6,"A",IF(Y492&lt;='组合输入'!$N6,"BBB",IF(Y492&lt;='组合输入'!$O6,"BB",IF(Y492&lt;='组合输入'!$P6,"B",IF(Y492&lt;='组合输入'!$Q6,"CCC","D")))))))</f>
        <v/>
      </c>
      <c r="AA492" s="12">
        <f>IF(Z492="","",INDEX('状态价值'!$D6:$K6,MATCH(Z492,'状态价值'!$D$1:$K$1,0)))</f>
        <v/>
      </c>
      <c r="AB492" s="15">
        <f>NORM.S.INV(RAND())</f>
        <v/>
      </c>
      <c r="AC492" s="15">
        <f>IF('组合输入'!$C7="","",'组合输入'!$H7*$B492+SQRT(1-'组合输入'!$H7^2)*AB492)</f>
        <v/>
      </c>
      <c r="AD492" s="7">
        <f>IF(AC492="","",NORM.S.DIST(AC492,TRUE))</f>
        <v/>
      </c>
      <c r="AE492" s="13">
        <f>IF(AD492="","",IF(AD492&lt;='组合输入'!$K7,"AAA",IF(AD492&lt;='组合输入'!$L7,"AA",IF(AD492&lt;='组合输入'!$M7,"A",IF(AD492&lt;='组合输入'!$N7,"BBB",IF(AD492&lt;='组合输入'!$O7,"BB",IF(AD492&lt;='组合输入'!$P7,"B",IF(AD492&lt;='组合输入'!$Q7,"CCC","D")))))))</f>
        <v/>
      </c>
      <c r="AF492" s="12">
        <f>IF(AE492="","",INDEX('状态价值'!$D7:$K7,MATCH(AE492,'状态价值'!$D$1:$K$1,0)))</f>
        <v/>
      </c>
      <c r="AG492" s="15">
        <f>NORM.S.INV(RAND())</f>
        <v/>
      </c>
      <c r="AH492" s="15">
        <f>IF('组合输入'!$C8="","",'组合输入'!$H8*$B492+SQRT(1-'组合输入'!$H8^2)*AG492)</f>
        <v/>
      </c>
      <c r="AI492" s="7">
        <f>IF(AH492="","",NORM.S.DIST(AH492,TRUE))</f>
        <v/>
      </c>
      <c r="AJ492" s="13">
        <f>IF(AI492="","",IF(AI492&lt;='组合输入'!$K8,"AAA",IF(AI492&lt;='组合输入'!$L8,"AA",IF(AI492&lt;='组合输入'!$M8,"A",IF(AI492&lt;='组合输入'!$N8,"BBB",IF(AI492&lt;='组合输入'!$O8,"BB",IF(AI492&lt;='组合输入'!$P8,"B",IF(AI492&lt;='组合输入'!$Q8,"CCC","D")))))))</f>
        <v/>
      </c>
      <c r="AK492" s="12">
        <f>IF(AJ492="","",INDEX('状态价值'!$D8:$K8,MATCH(AJ492,'状态价值'!$D$1:$K$1,0)))</f>
        <v/>
      </c>
      <c r="AL492" s="15">
        <f>NORM.S.INV(RAND())</f>
        <v/>
      </c>
      <c r="AM492" s="15">
        <f>IF('组合输入'!$C9="","",'组合输入'!$H9*$B492+SQRT(1-'组合输入'!$H9^2)*AL492)</f>
        <v/>
      </c>
      <c r="AN492" s="7">
        <f>IF(AM492="","",NORM.S.DIST(AM492,TRUE))</f>
        <v/>
      </c>
      <c r="AO492" s="13">
        <f>IF(AN492="","",IF(AN492&lt;='组合输入'!$K9,"AAA",IF(AN492&lt;='组合输入'!$L9,"AA",IF(AN492&lt;='组合输入'!$M9,"A",IF(AN492&lt;='组合输入'!$N9,"BBB",IF(AN492&lt;='组合输入'!$O9,"BB",IF(AN492&lt;='组合输入'!$P9,"B",IF(AN492&lt;='组合输入'!$Q9,"CCC","D")))))))</f>
        <v/>
      </c>
      <c r="AP492" s="12">
        <f>IF(AO492="","",INDEX('状态价值'!$D9:$K9,MATCH(AO492,'状态价值'!$D$1:$K$1,0)))</f>
        <v/>
      </c>
      <c r="AQ492" s="15">
        <f>NORM.S.INV(RAND())</f>
        <v/>
      </c>
      <c r="AR492" s="15">
        <f>IF('组合输入'!$C10="","",'组合输入'!$H10*$B492+SQRT(1-'组合输入'!$H10^2)*AQ492)</f>
        <v/>
      </c>
      <c r="AS492" s="7">
        <f>IF(AR492="","",NORM.S.DIST(AR492,TRUE))</f>
        <v/>
      </c>
      <c r="AT492" s="13">
        <f>IF(AS492="","",IF(AS492&lt;='组合输入'!$K10,"AAA",IF(AS492&lt;='组合输入'!$L10,"AA",IF(AS492&lt;='组合输入'!$M10,"A",IF(AS492&lt;='组合输入'!$N10,"BBB",IF(AS492&lt;='组合输入'!$O10,"BB",IF(AS492&lt;='组合输入'!$P10,"B",IF(AS492&lt;='组合输入'!$Q10,"CCC","D")))))))</f>
        <v/>
      </c>
      <c r="AU492" s="12">
        <f>IF(AT492="","",INDEX('状态价值'!$D10:$K10,MATCH(AT492,'状态价值'!$D$1:$K$1,0)))</f>
        <v/>
      </c>
      <c r="AV492" s="15">
        <f>NORM.S.INV(RAND())</f>
        <v/>
      </c>
      <c r="AW492" s="15">
        <f>IF('组合输入'!$C11="","",'组合输入'!$H11*$B492+SQRT(1-'组合输入'!$H11^2)*AV492)</f>
        <v/>
      </c>
      <c r="AX492" s="7">
        <f>IF(AW492="","",NORM.S.DIST(AW492,TRUE))</f>
        <v/>
      </c>
      <c r="AY492" s="13">
        <f>IF(AX492="","",IF(AX492&lt;='组合输入'!$K11,"AAA",IF(AX492&lt;='组合输入'!$L11,"AA",IF(AX492&lt;='组合输入'!$M11,"A",IF(AX492&lt;='组合输入'!$N11,"BBB",IF(AX492&lt;='组合输入'!$O11,"BB",IF(AX492&lt;='组合输入'!$P11,"B",IF(AX492&lt;='组合输入'!$Q11,"CCC","D")))))))</f>
        <v/>
      </c>
      <c r="AZ492" s="12">
        <f>IF(AY492="","",INDEX('状态价值'!$D11:$K11,MATCH(AY492,'状态价值'!$D$1:$K$1,0)))</f>
        <v/>
      </c>
      <c r="BA492" s="12">
        <f>G492+L492+Q492+V492+AA492+AF492+AK492+AP492+AU492+AZ492</f>
        <v/>
      </c>
      <c r="BB492" s="12">
        <f>SUM('组合输入'!$J$2:$J$11)-BA492</f>
        <v/>
      </c>
    </row>
    <row r="493">
      <c r="A493" s="11" t="n">
        <v>492</v>
      </c>
      <c r="B493" s="14">
        <f>NORM.S.INV(RAND())</f>
        <v/>
      </c>
      <c r="C493" s="14">
        <f>NORM.S.INV(RAND())</f>
        <v/>
      </c>
      <c r="D493" s="15">
        <f>IF('组合输入'!$C2="","",'组合输入'!$H2*$B493+SQRT(1-'组合输入'!$H2^2)*C493)</f>
        <v/>
      </c>
      <c r="E493" s="7">
        <f>IF(D493="","",NORM.S.DIST(D493,TRUE))</f>
        <v/>
      </c>
      <c r="F493" s="13">
        <f>IF(E493="","",IF(E493&lt;='组合输入'!$K2,"AAA",IF(E493&lt;='组合输入'!$L2,"AA",IF(E493&lt;='组合输入'!$M2,"A",IF(E493&lt;='组合输入'!$N2,"BBB",IF(E493&lt;='组合输入'!$O2,"BB",IF(E493&lt;='组合输入'!$P2,"B",IF(E493&lt;='组合输入'!$Q2,"CCC","D")))))))</f>
        <v/>
      </c>
      <c r="G493" s="12">
        <f>IF(F493="","",INDEX('状态价值'!$D2:$K2,MATCH(F493,'状态价值'!$D$1:$K$1,0)))</f>
        <v/>
      </c>
      <c r="H493" s="15">
        <f>NORM.S.INV(RAND())</f>
        <v/>
      </c>
      <c r="I493" s="15">
        <f>IF('组合输入'!$C3="","",'组合输入'!$H3*$B493+SQRT(1-'组合输入'!$H3^2)*H493)</f>
        <v/>
      </c>
      <c r="J493" s="7">
        <f>IF(I493="","",NORM.S.DIST(I493,TRUE))</f>
        <v/>
      </c>
      <c r="K493" s="13">
        <f>IF(J493="","",IF(J493&lt;='组合输入'!$K3,"AAA",IF(J493&lt;='组合输入'!$L3,"AA",IF(J493&lt;='组合输入'!$M3,"A",IF(J493&lt;='组合输入'!$N3,"BBB",IF(J493&lt;='组合输入'!$O3,"BB",IF(J493&lt;='组合输入'!$P3,"B",IF(J493&lt;='组合输入'!$Q3,"CCC","D")))))))</f>
        <v/>
      </c>
      <c r="L493" s="12">
        <f>IF(K493="","",INDEX('状态价值'!$D3:$K3,MATCH(K493,'状态价值'!$D$1:$K$1,0)))</f>
        <v/>
      </c>
      <c r="M493" s="15">
        <f>NORM.S.INV(RAND())</f>
        <v/>
      </c>
      <c r="N493" s="15">
        <f>IF('组合输入'!$C4="","",'组合输入'!$H4*$B493+SQRT(1-'组合输入'!$H4^2)*M493)</f>
        <v/>
      </c>
      <c r="O493" s="7">
        <f>IF(N493="","",NORM.S.DIST(N493,TRUE))</f>
        <v/>
      </c>
      <c r="P493" s="13">
        <f>IF(O493="","",IF(O493&lt;='组合输入'!$K4,"AAA",IF(O493&lt;='组合输入'!$L4,"AA",IF(O493&lt;='组合输入'!$M4,"A",IF(O493&lt;='组合输入'!$N4,"BBB",IF(O493&lt;='组合输入'!$O4,"BB",IF(O493&lt;='组合输入'!$P4,"B",IF(O493&lt;='组合输入'!$Q4,"CCC","D")))))))</f>
        <v/>
      </c>
      <c r="Q493" s="12">
        <f>IF(P493="","",INDEX('状态价值'!$D4:$K4,MATCH(P493,'状态价值'!$D$1:$K$1,0)))</f>
        <v/>
      </c>
      <c r="R493" s="15">
        <f>NORM.S.INV(RAND())</f>
        <v/>
      </c>
      <c r="S493" s="15">
        <f>IF('组合输入'!$C5="","",'组合输入'!$H5*$B493+SQRT(1-'组合输入'!$H5^2)*R493)</f>
        <v/>
      </c>
      <c r="T493" s="7">
        <f>IF(S493="","",NORM.S.DIST(S493,TRUE))</f>
        <v/>
      </c>
      <c r="U493" s="13">
        <f>IF(T493="","",IF(T493&lt;='组合输入'!$K5,"AAA",IF(T493&lt;='组合输入'!$L5,"AA",IF(T493&lt;='组合输入'!$M5,"A",IF(T493&lt;='组合输入'!$N5,"BBB",IF(T493&lt;='组合输入'!$O5,"BB",IF(T493&lt;='组合输入'!$P5,"B",IF(T493&lt;='组合输入'!$Q5,"CCC","D")))))))</f>
        <v/>
      </c>
      <c r="V493" s="12">
        <f>IF(U493="","",INDEX('状态价值'!$D5:$K5,MATCH(U493,'状态价值'!$D$1:$K$1,0)))</f>
        <v/>
      </c>
      <c r="W493" s="15">
        <f>NORM.S.INV(RAND())</f>
        <v/>
      </c>
      <c r="X493" s="15">
        <f>IF('组合输入'!$C6="","",'组合输入'!$H6*$B493+SQRT(1-'组合输入'!$H6^2)*W493)</f>
        <v/>
      </c>
      <c r="Y493" s="7">
        <f>IF(X493="","",NORM.S.DIST(X493,TRUE))</f>
        <v/>
      </c>
      <c r="Z493" s="13">
        <f>IF(Y493="","",IF(Y493&lt;='组合输入'!$K6,"AAA",IF(Y493&lt;='组合输入'!$L6,"AA",IF(Y493&lt;='组合输入'!$M6,"A",IF(Y493&lt;='组合输入'!$N6,"BBB",IF(Y493&lt;='组合输入'!$O6,"BB",IF(Y493&lt;='组合输入'!$P6,"B",IF(Y493&lt;='组合输入'!$Q6,"CCC","D")))))))</f>
        <v/>
      </c>
      <c r="AA493" s="12">
        <f>IF(Z493="","",INDEX('状态价值'!$D6:$K6,MATCH(Z493,'状态价值'!$D$1:$K$1,0)))</f>
        <v/>
      </c>
      <c r="AB493" s="15">
        <f>NORM.S.INV(RAND())</f>
        <v/>
      </c>
      <c r="AC493" s="15">
        <f>IF('组合输入'!$C7="","",'组合输入'!$H7*$B493+SQRT(1-'组合输入'!$H7^2)*AB493)</f>
        <v/>
      </c>
      <c r="AD493" s="7">
        <f>IF(AC493="","",NORM.S.DIST(AC493,TRUE))</f>
        <v/>
      </c>
      <c r="AE493" s="13">
        <f>IF(AD493="","",IF(AD493&lt;='组合输入'!$K7,"AAA",IF(AD493&lt;='组合输入'!$L7,"AA",IF(AD493&lt;='组合输入'!$M7,"A",IF(AD493&lt;='组合输入'!$N7,"BBB",IF(AD493&lt;='组合输入'!$O7,"BB",IF(AD493&lt;='组合输入'!$P7,"B",IF(AD493&lt;='组合输入'!$Q7,"CCC","D")))))))</f>
        <v/>
      </c>
      <c r="AF493" s="12">
        <f>IF(AE493="","",INDEX('状态价值'!$D7:$K7,MATCH(AE493,'状态价值'!$D$1:$K$1,0)))</f>
        <v/>
      </c>
      <c r="AG493" s="15">
        <f>NORM.S.INV(RAND())</f>
        <v/>
      </c>
      <c r="AH493" s="15">
        <f>IF('组合输入'!$C8="","",'组合输入'!$H8*$B493+SQRT(1-'组合输入'!$H8^2)*AG493)</f>
        <v/>
      </c>
      <c r="AI493" s="7">
        <f>IF(AH493="","",NORM.S.DIST(AH493,TRUE))</f>
        <v/>
      </c>
      <c r="AJ493" s="13">
        <f>IF(AI493="","",IF(AI493&lt;='组合输入'!$K8,"AAA",IF(AI493&lt;='组合输入'!$L8,"AA",IF(AI493&lt;='组合输入'!$M8,"A",IF(AI493&lt;='组合输入'!$N8,"BBB",IF(AI493&lt;='组合输入'!$O8,"BB",IF(AI493&lt;='组合输入'!$P8,"B",IF(AI493&lt;='组合输入'!$Q8,"CCC","D")))))))</f>
        <v/>
      </c>
      <c r="AK493" s="12">
        <f>IF(AJ493="","",INDEX('状态价值'!$D8:$K8,MATCH(AJ493,'状态价值'!$D$1:$K$1,0)))</f>
        <v/>
      </c>
      <c r="AL493" s="15">
        <f>NORM.S.INV(RAND())</f>
        <v/>
      </c>
      <c r="AM493" s="15">
        <f>IF('组合输入'!$C9="","",'组合输入'!$H9*$B493+SQRT(1-'组合输入'!$H9^2)*AL493)</f>
        <v/>
      </c>
      <c r="AN493" s="7">
        <f>IF(AM493="","",NORM.S.DIST(AM493,TRUE))</f>
        <v/>
      </c>
      <c r="AO493" s="13">
        <f>IF(AN493="","",IF(AN493&lt;='组合输入'!$K9,"AAA",IF(AN493&lt;='组合输入'!$L9,"AA",IF(AN493&lt;='组合输入'!$M9,"A",IF(AN493&lt;='组合输入'!$N9,"BBB",IF(AN493&lt;='组合输入'!$O9,"BB",IF(AN493&lt;='组合输入'!$P9,"B",IF(AN493&lt;='组合输入'!$Q9,"CCC","D")))))))</f>
        <v/>
      </c>
      <c r="AP493" s="12">
        <f>IF(AO493="","",INDEX('状态价值'!$D9:$K9,MATCH(AO493,'状态价值'!$D$1:$K$1,0)))</f>
        <v/>
      </c>
      <c r="AQ493" s="15">
        <f>NORM.S.INV(RAND())</f>
        <v/>
      </c>
      <c r="AR493" s="15">
        <f>IF('组合输入'!$C10="","",'组合输入'!$H10*$B493+SQRT(1-'组合输入'!$H10^2)*AQ493)</f>
        <v/>
      </c>
      <c r="AS493" s="7">
        <f>IF(AR493="","",NORM.S.DIST(AR493,TRUE))</f>
        <v/>
      </c>
      <c r="AT493" s="13">
        <f>IF(AS493="","",IF(AS493&lt;='组合输入'!$K10,"AAA",IF(AS493&lt;='组合输入'!$L10,"AA",IF(AS493&lt;='组合输入'!$M10,"A",IF(AS493&lt;='组合输入'!$N10,"BBB",IF(AS493&lt;='组合输入'!$O10,"BB",IF(AS493&lt;='组合输入'!$P10,"B",IF(AS493&lt;='组合输入'!$Q10,"CCC","D")))))))</f>
        <v/>
      </c>
      <c r="AU493" s="12">
        <f>IF(AT493="","",INDEX('状态价值'!$D10:$K10,MATCH(AT493,'状态价值'!$D$1:$K$1,0)))</f>
        <v/>
      </c>
      <c r="AV493" s="15">
        <f>NORM.S.INV(RAND())</f>
        <v/>
      </c>
      <c r="AW493" s="15">
        <f>IF('组合输入'!$C11="","",'组合输入'!$H11*$B493+SQRT(1-'组合输入'!$H11^2)*AV493)</f>
        <v/>
      </c>
      <c r="AX493" s="7">
        <f>IF(AW493="","",NORM.S.DIST(AW493,TRUE))</f>
        <v/>
      </c>
      <c r="AY493" s="13">
        <f>IF(AX493="","",IF(AX493&lt;='组合输入'!$K11,"AAA",IF(AX493&lt;='组合输入'!$L11,"AA",IF(AX493&lt;='组合输入'!$M11,"A",IF(AX493&lt;='组合输入'!$N11,"BBB",IF(AX493&lt;='组合输入'!$O11,"BB",IF(AX493&lt;='组合输入'!$P11,"B",IF(AX493&lt;='组合输入'!$Q11,"CCC","D")))))))</f>
        <v/>
      </c>
      <c r="AZ493" s="12">
        <f>IF(AY493="","",INDEX('状态价值'!$D11:$K11,MATCH(AY493,'状态价值'!$D$1:$K$1,0)))</f>
        <v/>
      </c>
      <c r="BA493" s="12">
        <f>G493+L493+Q493+V493+AA493+AF493+AK493+AP493+AU493+AZ493</f>
        <v/>
      </c>
      <c r="BB493" s="12">
        <f>SUM('组合输入'!$J$2:$J$11)-BA493</f>
        <v/>
      </c>
    </row>
    <row r="494">
      <c r="A494" s="11" t="n">
        <v>493</v>
      </c>
      <c r="B494" s="14">
        <f>NORM.S.INV(RAND())</f>
        <v/>
      </c>
      <c r="C494" s="14">
        <f>NORM.S.INV(RAND())</f>
        <v/>
      </c>
      <c r="D494" s="15">
        <f>IF('组合输入'!$C2="","",'组合输入'!$H2*$B494+SQRT(1-'组合输入'!$H2^2)*C494)</f>
        <v/>
      </c>
      <c r="E494" s="7">
        <f>IF(D494="","",NORM.S.DIST(D494,TRUE))</f>
        <v/>
      </c>
      <c r="F494" s="13">
        <f>IF(E494="","",IF(E494&lt;='组合输入'!$K2,"AAA",IF(E494&lt;='组合输入'!$L2,"AA",IF(E494&lt;='组合输入'!$M2,"A",IF(E494&lt;='组合输入'!$N2,"BBB",IF(E494&lt;='组合输入'!$O2,"BB",IF(E494&lt;='组合输入'!$P2,"B",IF(E494&lt;='组合输入'!$Q2,"CCC","D")))))))</f>
        <v/>
      </c>
      <c r="G494" s="12">
        <f>IF(F494="","",INDEX('状态价值'!$D2:$K2,MATCH(F494,'状态价值'!$D$1:$K$1,0)))</f>
        <v/>
      </c>
      <c r="H494" s="15">
        <f>NORM.S.INV(RAND())</f>
        <v/>
      </c>
      <c r="I494" s="15">
        <f>IF('组合输入'!$C3="","",'组合输入'!$H3*$B494+SQRT(1-'组合输入'!$H3^2)*H494)</f>
        <v/>
      </c>
      <c r="J494" s="7">
        <f>IF(I494="","",NORM.S.DIST(I494,TRUE))</f>
        <v/>
      </c>
      <c r="K494" s="13">
        <f>IF(J494="","",IF(J494&lt;='组合输入'!$K3,"AAA",IF(J494&lt;='组合输入'!$L3,"AA",IF(J494&lt;='组合输入'!$M3,"A",IF(J494&lt;='组合输入'!$N3,"BBB",IF(J494&lt;='组合输入'!$O3,"BB",IF(J494&lt;='组合输入'!$P3,"B",IF(J494&lt;='组合输入'!$Q3,"CCC","D")))))))</f>
        <v/>
      </c>
      <c r="L494" s="12">
        <f>IF(K494="","",INDEX('状态价值'!$D3:$K3,MATCH(K494,'状态价值'!$D$1:$K$1,0)))</f>
        <v/>
      </c>
      <c r="M494" s="15">
        <f>NORM.S.INV(RAND())</f>
        <v/>
      </c>
      <c r="N494" s="15">
        <f>IF('组合输入'!$C4="","",'组合输入'!$H4*$B494+SQRT(1-'组合输入'!$H4^2)*M494)</f>
        <v/>
      </c>
      <c r="O494" s="7">
        <f>IF(N494="","",NORM.S.DIST(N494,TRUE))</f>
        <v/>
      </c>
      <c r="P494" s="13">
        <f>IF(O494="","",IF(O494&lt;='组合输入'!$K4,"AAA",IF(O494&lt;='组合输入'!$L4,"AA",IF(O494&lt;='组合输入'!$M4,"A",IF(O494&lt;='组合输入'!$N4,"BBB",IF(O494&lt;='组合输入'!$O4,"BB",IF(O494&lt;='组合输入'!$P4,"B",IF(O494&lt;='组合输入'!$Q4,"CCC","D")))))))</f>
        <v/>
      </c>
      <c r="Q494" s="12">
        <f>IF(P494="","",INDEX('状态价值'!$D4:$K4,MATCH(P494,'状态价值'!$D$1:$K$1,0)))</f>
        <v/>
      </c>
      <c r="R494" s="15">
        <f>NORM.S.INV(RAND())</f>
        <v/>
      </c>
      <c r="S494" s="15">
        <f>IF('组合输入'!$C5="","",'组合输入'!$H5*$B494+SQRT(1-'组合输入'!$H5^2)*R494)</f>
        <v/>
      </c>
      <c r="T494" s="7">
        <f>IF(S494="","",NORM.S.DIST(S494,TRUE))</f>
        <v/>
      </c>
      <c r="U494" s="13">
        <f>IF(T494="","",IF(T494&lt;='组合输入'!$K5,"AAA",IF(T494&lt;='组合输入'!$L5,"AA",IF(T494&lt;='组合输入'!$M5,"A",IF(T494&lt;='组合输入'!$N5,"BBB",IF(T494&lt;='组合输入'!$O5,"BB",IF(T494&lt;='组合输入'!$P5,"B",IF(T494&lt;='组合输入'!$Q5,"CCC","D")))))))</f>
        <v/>
      </c>
      <c r="V494" s="12">
        <f>IF(U494="","",INDEX('状态价值'!$D5:$K5,MATCH(U494,'状态价值'!$D$1:$K$1,0)))</f>
        <v/>
      </c>
      <c r="W494" s="15">
        <f>NORM.S.INV(RAND())</f>
        <v/>
      </c>
      <c r="X494" s="15">
        <f>IF('组合输入'!$C6="","",'组合输入'!$H6*$B494+SQRT(1-'组合输入'!$H6^2)*W494)</f>
        <v/>
      </c>
      <c r="Y494" s="7">
        <f>IF(X494="","",NORM.S.DIST(X494,TRUE))</f>
        <v/>
      </c>
      <c r="Z494" s="13">
        <f>IF(Y494="","",IF(Y494&lt;='组合输入'!$K6,"AAA",IF(Y494&lt;='组合输入'!$L6,"AA",IF(Y494&lt;='组合输入'!$M6,"A",IF(Y494&lt;='组合输入'!$N6,"BBB",IF(Y494&lt;='组合输入'!$O6,"BB",IF(Y494&lt;='组合输入'!$P6,"B",IF(Y494&lt;='组合输入'!$Q6,"CCC","D")))))))</f>
        <v/>
      </c>
      <c r="AA494" s="12">
        <f>IF(Z494="","",INDEX('状态价值'!$D6:$K6,MATCH(Z494,'状态价值'!$D$1:$K$1,0)))</f>
        <v/>
      </c>
      <c r="AB494" s="15">
        <f>NORM.S.INV(RAND())</f>
        <v/>
      </c>
      <c r="AC494" s="15">
        <f>IF('组合输入'!$C7="","",'组合输入'!$H7*$B494+SQRT(1-'组合输入'!$H7^2)*AB494)</f>
        <v/>
      </c>
      <c r="AD494" s="7">
        <f>IF(AC494="","",NORM.S.DIST(AC494,TRUE))</f>
        <v/>
      </c>
      <c r="AE494" s="13">
        <f>IF(AD494="","",IF(AD494&lt;='组合输入'!$K7,"AAA",IF(AD494&lt;='组合输入'!$L7,"AA",IF(AD494&lt;='组合输入'!$M7,"A",IF(AD494&lt;='组合输入'!$N7,"BBB",IF(AD494&lt;='组合输入'!$O7,"BB",IF(AD494&lt;='组合输入'!$P7,"B",IF(AD494&lt;='组合输入'!$Q7,"CCC","D")))))))</f>
        <v/>
      </c>
      <c r="AF494" s="12">
        <f>IF(AE494="","",INDEX('状态价值'!$D7:$K7,MATCH(AE494,'状态价值'!$D$1:$K$1,0)))</f>
        <v/>
      </c>
      <c r="AG494" s="15">
        <f>NORM.S.INV(RAND())</f>
        <v/>
      </c>
      <c r="AH494" s="15">
        <f>IF('组合输入'!$C8="","",'组合输入'!$H8*$B494+SQRT(1-'组合输入'!$H8^2)*AG494)</f>
        <v/>
      </c>
      <c r="AI494" s="7">
        <f>IF(AH494="","",NORM.S.DIST(AH494,TRUE))</f>
        <v/>
      </c>
      <c r="AJ494" s="13">
        <f>IF(AI494="","",IF(AI494&lt;='组合输入'!$K8,"AAA",IF(AI494&lt;='组合输入'!$L8,"AA",IF(AI494&lt;='组合输入'!$M8,"A",IF(AI494&lt;='组合输入'!$N8,"BBB",IF(AI494&lt;='组合输入'!$O8,"BB",IF(AI494&lt;='组合输入'!$P8,"B",IF(AI494&lt;='组合输入'!$Q8,"CCC","D")))))))</f>
        <v/>
      </c>
      <c r="AK494" s="12">
        <f>IF(AJ494="","",INDEX('状态价值'!$D8:$K8,MATCH(AJ494,'状态价值'!$D$1:$K$1,0)))</f>
        <v/>
      </c>
      <c r="AL494" s="15">
        <f>NORM.S.INV(RAND())</f>
        <v/>
      </c>
      <c r="AM494" s="15">
        <f>IF('组合输入'!$C9="","",'组合输入'!$H9*$B494+SQRT(1-'组合输入'!$H9^2)*AL494)</f>
        <v/>
      </c>
      <c r="AN494" s="7">
        <f>IF(AM494="","",NORM.S.DIST(AM494,TRUE))</f>
        <v/>
      </c>
      <c r="AO494" s="13">
        <f>IF(AN494="","",IF(AN494&lt;='组合输入'!$K9,"AAA",IF(AN494&lt;='组合输入'!$L9,"AA",IF(AN494&lt;='组合输入'!$M9,"A",IF(AN494&lt;='组合输入'!$N9,"BBB",IF(AN494&lt;='组合输入'!$O9,"BB",IF(AN494&lt;='组合输入'!$P9,"B",IF(AN494&lt;='组合输入'!$Q9,"CCC","D")))))))</f>
        <v/>
      </c>
      <c r="AP494" s="12">
        <f>IF(AO494="","",INDEX('状态价值'!$D9:$K9,MATCH(AO494,'状态价值'!$D$1:$K$1,0)))</f>
        <v/>
      </c>
      <c r="AQ494" s="15">
        <f>NORM.S.INV(RAND())</f>
        <v/>
      </c>
      <c r="AR494" s="15">
        <f>IF('组合输入'!$C10="","",'组合输入'!$H10*$B494+SQRT(1-'组合输入'!$H10^2)*AQ494)</f>
        <v/>
      </c>
      <c r="AS494" s="7">
        <f>IF(AR494="","",NORM.S.DIST(AR494,TRUE))</f>
        <v/>
      </c>
      <c r="AT494" s="13">
        <f>IF(AS494="","",IF(AS494&lt;='组合输入'!$K10,"AAA",IF(AS494&lt;='组合输入'!$L10,"AA",IF(AS494&lt;='组合输入'!$M10,"A",IF(AS494&lt;='组合输入'!$N10,"BBB",IF(AS494&lt;='组合输入'!$O10,"BB",IF(AS494&lt;='组合输入'!$P10,"B",IF(AS494&lt;='组合输入'!$Q10,"CCC","D")))))))</f>
        <v/>
      </c>
      <c r="AU494" s="12">
        <f>IF(AT494="","",INDEX('状态价值'!$D10:$K10,MATCH(AT494,'状态价值'!$D$1:$K$1,0)))</f>
        <v/>
      </c>
      <c r="AV494" s="15">
        <f>NORM.S.INV(RAND())</f>
        <v/>
      </c>
      <c r="AW494" s="15">
        <f>IF('组合输入'!$C11="","",'组合输入'!$H11*$B494+SQRT(1-'组合输入'!$H11^2)*AV494)</f>
        <v/>
      </c>
      <c r="AX494" s="7">
        <f>IF(AW494="","",NORM.S.DIST(AW494,TRUE))</f>
        <v/>
      </c>
      <c r="AY494" s="13">
        <f>IF(AX494="","",IF(AX494&lt;='组合输入'!$K11,"AAA",IF(AX494&lt;='组合输入'!$L11,"AA",IF(AX494&lt;='组合输入'!$M11,"A",IF(AX494&lt;='组合输入'!$N11,"BBB",IF(AX494&lt;='组合输入'!$O11,"BB",IF(AX494&lt;='组合输入'!$P11,"B",IF(AX494&lt;='组合输入'!$Q11,"CCC","D")))))))</f>
        <v/>
      </c>
      <c r="AZ494" s="12">
        <f>IF(AY494="","",INDEX('状态价值'!$D11:$K11,MATCH(AY494,'状态价值'!$D$1:$K$1,0)))</f>
        <v/>
      </c>
      <c r="BA494" s="12">
        <f>G494+L494+Q494+V494+AA494+AF494+AK494+AP494+AU494+AZ494</f>
        <v/>
      </c>
      <c r="BB494" s="12">
        <f>SUM('组合输入'!$J$2:$J$11)-BA494</f>
        <v/>
      </c>
    </row>
    <row r="495">
      <c r="A495" s="11" t="n">
        <v>494</v>
      </c>
      <c r="B495" s="14">
        <f>NORM.S.INV(RAND())</f>
        <v/>
      </c>
      <c r="C495" s="14">
        <f>NORM.S.INV(RAND())</f>
        <v/>
      </c>
      <c r="D495" s="15">
        <f>IF('组合输入'!$C2="","",'组合输入'!$H2*$B495+SQRT(1-'组合输入'!$H2^2)*C495)</f>
        <v/>
      </c>
      <c r="E495" s="7">
        <f>IF(D495="","",NORM.S.DIST(D495,TRUE))</f>
        <v/>
      </c>
      <c r="F495" s="13">
        <f>IF(E495="","",IF(E495&lt;='组合输入'!$K2,"AAA",IF(E495&lt;='组合输入'!$L2,"AA",IF(E495&lt;='组合输入'!$M2,"A",IF(E495&lt;='组合输入'!$N2,"BBB",IF(E495&lt;='组合输入'!$O2,"BB",IF(E495&lt;='组合输入'!$P2,"B",IF(E495&lt;='组合输入'!$Q2,"CCC","D")))))))</f>
        <v/>
      </c>
      <c r="G495" s="12">
        <f>IF(F495="","",INDEX('状态价值'!$D2:$K2,MATCH(F495,'状态价值'!$D$1:$K$1,0)))</f>
        <v/>
      </c>
      <c r="H495" s="15">
        <f>NORM.S.INV(RAND())</f>
        <v/>
      </c>
      <c r="I495" s="15">
        <f>IF('组合输入'!$C3="","",'组合输入'!$H3*$B495+SQRT(1-'组合输入'!$H3^2)*H495)</f>
        <v/>
      </c>
      <c r="J495" s="7">
        <f>IF(I495="","",NORM.S.DIST(I495,TRUE))</f>
        <v/>
      </c>
      <c r="K495" s="13">
        <f>IF(J495="","",IF(J495&lt;='组合输入'!$K3,"AAA",IF(J495&lt;='组合输入'!$L3,"AA",IF(J495&lt;='组合输入'!$M3,"A",IF(J495&lt;='组合输入'!$N3,"BBB",IF(J495&lt;='组合输入'!$O3,"BB",IF(J495&lt;='组合输入'!$P3,"B",IF(J495&lt;='组合输入'!$Q3,"CCC","D")))))))</f>
        <v/>
      </c>
      <c r="L495" s="12">
        <f>IF(K495="","",INDEX('状态价值'!$D3:$K3,MATCH(K495,'状态价值'!$D$1:$K$1,0)))</f>
        <v/>
      </c>
      <c r="M495" s="15">
        <f>NORM.S.INV(RAND())</f>
        <v/>
      </c>
      <c r="N495" s="15">
        <f>IF('组合输入'!$C4="","",'组合输入'!$H4*$B495+SQRT(1-'组合输入'!$H4^2)*M495)</f>
        <v/>
      </c>
      <c r="O495" s="7">
        <f>IF(N495="","",NORM.S.DIST(N495,TRUE))</f>
        <v/>
      </c>
      <c r="P495" s="13">
        <f>IF(O495="","",IF(O495&lt;='组合输入'!$K4,"AAA",IF(O495&lt;='组合输入'!$L4,"AA",IF(O495&lt;='组合输入'!$M4,"A",IF(O495&lt;='组合输入'!$N4,"BBB",IF(O495&lt;='组合输入'!$O4,"BB",IF(O495&lt;='组合输入'!$P4,"B",IF(O495&lt;='组合输入'!$Q4,"CCC","D")))))))</f>
        <v/>
      </c>
      <c r="Q495" s="12">
        <f>IF(P495="","",INDEX('状态价值'!$D4:$K4,MATCH(P495,'状态价值'!$D$1:$K$1,0)))</f>
        <v/>
      </c>
      <c r="R495" s="15">
        <f>NORM.S.INV(RAND())</f>
        <v/>
      </c>
      <c r="S495" s="15">
        <f>IF('组合输入'!$C5="","",'组合输入'!$H5*$B495+SQRT(1-'组合输入'!$H5^2)*R495)</f>
        <v/>
      </c>
      <c r="T495" s="7">
        <f>IF(S495="","",NORM.S.DIST(S495,TRUE))</f>
        <v/>
      </c>
      <c r="U495" s="13">
        <f>IF(T495="","",IF(T495&lt;='组合输入'!$K5,"AAA",IF(T495&lt;='组合输入'!$L5,"AA",IF(T495&lt;='组合输入'!$M5,"A",IF(T495&lt;='组合输入'!$N5,"BBB",IF(T495&lt;='组合输入'!$O5,"BB",IF(T495&lt;='组合输入'!$P5,"B",IF(T495&lt;='组合输入'!$Q5,"CCC","D")))))))</f>
        <v/>
      </c>
      <c r="V495" s="12">
        <f>IF(U495="","",INDEX('状态价值'!$D5:$K5,MATCH(U495,'状态价值'!$D$1:$K$1,0)))</f>
        <v/>
      </c>
      <c r="W495" s="15">
        <f>NORM.S.INV(RAND())</f>
        <v/>
      </c>
      <c r="X495" s="15">
        <f>IF('组合输入'!$C6="","",'组合输入'!$H6*$B495+SQRT(1-'组合输入'!$H6^2)*W495)</f>
        <v/>
      </c>
      <c r="Y495" s="7">
        <f>IF(X495="","",NORM.S.DIST(X495,TRUE))</f>
        <v/>
      </c>
      <c r="Z495" s="13">
        <f>IF(Y495="","",IF(Y495&lt;='组合输入'!$K6,"AAA",IF(Y495&lt;='组合输入'!$L6,"AA",IF(Y495&lt;='组合输入'!$M6,"A",IF(Y495&lt;='组合输入'!$N6,"BBB",IF(Y495&lt;='组合输入'!$O6,"BB",IF(Y495&lt;='组合输入'!$P6,"B",IF(Y495&lt;='组合输入'!$Q6,"CCC","D")))))))</f>
        <v/>
      </c>
      <c r="AA495" s="12">
        <f>IF(Z495="","",INDEX('状态价值'!$D6:$K6,MATCH(Z495,'状态价值'!$D$1:$K$1,0)))</f>
        <v/>
      </c>
      <c r="AB495" s="15">
        <f>NORM.S.INV(RAND())</f>
        <v/>
      </c>
      <c r="AC495" s="15">
        <f>IF('组合输入'!$C7="","",'组合输入'!$H7*$B495+SQRT(1-'组合输入'!$H7^2)*AB495)</f>
        <v/>
      </c>
      <c r="AD495" s="7">
        <f>IF(AC495="","",NORM.S.DIST(AC495,TRUE))</f>
        <v/>
      </c>
      <c r="AE495" s="13">
        <f>IF(AD495="","",IF(AD495&lt;='组合输入'!$K7,"AAA",IF(AD495&lt;='组合输入'!$L7,"AA",IF(AD495&lt;='组合输入'!$M7,"A",IF(AD495&lt;='组合输入'!$N7,"BBB",IF(AD495&lt;='组合输入'!$O7,"BB",IF(AD495&lt;='组合输入'!$P7,"B",IF(AD495&lt;='组合输入'!$Q7,"CCC","D")))))))</f>
        <v/>
      </c>
      <c r="AF495" s="12">
        <f>IF(AE495="","",INDEX('状态价值'!$D7:$K7,MATCH(AE495,'状态价值'!$D$1:$K$1,0)))</f>
        <v/>
      </c>
      <c r="AG495" s="15">
        <f>NORM.S.INV(RAND())</f>
        <v/>
      </c>
      <c r="AH495" s="15">
        <f>IF('组合输入'!$C8="","",'组合输入'!$H8*$B495+SQRT(1-'组合输入'!$H8^2)*AG495)</f>
        <v/>
      </c>
      <c r="AI495" s="7">
        <f>IF(AH495="","",NORM.S.DIST(AH495,TRUE))</f>
        <v/>
      </c>
      <c r="AJ495" s="13">
        <f>IF(AI495="","",IF(AI495&lt;='组合输入'!$K8,"AAA",IF(AI495&lt;='组合输入'!$L8,"AA",IF(AI495&lt;='组合输入'!$M8,"A",IF(AI495&lt;='组合输入'!$N8,"BBB",IF(AI495&lt;='组合输入'!$O8,"BB",IF(AI495&lt;='组合输入'!$P8,"B",IF(AI495&lt;='组合输入'!$Q8,"CCC","D")))))))</f>
        <v/>
      </c>
      <c r="AK495" s="12">
        <f>IF(AJ495="","",INDEX('状态价值'!$D8:$K8,MATCH(AJ495,'状态价值'!$D$1:$K$1,0)))</f>
        <v/>
      </c>
      <c r="AL495" s="15">
        <f>NORM.S.INV(RAND())</f>
        <v/>
      </c>
      <c r="AM495" s="15">
        <f>IF('组合输入'!$C9="","",'组合输入'!$H9*$B495+SQRT(1-'组合输入'!$H9^2)*AL495)</f>
        <v/>
      </c>
      <c r="AN495" s="7">
        <f>IF(AM495="","",NORM.S.DIST(AM495,TRUE))</f>
        <v/>
      </c>
      <c r="AO495" s="13">
        <f>IF(AN495="","",IF(AN495&lt;='组合输入'!$K9,"AAA",IF(AN495&lt;='组合输入'!$L9,"AA",IF(AN495&lt;='组合输入'!$M9,"A",IF(AN495&lt;='组合输入'!$N9,"BBB",IF(AN495&lt;='组合输入'!$O9,"BB",IF(AN495&lt;='组合输入'!$P9,"B",IF(AN495&lt;='组合输入'!$Q9,"CCC","D")))))))</f>
        <v/>
      </c>
      <c r="AP495" s="12">
        <f>IF(AO495="","",INDEX('状态价值'!$D9:$K9,MATCH(AO495,'状态价值'!$D$1:$K$1,0)))</f>
        <v/>
      </c>
      <c r="AQ495" s="15">
        <f>NORM.S.INV(RAND())</f>
        <v/>
      </c>
      <c r="AR495" s="15">
        <f>IF('组合输入'!$C10="","",'组合输入'!$H10*$B495+SQRT(1-'组合输入'!$H10^2)*AQ495)</f>
        <v/>
      </c>
      <c r="AS495" s="7">
        <f>IF(AR495="","",NORM.S.DIST(AR495,TRUE))</f>
        <v/>
      </c>
      <c r="AT495" s="13">
        <f>IF(AS495="","",IF(AS495&lt;='组合输入'!$K10,"AAA",IF(AS495&lt;='组合输入'!$L10,"AA",IF(AS495&lt;='组合输入'!$M10,"A",IF(AS495&lt;='组合输入'!$N10,"BBB",IF(AS495&lt;='组合输入'!$O10,"BB",IF(AS495&lt;='组合输入'!$P10,"B",IF(AS495&lt;='组合输入'!$Q10,"CCC","D")))))))</f>
        <v/>
      </c>
      <c r="AU495" s="12">
        <f>IF(AT495="","",INDEX('状态价值'!$D10:$K10,MATCH(AT495,'状态价值'!$D$1:$K$1,0)))</f>
        <v/>
      </c>
      <c r="AV495" s="15">
        <f>NORM.S.INV(RAND())</f>
        <v/>
      </c>
      <c r="AW495" s="15">
        <f>IF('组合输入'!$C11="","",'组合输入'!$H11*$B495+SQRT(1-'组合输入'!$H11^2)*AV495)</f>
        <v/>
      </c>
      <c r="AX495" s="7">
        <f>IF(AW495="","",NORM.S.DIST(AW495,TRUE))</f>
        <v/>
      </c>
      <c r="AY495" s="13">
        <f>IF(AX495="","",IF(AX495&lt;='组合输入'!$K11,"AAA",IF(AX495&lt;='组合输入'!$L11,"AA",IF(AX495&lt;='组合输入'!$M11,"A",IF(AX495&lt;='组合输入'!$N11,"BBB",IF(AX495&lt;='组合输入'!$O11,"BB",IF(AX495&lt;='组合输入'!$P11,"B",IF(AX495&lt;='组合输入'!$Q11,"CCC","D")))))))</f>
        <v/>
      </c>
      <c r="AZ495" s="12">
        <f>IF(AY495="","",INDEX('状态价值'!$D11:$K11,MATCH(AY495,'状态价值'!$D$1:$K$1,0)))</f>
        <v/>
      </c>
      <c r="BA495" s="12">
        <f>G495+L495+Q495+V495+AA495+AF495+AK495+AP495+AU495+AZ495</f>
        <v/>
      </c>
      <c r="BB495" s="12">
        <f>SUM('组合输入'!$J$2:$J$11)-BA495</f>
        <v/>
      </c>
    </row>
    <row r="496">
      <c r="A496" s="11" t="n">
        <v>495</v>
      </c>
      <c r="B496" s="14">
        <f>NORM.S.INV(RAND())</f>
        <v/>
      </c>
      <c r="C496" s="14">
        <f>NORM.S.INV(RAND())</f>
        <v/>
      </c>
      <c r="D496" s="15">
        <f>IF('组合输入'!$C2="","",'组合输入'!$H2*$B496+SQRT(1-'组合输入'!$H2^2)*C496)</f>
        <v/>
      </c>
      <c r="E496" s="7">
        <f>IF(D496="","",NORM.S.DIST(D496,TRUE))</f>
        <v/>
      </c>
      <c r="F496" s="13">
        <f>IF(E496="","",IF(E496&lt;='组合输入'!$K2,"AAA",IF(E496&lt;='组合输入'!$L2,"AA",IF(E496&lt;='组合输入'!$M2,"A",IF(E496&lt;='组合输入'!$N2,"BBB",IF(E496&lt;='组合输入'!$O2,"BB",IF(E496&lt;='组合输入'!$P2,"B",IF(E496&lt;='组合输入'!$Q2,"CCC","D")))))))</f>
        <v/>
      </c>
      <c r="G496" s="12">
        <f>IF(F496="","",INDEX('状态价值'!$D2:$K2,MATCH(F496,'状态价值'!$D$1:$K$1,0)))</f>
        <v/>
      </c>
      <c r="H496" s="15">
        <f>NORM.S.INV(RAND())</f>
        <v/>
      </c>
      <c r="I496" s="15">
        <f>IF('组合输入'!$C3="","",'组合输入'!$H3*$B496+SQRT(1-'组合输入'!$H3^2)*H496)</f>
        <v/>
      </c>
      <c r="J496" s="7">
        <f>IF(I496="","",NORM.S.DIST(I496,TRUE))</f>
        <v/>
      </c>
      <c r="K496" s="13">
        <f>IF(J496="","",IF(J496&lt;='组合输入'!$K3,"AAA",IF(J496&lt;='组合输入'!$L3,"AA",IF(J496&lt;='组合输入'!$M3,"A",IF(J496&lt;='组合输入'!$N3,"BBB",IF(J496&lt;='组合输入'!$O3,"BB",IF(J496&lt;='组合输入'!$P3,"B",IF(J496&lt;='组合输入'!$Q3,"CCC","D")))))))</f>
        <v/>
      </c>
      <c r="L496" s="12">
        <f>IF(K496="","",INDEX('状态价值'!$D3:$K3,MATCH(K496,'状态价值'!$D$1:$K$1,0)))</f>
        <v/>
      </c>
      <c r="M496" s="15">
        <f>NORM.S.INV(RAND())</f>
        <v/>
      </c>
      <c r="N496" s="15">
        <f>IF('组合输入'!$C4="","",'组合输入'!$H4*$B496+SQRT(1-'组合输入'!$H4^2)*M496)</f>
        <v/>
      </c>
      <c r="O496" s="7">
        <f>IF(N496="","",NORM.S.DIST(N496,TRUE))</f>
        <v/>
      </c>
      <c r="P496" s="13">
        <f>IF(O496="","",IF(O496&lt;='组合输入'!$K4,"AAA",IF(O496&lt;='组合输入'!$L4,"AA",IF(O496&lt;='组合输入'!$M4,"A",IF(O496&lt;='组合输入'!$N4,"BBB",IF(O496&lt;='组合输入'!$O4,"BB",IF(O496&lt;='组合输入'!$P4,"B",IF(O496&lt;='组合输入'!$Q4,"CCC","D")))))))</f>
        <v/>
      </c>
      <c r="Q496" s="12">
        <f>IF(P496="","",INDEX('状态价值'!$D4:$K4,MATCH(P496,'状态价值'!$D$1:$K$1,0)))</f>
        <v/>
      </c>
      <c r="R496" s="15">
        <f>NORM.S.INV(RAND())</f>
        <v/>
      </c>
      <c r="S496" s="15">
        <f>IF('组合输入'!$C5="","",'组合输入'!$H5*$B496+SQRT(1-'组合输入'!$H5^2)*R496)</f>
        <v/>
      </c>
      <c r="T496" s="7">
        <f>IF(S496="","",NORM.S.DIST(S496,TRUE))</f>
        <v/>
      </c>
      <c r="U496" s="13">
        <f>IF(T496="","",IF(T496&lt;='组合输入'!$K5,"AAA",IF(T496&lt;='组合输入'!$L5,"AA",IF(T496&lt;='组合输入'!$M5,"A",IF(T496&lt;='组合输入'!$N5,"BBB",IF(T496&lt;='组合输入'!$O5,"BB",IF(T496&lt;='组合输入'!$P5,"B",IF(T496&lt;='组合输入'!$Q5,"CCC","D")))))))</f>
        <v/>
      </c>
      <c r="V496" s="12">
        <f>IF(U496="","",INDEX('状态价值'!$D5:$K5,MATCH(U496,'状态价值'!$D$1:$K$1,0)))</f>
        <v/>
      </c>
      <c r="W496" s="15">
        <f>NORM.S.INV(RAND())</f>
        <v/>
      </c>
      <c r="X496" s="15">
        <f>IF('组合输入'!$C6="","",'组合输入'!$H6*$B496+SQRT(1-'组合输入'!$H6^2)*W496)</f>
        <v/>
      </c>
      <c r="Y496" s="7">
        <f>IF(X496="","",NORM.S.DIST(X496,TRUE))</f>
        <v/>
      </c>
      <c r="Z496" s="13">
        <f>IF(Y496="","",IF(Y496&lt;='组合输入'!$K6,"AAA",IF(Y496&lt;='组合输入'!$L6,"AA",IF(Y496&lt;='组合输入'!$M6,"A",IF(Y496&lt;='组合输入'!$N6,"BBB",IF(Y496&lt;='组合输入'!$O6,"BB",IF(Y496&lt;='组合输入'!$P6,"B",IF(Y496&lt;='组合输入'!$Q6,"CCC","D")))))))</f>
        <v/>
      </c>
      <c r="AA496" s="12">
        <f>IF(Z496="","",INDEX('状态价值'!$D6:$K6,MATCH(Z496,'状态价值'!$D$1:$K$1,0)))</f>
        <v/>
      </c>
      <c r="AB496" s="15">
        <f>NORM.S.INV(RAND())</f>
        <v/>
      </c>
      <c r="AC496" s="15">
        <f>IF('组合输入'!$C7="","",'组合输入'!$H7*$B496+SQRT(1-'组合输入'!$H7^2)*AB496)</f>
        <v/>
      </c>
      <c r="AD496" s="7">
        <f>IF(AC496="","",NORM.S.DIST(AC496,TRUE))</f>
        <v/>
      </c>
      <c r="AE496" s="13">
        <f>IF(AD496="","",IF(AD496&lt;='组合输入'!$K7,"AAA",IF(AD496&lt;='组合输入'!$L7,"AA",IF(AD496&lt;='组合输入'!$M7,"A",IF(AD496&lt;='组合输入'!$N7,"BBB",IF(AD496&lt;='组合输入'!$O7,"BB",IF(AD496&lt;='组合输入'!$P7,"B",IF(AD496&lt;='组合输入'!$Q7,"CCC","D")))))))</f>
        <v/>
      </c>
      <c r="AF496" s="12">
        <f>IF(AE496="","",INDEX('状态价值'!$D7:$K7,MATCH(AE496,'状态价值'!$D$1:$K$1,0)))</f>
        <v/>
      </c>
      <c r="AG496" s="15">
        <f>NORM.S.INV(RAND())</f>
        <v/>
      </c>
      <c r="AH496" s="15">
        <f>IF('组合输入'!$C8="","",'组合输入'!$H8*$B496+SQRT(1-'组合输入'!$H8^2)*AG496)</f>
        <v/>
      </c>
      <c r="AI496" s="7">
        <f>IF(AH496="","",NORM.S.DIST(AH496,TRUE))</f>
        <v/>
      </c>
      <c r="AJ496" s="13">
        <f>IF(AI496="","",IF(AI496&lt;='组合输入'!$K8,"AAA",IF(AI496&lt;='组合输入'!$L8,"AA",IF(AI496&lt;='组合输入'!$M8,"A",IF(AI496&lt;='组合输入'!$N8,"BBB",IF(AI496&lt;='组合输入'!$O8,"BB",IF(AI496&lt;='组合输入'!$P8,"B",IF(AI496&lt;='组合输入'!$Q8,"CCC","D")))))))</f>
        <v/>
      </c>
      <c r="AK496" s="12">
        <f>IF(AJ496="","",INDEX('状态价值'!$D8:$K8,MATCH(AJ496,'状态价值'!$D$1:$K$1,0)))</f>
        <v/>
      </c>
      <c r="AL496" s="15">
        <f>NORM.S.INV(RAND())</f>
        <v/>
      </c>
      <c r="AM496" s="15">
        <f>IF('组合输入'!$C9="","",'组合输入'!$H9*$B496+SQRT(1-'组合输入'!$H9^2)*AL496)</f>
        <v/>
      </c>
      <c r="AN496" s="7">
        <f>IF(AM496="","",NORM.S.DIST(AM496,TRUE))</f>
        <v/>
      </c>
      <c r="AO496" s="13">
        <f>IF(AN496="","",IF(AN496&lt;='组合输入'!$K9,"AAA",IF(AN496&lt;='组合输入'!$L9,"AA",IF(AN496&lt;='组合输入'!$M9,"A",IF(AN496&lt;='组合输入'!$N9,"BBB",IF(AN496&lt;='组合输入'!$O9,"BB",IF(AN496&lt;='组合输入'!$P9,"B",IF(AN496&lt;='组合输入'!$Q9,"CCC","D")))))))</f>
        <v/>
      </c>
      <c r="AP496" s="12">
        <f>IF(AO496="","",INDEX('状态价值'!$D9:$K9,MATCH(AO496,'状态价值'!$D$1:$K$1,0)))</f>
        <v/>
      </c>
      <c r="AQ496" s="15">
        <f>NORM.S.INV(RAND())</f>
        <v/>
      </c>
      <c r="AR496" s="15">
        <f>IF('组合输入'!$C10="","",'组合输入'!$H10*$B496+SQRT(1-'组合输入'!$H10^2)*AQ496)</f>
        <v/>
      </c>
      <c r="AS496" s="7">
        <f>IF(AR496="","",NORM.S.DIST(AR496,TRUE))</f>
        <v/>
      </c>
      <c r="AT496" s="13">
        <f>IF(AS496="","",IF(AS496&lt;='组合输入'!$K10,"AAA",IF(AS496&lt;='组合输入'!$L10,"AA",IF(AS496&lt;='组合输入'!$M10,"A",IF(AS496&lt;='组合输入'!$N10,"BBB",IF(AS496&lt;='组合输入'!$O10,"BB",IF(AS496&lt;='组合输入'!$P10,"B",IF(AS496&lt;='组合输入'!$Q10,"CCC","D")))))))</f>
        <v/>
      </c>
      <c r="AU496" s="12">
        <f>IF(AT496="","",INDEX('状态价值'!$D10:$K10,MATCH(AT496,'状态价值'!$D$1:$K$1,0)))</f>
        <v/>
      </c>
      <c r="AV496" s="15">
        <f>NORM.S.INV(RAND())</f>
        <v/>
      </c>
      <c r="AW496" s="15">
        <f>IF('组合输入'!$C11="","",'组合输入'!$H11*$B496+SQRT(1-'组合输入'!$H11^2)*AV496)</f>
        <v/>
      </c>
      <c r="AX496" s="7">
        <f>IF(AW496="","",NORM.S.DIST(AW496,TRUE))</f>
        <v/>
      </c>
      <c r="AY496" s="13">
        <f>IF(AX496="","",IF(AX496&lt;='组合输入'!$K11,"AAA",IF(AX496&lt;='组合输入'!$L11,"AA",IF(AX496&lt;='组合输入'!$M11,"A",IF(AX496&lt;='组合输入'!$N11,"BBB",IF(AX496&lt;='组合输入'!$O11,"BB",IF(AX496&lt;='组合输入'!$P11,"B",IF(AX496&lt;='组合输入'!$Q11,"CCC","D")))))))</f>
        <v/>
      </c>
      <c r="AZ496" s="12">
        <f>IF(AY496="","",INDEX('状态价值'!$D11:$K11,MATCH(AY496,'状态价值'!$D$1:$K$1,0)))</f>
        <v/>
      </c>
      <c r="BA496" s="12">
        <f>G496+L496+Q496+V496+AA496+AF496+AK496+AP496+AU496+AZ496</f>
        <v/>
      </c>
      <c r="BB496" s="12">
        <f>SUM('组合输入'!$J$2:$J$11)-BA496</f>
        <v/>
      </c>
    </row>
    <row r="497">
      <c r="A497" s="11" t="n">
        <v>496</v>
      </c>
      <c r="B497" s="14">
        <f>NORM.S.INV(RAND())</f>
        <v/>
      </c>
      <c r="C497" s="14">
        <f>NORM.S.INV(RAND())</f>
        <v/>
      </c>
      <c r="D497" s="15">
        <f>IF('组合输入'!$C2="","",'组合输入'!$H2*$B497+SQRT(1-'组合输入'!$H2^2)*C497)</f>
        <v/>
      </c>
      <c r="E497" s="7">
        <f>IF(D497="","",NORM.S.DIST(D497,TRUE))</f>
        <v/>
      </c>
      <c r="F497" s="13">
        <f>IF(E497="","",IF(E497&lt;='组合输入'!$K2,"AAA",IF(E497&lt;='组合输入'!$L2,"AA",IF(E497&lt;='组合输入'!$M2,"A",IF(E497&lt;='组合输入'!$N2,"BBB",IF(E497&lt;='组合输入'!$O2,"BB",IF(E497&lt;='组合输入'!$P2,"B",IF(E497&lt;='组合输入'!$Q2,"CCC","D")))))))</f>
        <v/>
      </c>
      <c r="G497" s="12">
        <f>IF(F497="","",INDEX('状态价值'!$D2:$K2,MATCH(F497,'状态价值'!$D$1:$K$1,0)))</f>
        <v/>
      </c>
      <c r="H497" s="15">
        <f>NORM.S.INV(RAND())</f>
        <v/>
      </c>
      <c r="I497" s="15">
        <f>IF('组合输入'!$C3="","",'组合输入'!$H3*$B497+SQRT(1-'组合输入'!$H3^2)*H497)</f>
        <v/>
      </c>
      <c r="J497" s="7">
        <f>IF(I497="","",NORM.S.DIST(I497,TRUE))</f>
        <v/>
      </c>
      <c r="K497" s="13">
        <f>IF(J497="","",IF(J497&lt;='组合输入'!$K3,"AAA",IF(J497&lt;='组合输入'!$L3,"AA",IF(J497&lt;='组合输入'!$M3,"A",IF(J497&lt;='组合输入'!$N3,"BBB",IF(J497&lt;='组合输入'!$O3,"BB",IF(J497&lt;='组合输入'!$P3,"B",IF(J497&lt;='组合输入'!$Q3,"CCC","D")))))))</f>
        <v/>
      </c>
      <c r="L497" s="12">
        <f>IF(K497="","",INDEX('状态价值'!$D3:$K3,MATCH(K497,'状态价值'!$D$1:$K$1,0)))</f>
        <v/>
      </c>
      <c r="M497" s="15">
        <f>NORM.S.INV(RAND())</f>
        <v/>
      </c>
      <c r="N497" s="15">
        <f>IF('组合输入'!$C4="","",'组合输入'!$H4*$B497+SQRT(1-'组合输入'!$H4^2)*M497)</f>
        <v/>
      </c>
      <c r="O497" s="7">
        <f>IF(N497="","",NORM.S.DIST(N497,TRUE))</f>
        <v/>
      </c>
      <c r="P497" s="13">
        <f>IF(O497="","",IF(O497&lt;='组合输入'!$K4,"AAA",IF(O497&lt;='组合输入'!$L4,"AA",IF(O497&lt;='组合输入'!$M4,"A",IF(O497&lt;='组合输入'!$N4,"BBB",IF(O497&lt;='组合输入'!$O4,"BB",IF(O497&lt;='组合输入'!$P4,"B",IF(O497&lt;='组合输入'!$Q4,"CCC","D")))))))</f>
        <v/>
      </c>
      <c r="Q497" s="12">
        <f>IF(P497="","",INDEX('状态价值'!$D4:$K4,MATCH(P497,'状态价值'!$D$1:$K$1,0)))</f>
        <v/>
      </c>
      <c r="R497" s="15">
        <f>NORM.S.INV(RAND())</f>
        <v/>
      </c>
      <c r="S497" s="15">
        <f>IF('组合输入'!$C5="","",'组合输入'!$H5*$B497+SQRT(1-'组合输入'!$H5^2)*R497)</f>
        <v/>
      </c>
      <c r="T497" s="7">
        <f>IF(S497="","",NORM.S.DIST(S497,TRUE))</f>
        <v/>
      </c>
      <c r="U497" s="13">
        <f>IF(T497="","",IF(T497&lt;='组合输入'!$K5,"AAA",IF(T497&lt;='组合输入'!$L5,"AA",IF(T497&lt;='组合输入'!$M5,"A",IF(T497&lt;='组合输入'!$N5,"BBB",IF(T497&lt;='组合输入'!$O5,"BB",IF(T497&lt;='组合输入'!$P5,"B",IF(T497&lt;='组合输入'!$Q5,"CCC","D")))))))</f>
        <v/>
      </c>
      <c r="V497" s="12">
        <f>IF(U497="","",INDEX('状态价值'!$D5:$K5,MATCH(U497,'状态价值'!$D$1:$K$1,0)))</f>
        <v/>
      </c>
      <c r="W497" s="15">
        <f>NORM.S.INV(RAND())</f>
        <v/>
      </c>
      <c r="X497" s="15">
        <f>IF('组合输入'!$C6="","",'组合输入'!$H6*$B497+SQRT(1-'组合输入'!$H6^2)*W497)</f>
        <v/>
      </c>
      <c r="Y497" s="7">
        <f>IF(X497="","",NORM.S.DIST(X497,TRUE))</f>
        <v/>
      </c>
      <c r="Z497" s="13">
        <f>IF(Y497="","",IF(Y497&lt;='组合输入'!$K6,"AAA",IF(Y497&lt;='组合输入'!$L6,"AA",IF(Y497&lt;='组合输入'!$M6,"A",IF(Y497&lt;='组合输入'!$N6,"BBB",IF(Y497&lt;='组合输入'!$O6,"BB",IF(Y497&lt;='组合输入'!$P6,"B",IF(Y497&lt;='组合输入'!$Q6,"CCC","D")))))))</f>
        <v/>
      </c>
      <c r="AA497" s="12">
        <f>IF(Z497="","",INDEX('状态价值'!$D6:$K6,MATCH(Z497,'状态价值'!$D$1:$K$1,0)))</f>
        <v/>
      </c>
      <c r="AB497" s="15">
        <f>NORM.S.INV(RAND())</f>
        <v/>
      </c>
      <c r="AC497" s="15">
        <f>IF('组合输入'!$C7="","",'组合输入'!$H7*$B497+SQRT(1-'组合输入'!$H7^2)*AB497)</f>
        <v/>
      </c>
      <c r="AD497" s="7">
        <f>IF(AC497="","",NORM.S.DIST(AC497,TRUE))</f>
        <v/>
      </c>
      <c r="AE497" s="13">
        <f>IF(AD497="","",IF(AD497&lt;='组合输入'!$K7,"AAA",IF(AD497&lt;='组合输入'!$L7,"AA",IF(AD497&lt;='组合输入'!$M7,"A",IF(AD497&lt;='组合输入'!$N7,"BBB",IF(AD497&lt;='组合输入'!$O7,"BB",IF(AD497&lt;='组合输入'!$P7,"B",IF(AD497&lt;='组合输入'!$Q7,"CCC","D")))))))</f>
        <v/>
      </c>
      <c r="AF497" s="12">
        <f>IF(AE497="","",INDEX('状态价值'!$D7:$K7,MATCH(AE497,'状态价值'!$D$1:$K$1,0)))</f>
        <v/>
      </c>
      <c r="AG497" s="15">
        <f>NORM.S.INV(RAND())</f>
        <v/>
      </c>
      <c r="AH497" s="15">
        <f>IF('组合输入'!$C8="","",'组合输入'!$H8*$B497+SQRT(1-'组合输入'!$H8^2)*AG497)</f>
        <v/>
      </c>
      <c r="AI497" s="7">
        <f>IF(AH497="","",NORM.S.DIST(AH497,TRUE))</f>
        <v/>
      </c>
      <c r="AJ497" s="13">
        <f>IF(AI497="","",IF(AI497&lt;='组合输入'!$K8,"AAA",IF(AI497&lt;='组合输入'!$L8,"AA",IF(AI497&lt;='组合输入'!$M8,"A",IF(AI497&lt;='组合输入'!$N8,"BBB",IF(AI497&lt;='组合输入'!$O8,"BB",IF(AI497&lt;='组合输入'!$P8,"B",IF(AI497&lt;='组合输入'!$Q8,"CCC","D")))))))</f>
        <v/>
      </c>
      <c r="AK497" s="12">
        <f>IF(AJ497="","",INDEX('状态价值'!$D8:$K8,MATCH(AJ497,'状态价值'!$D$1:$K$1,0)))</f>
        <v/>
      </c>
      <c r="AL497" s="15">
        <f>NORM.S.INV(RAND())</f>
        <v/>
      </c>
      <c r="AM497" s="15">
        <f>IF('组合输入'!$C9="","",'组合输入'!$H9*$B497+SQRT(1-'组合输入'!$H9^2)*AL497)</f>
        <v/>
      </c>
      <c r="AN497" s="7">
        <f>IF(AM497="","",NORM.S.DIST(AM497,TRUE))</f>
        <v/>
      </c>
      <c r="AO497" s="13">
        <f>IF(AN497="","",IF(AN497&lt;='组合输入'!$K9,"AAA",IF(AN497&lt;='组合输入'!$L9,"AA",IF(AN497&lt;='组合输入'!$M9,"A",IF(AN497&lt;='组合输入'!$N9,"BBB",IF(AN497&lt;='组合输入'!$O9,"BB",IF(AN497&lt;='组合输入'!$P9,"B",IF(AN497&lt;='组合输入'!$Q9,"CCC","D")))))))</f>
        <v/>
      </c>
      <c r="AP497" s="12">
        <f>IF(AO497="","",INDEX('状态价值'!$D9:$K9,MATCH(AO497,'状态价值'!$D$1:$K$1,0)))</f>
        <v/>
      </c>
      <c r="AQ497" s="15">
        <f>NORM.S.INV(RAND())</f>
        <v/>
      </c>
      <c r="AR497" s="15">
        <f>IF('组合输入'!$C10="","",'组合输入'!$H10*$B497+SQRT(1-'组合输入'!$H10^2)*AQ497)</f>
        <v/>
      </c>
      <c r="AS497" s="7">
        <f>IF(AR497="","",NORM.S.DIST(AR497,TRUE))</f>
        <v/>
      </c>
      <c r="AT497" s="13">
        <f>IF(AS497="","",IF(AS497&lt;='组合输入'!$K10,"AAA",IF(AS497&lt;='组合输入'!$L10,"AA",IF(AS497&lt;='组合输入'!$M10,"A",IF(AS497&lt;='组合输入'!$N10,"BBB",IF(AS497&lt;='组合输入'!$O10,"BB",IF(AS497&lt;='组合输入'!$P10,"B",IF(AS497&lt;='组合输入'!$Q10,"CCC","D")))))))</f>
        <v/>
      </c>
      <c r="AU497" s="12">
        <f>IF(AT497="","",INDEX('状态价值'!$D10:$K10,MATCH(AT497,'状态价值'!$D$1:$K$1,0)))</f>
        <v/>
      </c>
      <c r="AV497" s="15">
        <f>NORM.S.INV(RAND())</f>
        <v/>
      </c>
      <c r="AW497" s="15">
        <f>IF('组合输入'!$C11="","",'组合输入'!$H11*$B497+SQRT(1-'组合输入'!$H11^2)*AV497)</f>
        <v/>
      </c>
      <c r="AX497" s="7">
        <f>IF(AW497="","",NORM.S.DIST(AW497,TRUE))</f>
        <v/>
      </c>
      <c r="AY497" s="13">
        <f>IF(AX497="","",IF(AX497&lt;='组合输入'!$K11,"AAA",IF(AX497&lt;='组合输入'!$L11,"AA",IF(AX497&lt;='组合输入'!$M11,"A",IF(AX497&lt;='组合输入'!$N11,"BBB",IF(AX497&lt;='组合输入'!$O11,"BB",IF(AX497&lt;='组合输入'!$P11,"B",IF(AX497&lt;='组合输入'!$Q11,"CCC","D")))))))</f>
        <v/>
      </c>
      <c r="AZ497" s="12">
        <f>IF(AY497="","",INDEX('状态价值'!$D11:$K11,MATCH(AY497,'状态价值'!$D$1:$K$1,0)))</f>
        <v/>
      </c>
      <c r="BA497" s="12">
        <f>G497+L497+Q497+V497+AA497+AF497+AK497+AP497+AU497+AZ497</f>
        <v/>
      </c>
      <c r="BB497" s="12">
        <f>SUM('组合输入'!$J$2:$J$11)-BA497</f>
        <v/>
      </c>
    </row>
    <row r="498">
      <c r="A498" s="11" t="n">
        <v>497</v>
      </c>
      <c r="B498" s="14">
        <f>NORM.S.INV(RAND())</f>
        <v/>
      </c>
      <c r="C498" s="14">
        <f>NORM.S.INV(RAND())</f>
        <v/>
      </c>
      <c r="D498" s="15">
        <f>IF('组合输入'!$C2="","",'组合输入'!$H2*$B498+SQRT(1-'组合输入'!$H2^2)*C498)</f>
        <v/>
      </c>
      <c r="E498" s="7">
        <f>IF(D498="","",NORM.S.DIST(D498,TRUE))</f>
        <v/>
      </c>
      <c r="F498" s="13">
        <f>IF(E498="","",IF(E498&lt;='组合输入'!$K2,"AAA",IF(E498&lt;='组合输入'!$L2,"AA",IF(E498&lt;='组合输入'!$M2,"A",IF(E498&lt;='组合输入'!$N2,"BBB",IF(E498&lt;='组合输入'!$O2,"BB",IF(E498&lt;='组合输入'!$P2,"B",IF(E498&lt;='组合输入'!$Q2,"CCC","D")))))))</f>
        <v/>
      </c>
      <c r="G498" s="12">
        <f>IF(F498="","",INDEX('状态价值'!$D2:$K2,MATCH(F498,'状态价值'!$D$1:$K$1,0)))</f>
        <v/>
      </c>
      <c r="H498" s="15">
        <f>NORM.S.INV(RAND())</f>
        <v/>
      </c>
      <c r="I498" s="15">
        <f>IF('组合输入'!$C3="","",'组合输入'!$H3*$B498+SQRT(1-'组合输入'!$H3^2)*H498)</f>
        <v/>
      </c>
      <c r="J498" s="7">
        <f>IF(I498="","",NORM.S.DIST(I498,TRUE))</f>
        <v/>
      </c>
      <c r="K498" s="13">
        <f>IF(J498="","",IF(J498&lt;='组合输入'!$K3,"AAA",IF(J498&lt;='组合输入'!$L3,"AA",IF(J498&lt;='组合输入'!$M3,"A",IF(J498&lt;='组合输入'!$N3,"BBB",IF(J498&lt;='组合输入'!$O3,"BB",IF(J498&lt;='组合输入'!$P3,"B",IF(J498&lt;='组合输入'!$Q3,"CCC","D")))))))</f>
        <v/>
      </c>
      <c r="L498" s="12">
        <f>IF(K498="","",INDEX('状态价值'!$D3:$K3,MATCH(K498,'状态价值'!$D$1:$K$1,0)))</f>
        <v/>
      </c>
      <c r="M498" s="15">
        <f>NORM.S.INV(RAND())</f>
        <v/>
      </c>
      <c r="N498" s="15">
        <f>IF('组合输入'!$C4="","",'组合输入'!$H4*$B498+SQRT(1-'组合输入'!$H4^2)*M498)</f>
        <v/>
      </c>
      <c r="O498" s="7">
        <f>IF(N498="","",NORM.S.DIST(N498,TRUE))</f>
        <v/>
      </c>
      <c r="P498" s="13">
        <f>IF(O498="","",IF(O498&lt;='组合输入'!$K4,"AAA",IF(O498&lt;='组合输入'!$L4,"AA",IF(O498&lt;='组合输入'!$M4,"A",IF(O498&lt;='组合输入'!$N4,"BBB",IF(O498&lt;='组合输入'!$O4,"BB",IF(O498&lt;='组合输入'!$P4,"B",IF(O498&lt;='组合输入'!$Q4,"CCC","D")))))))</f>
        <v/>
      </c>
      <c r="Q498" s="12">
        <f>IF(P498="","",INDEX('状态价值'!$D4:$K4,MATCH(P498,'状态价值'!$D$1:$K$1,0)))</f>
        <v/>
      </c>
      <c r="R498" s="15">
        <f>NORM.S.INV(RAND())</f>
        <v/>
      </c>
      <c r="S498" s="15">
        <f>IF('组合输入'!$C5="","",'组合输入'!$H5*$B498+SQRT(1-'组合输入'!$H5^2)*R498)</f>
        <v/>
      </c>
      <c r="T498" s="7">
        <f>IF(S498="","",NORM.S.DIST(S498,TRUE))</f>
        <v/>
      </c>
      <c r="U498" s="13">
        <f>IF(T498="","",IF(T498&lt;='组合输入'!$K5,"AAA",IF(T498&lt;='组合输入'!$L5,"AA",IF(T498&lt;='组合输入'!$M5,"A",IF(T498&lt;='组合输入'!$N5,"BBB",IF(T498&lt;='组合输入'!$O5,"BB",IF(T498&lt;='组合输入'!$P5,"B",IF(T498&lt;='组合输入'!$Q5,"CCC","D")))))))</f>
        <v/>
      </c>
      <c r="V498" s="12">
        <f>IF(U498="","",INDEX('状态价值'!$D5:$K5,MATCH(U498,'状态价值'!$D$1:$K$1,0)))</f>
        <v/>
      </c>
      <c r="W498" s="15">
        <f>NORM.S.INV(RAND())</f>
        <v/>
      </c>
      <c r="X498" s="15">
        <f>IF('组合输入'!$C6="","",'组合输入'!$H6*$B498+SQRT(1-'组合输入'!$H6^2)*W498)</f>
        <v/>
      </c>
      <c r="Y498" s="7">
        <f>IF(X498="","",NORM.S.DIST(X498,TRUE))</f>
        <v/>
      </c>
      <c r="Z498" s="13">
        <f>IF(Y498="","",IF(Y498&lt;='组合输入'!$K6,"AAA",IF(Y498&lt;='组合输入'!$L6,"AA",IF(Y498&lt;='组合输入'!$M6,"A",IF(Y498&lt;='组合输入'!$N6,"BBB",IF(Y498&lt;='组合输入'!$O6,"BB",IF(Y498&lt;='组合输入'!$P6,"B",IF(Y498&lt;='组合输入'!$Q6,"CCC","D")))))))</f>
        <v/>
      </c>
      <c r="AA498" s="12">
        <f>IF(Z498="","",INDEX('状态价值'!$D6:$K6,MATCH(Z498,'状态价值'!$D$1:$K$1,0)))</f>
        <v/>
      </c>
      <c r="AB498" s="15">
        <f>NORM.S.INV(RAND())</f>
        <v/>
      </c>
      <c r="AC498" s="15">
        <f>IF('组合输入'!$C7="","",'组合输入'!$H7*$B498+SQRT(1-'组合输入'!$H7^2)*AB498)</f>
        <v/>
      </c>
      <c r="AD498" s="7">
        <f>IF(AC498="","",NORM.S.DIST(AC498,TRUE))</f>
        <v/>
      </c>
      <c r="AE498" s="13">
        <f>IF(AD498="","",IF(AD498&lt;='组合输入'!$K7,"AAA",IF(AD498&lt;='组合输入'!$L7,"AA",IF(AD498&lt;='组合输入'!$M7,"A",IF(AD498&lt;='组合输入'!$N7,"BBB",IF(AD498&lt;='组合输入'!$O7,"BB",IF(AD498&lt;='组合输入'!$P7,"B",IF(AD498&lt;='组合输入'!$Q7,"CCC","D")))))))</f>
        <v/>
      </c>
      <c r="AF498" s="12">
        <f>IF(AE498="","",INDEX('状态价值'!$D7:$K7,MATCH(AE498,'状态价值'!$D$1:$K$1,0)))</f>
        <v/>
      </c>
      <c r="AG498" s="15">
        <f>NORM.S.INV(RAND())</f>
        <v/>
      </c>
      <c r="AH498" s="15">
        <f>IF('组合输入'!$C8="","",'组合输入'!$H8*$B498+SQRT(1-'组合输入'!$H8^2)*AG498)</f>
        <v/>
      </c>
      <c r="AI498" s="7">
        <f>IF(AH498="","",NORM.S.DIST(AH498,TRUE))</f>
        <v/>
      </c>
      <c r="AJ498" s="13">
        <f>IF(AI498="","",IF(AI498&lt;='组合输入'!$K8,"AAA",IF(AI498&lt;='组合输入'!$L8,"AA",IF(AI498&lt;='组合输入'!$M8,"A",IF(AI498&lt;='组合输入'!$N8,"BBB",IF(AI498&lt;='组合输入'!$O8,"BB",IF(AI498&lt;='组合输入'!$P8,"B",IF(AI498&lt;='组合输入'!$Q8,"CCC","D")))))))</f>
        <v/>
      </c>
      <c r="AK498" s="12">
        <f>IF(AJ498="","",INDEX('状态价值'!$D8:$K8,MATCH(AJ498,'状态价值'!$D$1:$K$1,0)))</f>
        <v/>
      </c>
      <c r="AL498" s="15">
        <f>NORM.S.INV(RAND())</f>
        <v/>
      </c>
      <c r="AM498" s="15">
        <f>IF('组合输入'!$C9="","",'组合输入'!$H9*$B498+SQRT(1-'组合输入'!$H9^2)*AL498)</f>
        <v/>
      </c>
      <c r="AN498" s="7">
        <f>IF(AM498="","",NORM.S.DIST(AM498,TRUE))</f>
        <v/>
      </c>
      <c r="AO498" s="13">
        <f>IF(AN498="","",IF(AN498&lt;='组合输入'!$K9,"AAA",IF(AN498&lt;='组合输入'!$L9,"AA",IF(AN498&lt;='组合输入'!$M9,"A",IF(AN498&lt;='组合输入'!$N9,"BBB",IF(AN498&lt;='组合输入'!$O9,"BB",IF(AN498&lt;='组合输入'!$P9,"B",IF(AN498&lt;='组合输入'!$Q9,"CCC","D")))))))</f>
        <v/>
      </c>
      <c r="AP498" s="12">
        <f>IF(AO498="","",INDEX('状态价值'!$D9:$K9,MATCH(AO498,'状态价值'!$D$1:$K$1,0)))</f>
        <v/>
      </c>
      <c r="AQ498" s="15">
        <f>NORM.S.INV(RAND())</f>
        <v/>
      </c>
      <c r="AR498" s="15">
        <f>IF('组合输入'!$C10="","",'组合输入'!$H10*$B498+SQRT(1-'组合输入'!$H10^2)*AQ498)</f>
        <v/>
      </c>
      <c r="AS498" s="7">
        <f>IF(AR498="","",NORM.S.DIST(AR498,TRUE))</f>
        <v/>
      </c>
      <c r="AT498" s="13">
        <f>IF(AS498="","",IF(AS498&lt;='组合输入'!$K10,"AAA",IF(AS498&lt;='组合输入'!$L10,"AA",IF(AS498&lt;='组合输入'!$M10,"A",IF(AS498&lt;='组合输入'!$N10,"BBB",IF(AS498&lt;='组合输入'!$O10,"BB",IF(AS498&lt;='组合输入'!$P10,"B",IF(AS498&lt;='组合输入'!$Q10,"CCC","D")))))))</f>
        <v/>
      </c>
      <c r="AU498" s="12">
        <f>IF(AT498="","",INDEX('状态价值'!$D10:$K10,MATCH(AT498,'状态价值'!$D$1:$K$1,0)))</f>
        <v/>
      </c>
      <c r="AV498" s="15">
        <f>NORM.S.INV(RAND())</f>
        <v/>
      </c>
      <c r="AW498" s="15">
        <f>IF('组合输入'!$C11="","",'组合输入'!$H11*$B498+SQRT(1-'组合输入'!$H11^2)*AV498)</f>
        <v/>
      </c>
      <c r="AX498" s="7">
        <f>IF(AW498="","",NORM.S.DIST(AW498,TRUE))</f>
        <v/>
      </c>
      <c r="AY498" s="13">
        <f>IF(AX498="","",IF(AX498&lt;='组合输入'!$K11,"AAA",IF(AX498&lt;='组合输入'!$L11,"AA",IF(AX498&lt;='组合输入'!$M11,"A",IF(AX498&lt;='组合输入'!$N11,"BBB",IF(AX498&lt;='组合输入'!$O11,"BB",IF(AX498&lt;='组合输入'!$P11,"B",IF(AX498&lt;='组合输入'!$Q11,"CCC","D")))))))</f>
        <v/>
      </c>
      <c r="AZ498" s="12">
        <f>IF(AY498="","",INDEX('状态价值'!$D11:$K11,MATCH(AY498,'状态价值'!$D$1:$K$1,0)))</f>
        <v/>
      </c>
      <c r="BA498" s="12">
        <f>G498+L498+Q498+V498+AA498+AF498+AK498+AP498+AU498+AZ498</f>
        <v/>
      </c>
      <c r="BB498" s="12">
        <f>SUM('组合输入'!$J$2:$J$11)-BA498</f>
        <v/>
      </c>
    </row>
    <row r="499">
      <c r="A499" s="11" t="n">
        <v>498</v>
      </c>
      <c r="B499" s="14">
        <f>NORM.S.INV(RAND())</f>
        <v/>
      </c>
      <c r="C499" s="14">
        <f>NORM.S.INV(RAND())</f>
        <v/>
      </c>
      <c r="D499" s="15">
        <f>IF('组合输入'!$C2="","",'组合输入'!$H2*$B499+SQRT(1-'组合输入'!$H2^2)*C499)</f>
        <v/>
      </c>
      <c r="E499" s="7">
        <f>IF(D499="","",NORM.S.DIST(D499,TRUE))</f>
        <v/>
      </c>
      <c r="F499" s="13">
        <f>IF(E499="","",IF(E499&lt;='组合输入'!$K2,"AAA",IF(E499&lt;='组合输入'!$L2,"AA",IF(E499&lt;='组合输入'!$M2,"A",IF(E499&lt;='组合输入'!$N2,"BBB",IF(E499&lt;='组合输入'!$O2,"BB",IF(E499&lt;='组合输入'!$P2,"B",IF(E499&lt;='组合输入'!$Q2,"CCC","D")))))))</f>
        <v/>
      </c>
      <c r="G499" s="12">
        <f>IF(F499="","",INDEX('状态价值'!$D2:$K2,MATCH(F499,'状态价值'!$D$1:$K$1,0)))</f>
        <v/>
      </c>
      <c r="H499" s="15">
        <f>NORM.S.INV(RAND())</f>
        <v/>
      </c>
      <c r="I499" s="15">
        <f>IF('组合输入'!$C3="","",'组合输入'!$H3*$B499+SQRT(1-'组合输入'!$H3^2)*H499)</f>
        <v/>
      </c>
      <c r="J499" s="7">
        <f>IF(I499="","",NORM.S.DIST(I499,TRUE))</f>
        <v/>
      </c>
      <c r="K499" s="13">
        <f>IF(J499="","",IF(J499&lt;='组合输入'!$K3,"AAA",IF(J499&lt;='组合输入'!$L3,"AA",IF(J499&lt;='组合输入'!$M3,"A",IF(J499&lt;='组合输入'!$N3,"BBB",IF(J499&lt;='组合输入'!$O3,"BB",IF(J499&lt;='组合输入'!$P3,"B",IF(J499&lt;='组合输入'!$Q3,"CCC","D")))))))</f>
        <v/>
      </c>
      <c r="L499" s="12">
        <f>IF(K499="","",INDEX('状态价值'!$D3:$K3,MATCH(K499,'状态价值'!$D$1:$K$1,0)))</f>
        <v/>
      </c>
      <c r="M499" s="15">
        <f>NORM.S.INV(RAND())</f>
        <v/>
      </c>
      <c r="N499" s="15">
        <f>IF('组合输入'!$C4="","",'组合输入'!$H4*$B499+SQRT(1-'组合输入'!$H4^2)*M499)</f>
        <v/>
      </c>
      <c r="O499" s="7">
        <f>IF(N499="","",NORM.S.DIST(N499,TRUE))</f>
        <v/>
      </c>
      <c r="P499" s="13">
        <f>IF(O499="","",IF(O499&lt;='组合输入'!$K4,"AAA",IF(O499&lt;='组合输入'!$L4,"AA",IF(O499&lt;='组合输入'!$M4,"A",IF(O499&lt;='组合输入'!$N4,"BBB",IF(O499&lt;='组合输入'!$O4,"BB",IF(O499&lt;='组合输入'!$P4,"B",IF(O499&lt;='组合输入'!$Q4,"CCC","D")))))))</f>
        <v/>
      </c>
      <c r="Q499" s="12">
        <f>IF(P499="","",INDEX('状态价值'!$D4:$K4,MATCH(P499,'状态价值'!$D$1:$K$1,0)))</f>
        <v/>
      </c>
      <c r="R499" s="15">
        <f>NORM.S.INV(RAND())</f>
        <v/>
      </c>
      <c r="S499" s="15">
        <f>IF('组合输入'!$C5="","",'组合输入'!$H5*$B499+SQRT(1-'组合输入'!$H5^2)*R499)</f>
        <v/>
      </c>
      <c r="T499" s="7">
        <f>IF(S499="","",NORM.S.DIST(S499,TRUE))</f>
        <v/>
      </c>
      <c r="U499" s="13">
        <f>IF(T499="","",IF(T499&lt;='组合输入'!$K5,"AAA",IF(T499&lt;='组合输入'!$L5,"AA",IF(T499&lt;='组合输入'!$M5,"A",IF(T499&lt;='组合输入'!$N5,"BBB",IF(T499&lt;='组合输入'!$O5,"BB",IF(T499&lt;='组合输入'!$P5,"B",IF(T499&lt;='组合输入'!$Q5,"CCC","D")))))))</f>
        <v/>
      </c>
      <c r="V499" s="12">
        <f>IF(U499="","",INDEX('状态价值'!$D5:$K5,MATCH(U499,'状态价值'!$D$1:$K$1,0)))</f>
        <v/>
      </c>
      <c r="W499" s="15">
        <f>NORM.S.INV(RAND())</f>
        <v/>
      </c>
      <c r="X499" s="15">
        <f>IF('组合输入'!$C6="","",'组合输入'!$H6*$B499+SQRT(1-'组合输入'!$H6^2)*W499)</f>
        <v/>
      </c>
      <c r="Y499" s="7">
        <f>IF(X499="","",NORM.S.DIST(X499,TRUE))</f>
        <v/>
      </c>
      <c r="Z499" s="13">
        <f>IF(Y499="","",IF(Y499&lt;='组合输入'!$K6,"AAA",IF(Y499&lt;='组合输入'!$L6,"AA",IF(Y499&lt;='组合输入'!$M6,"A",IF(Y499&lt;='组合输入'!$N6,"BBB",IF(Y499&lt;='组合输入'!$O6,"BB",IF(Y499&lt;='组合输入'!$P6,"B",IF(Y499&lt;='组合输入'!$Q6,"CCC","D")))))))</f>
        <v/>
      </c>
      <c r="AA499" s="12">
        <f>IF(Z499="","",INDEX('状态价值'!$D6:$K6,MATCH(Z499,'状态价值'!$D$1:$K$1,0)))</f>
        <v/>
      </c>
      <c r="AB499" s="15">
        <f>NORM.S.INV(RAND())</f>
        <v/>
      </c>
      <c r="AC499" s="15">
        <f>IF('组合输入'!$C7="","",'组合输入'!$H7*$B499+SQRT(1-'组合输入'!$H7^2)*AB499)</f>
        <v/>
      </c>
      <c r="AD499" s="7">
        <f>IF(AC499="","",NORM.S.DIST(AC499,TRUE))</f>
        <v/>
      </c>
      <c r="AE499" s="13">
        <f>IF(AD499="","",IF(AD499&lt;='组合输入'!$K7,"AAA",IF(AD499&lt;='组合输入'!$L7,"AA",IF(AD499&lt;='组合输入'!$M7,"A",IF(AD499&lt;='组合输入'!$N7,"BBB",IF(AD499&lt;='组合输入'!$O7,"BB",IF(AD499&lt;='组合输入'!$P7,"B",IF(AD499&lt;='组合输入'!$Q7,"CCC","D")))))))</f>
        <v/>
      </c>
      <c r="AF499" s="12">
        <f>IF(AE499="","",INDEX('状态价值'!$D7:$K7,MATCH(AE499,'状态价值'!$D$1:$K$1,0)))</f>
        <v/>
      </c>
      <c r="AG499" s="15">
        <f>NORM.S.INV(RAND())</f>
        <v/>
      </c>
      <c r="AH499" s="15">
        <f>IF('组合输入'!$C8="","",'组合输入'!$H8*$B499+SQRT(1-'组合输入'!$H8^2)*AG499)</f>
        <v/>
      </c>
      <c r="AI499" s="7">
        <f>IF(AH499="","",NORM.S.DIST(AH499,TRUE))</f>
        <v/>
      </c>
      <c r="AJ499" s="13">
        <f>IF(AI499="","",IF(AI499&lt;='组合输入'!$K8,"AAA",IF(AI499&lt;='组合输入'!$L8,"AA",IF(AI499&lt;='组合输入'!$M8,"A",IF(AI499&lt;='组合输入'!$N8,"BBB",IF(AI499&lt;='组合输入'!$O8,"BB",IF(AI499&lt;='组合输入'!$P8,"B",IF(AI499&lt;='组合输入'!$Q8,"CCC","D")))))))</f>
        <v/>
      </c>
      <c r="AK499" s="12">
        <f>IF(AJ499="","",INDEX('状态价值'!$D8:$K8,MATCH(AJ499,'状态价值'!$D$1:$K$1,0)))</f>
        <v/>
      </c>
      <c r="AL499" s="15">
        <f>NORM.S.INV(RAND())</f>
        <v/>
      </c>
      <c r="AM499" s="15">
        <f>IF('组合输入'!$C9="","",'组合输入'!$H9*$B499+SQRT(1-'组合输入'!$H9^2)*AL499)</f>
        <v/>
      </c>
      <c r="AN499" s="7">
        <f>IF(AM499="","",NORM.S.DIST(AM499,TRUE))</f>
        <v/>
      </c>
      <c r="AO499" s="13">
        <f>IF(AN499="","",IF(AN499&lt;='组合输入'!$K9,"AAA",IF(AN499&lt;='组合输入'!$L9,"AA",IF(AN499&lt;='组合输入'!$M9,"A",IF(AN499&lt;='组合输入'!$N9,"BBB",IF(AN499&lt;='组合输入'!$O9,"BB",IF(AN499&lt;='组合输入'!$P9,"B",IF(AN499&lt;='组合输入'!$Q9,"CCC","D")))))))</f>
        <v/>
      </c>
      <c r="AP499" s="12">
        <f>IF(AO499="","",INDEX('状态价值'!$D9:$K9,MATCH(AO499,'状态价值'!$D$1:$K$1,0)))</f>
        <v/>
      </c>
      <c r="AQ499" s="15">
        <f>NORM.S.INV(RAND())</f>
        <v/>
      </c>
      <c r="AR499" s="15">
        <f>IF('组合输入'!$C10="","",'组合输入'!$H10*$B499+SQRT(1-'组合输入'!$H10^2)*AQ499)</f>
        <v/>
      </c>
      <c r="AS499" s="7">
        <f>IF(AR499="","",NORM.S.DIST(AR499,TRUE))</f>
        <v/>
      </c>
      <c r="AT499" s="13">
        <f>IF(AS499="","",IF(AS499&lt;='组合输入'!$K10,"AAA",IF(AS499&lt;='组合输入'!$L10,"AA",IF(AS499&lt;='组合输入'!$M10,"A",IF(AS499&lt;='组合输入'!$N10,"BBB",IF(AS499&lt;='组合输入'!$O10,"BB",IF(AS499&lt;='组合输入'!$P10,"B",IF(AS499&lt;='组合输入'!$Q10,"CCC","D")))))))</f>
        <v/>
      </c>
      <c r="AU499" s="12">
        <f>IF(AT499="","",INDEX('状态价值'!$D10:$K10,MATCH(AT499,'状态价值'!$D$1:$K$1,0)))</f>
        <v/>
      </c>
      <c r="AV499" s="15">
        <f>NORM.S.INV(RAND())</f>
        <v/>
      </c>
      <c r="AW499" s="15">
        <f>IF('组合输入'!$C11="","",'组合输入'!$H11*$B499+SQRT(1-'组合输入'!$H11^2)*AV499)</f>
        <v/>
      </c>
      <c r="AX499" s="7">
        <f>IF(AW499="","",NORM.S.DIST(AW499,TRUE))</f>
        <v/>
      </c>
      <c r="AY499" s="13">
        <f>IF(AX499="","",IF(AX499&lt;='组合输入'!$K11,"AAA",IF(AX499&lt;='组合输入'!$L11,"AA",IF(AX499&lt;='组合输入'!$M11,"A",IF(AX499&lt;='组合输入'!$N11,"BBB",IF(AX499&lt;='组合输入'!$O11,"BB",IF(AX499&lt;='组合输入'!$P11,"B",IF(AX499&lt;='组合输入'!$Q11,"CCC","D")))))))</f>
        <v/>
      </c>
      <c r="AZ499" s="12">
        <f>IF(AY499="","",INDEX('状态价值'!$D11:$K11,MATCH(AY499,'状态价值'!$D$1:$K$1,0)))</f>
        <v/>
      </c>
      <c r="BA499" s="12">
        <f>G499+L499+Q499+V499+AA499+AF499+AK499+AP499+AU499+AZ499</f>
        <v/>
      </c>
      <c r="BB499" s="12">
        <f>SUM('组合输入'!$J$2:$J$11)-BA499</f>
        <v/>
      </c>
    </row>
    <row r="500">
      <c r="A500" s="11" t="n">
        <v>499</v>
      </c>
      <c r="B500" s="14">
        <f>NORM.S.INV(RAND())</f>
        <v/>
      </c>
      <c r="C500" s="14">
        <f>NORM.S.INV(RAND())</f>
        <v/>
      </c>
      <c r="D500" s="15">
        <f>IF('组合输入'!$C2="","",'组合输入'!$H2*$B500+SQRT(1-'组合输入'!$H2^2)*C500)</f>
        <v/>
      </c>
      <c r="E500" s="7">
        <f>IF(D500="","",NORM.S.DIST(D500,TRUE))</f>
        <v/>
      </c>
      <c r="F500" s="13">
        <f>IF(E500="","",IF(E500&lt;='组合输入'!$K2,"AAA",IF(E500&lt;='组合输入'!$L2,"AA",IF(E500&lt;='组合输入'!$M2,"A",IF(E500&lt;='组合输入'!$N2,"BBB",IF(E500&lt;='组合输入'!$O2,"BB",IF(E500&lt;='组合输入'!$P2,"B",IF(E500&lt;='组合输入'!$Q2,"CCC","D")))))))</f>
        <v/>
      </c>
      <c r="G500" s="12">
        <f>IF(F500="","",INDEX('状态价值'!$D2:$K2,MATCH(F500,'状态价值'!$D$1:$K$1,0)))</f>
        <v/>
      </c>
      <c r="H500" s="15">
        <f>NORM.S.INV(RAND())</f>
        <v/>
      </c>
      <c r="I500" s="15">
        <f>IF('组合输入'!$C3="","",'组合输入'!$H3*$B500+SQRT(1-'组合输入'!$H3^2)*H500)</f>
        <v/>
      </c>
      <c r="J500" s="7">
        <f>IF(I500="","",NORM.S.DIST(I500,TRUE))</f>
        <v/>
      </c>
      <c r="K500" s="13">
        <f>IF(J500="","",IF(J500&lt;='组合输入'!$K3,"AAA",IF(J500&lt;='组合输入'!$L3,"AA",IF(J500&lt;='组合输入'!$M3,"A",IF(J500&lt;='组合输入'!$N3,"BBB",IF(J500&lt;='组合输入'!$O3,"BB",IF(J500&lt;='组合输入'!$P3,"B",IF(J500&lt;='组合输入'!$Q3,"CCC","D")))))))</f>
        <v/>
      </c>
      <c r="L500" s="12">
        <f>IF(K500="","",INDEX('状态价值'!$D3:$K3,MATCH(K500,'状态价值'!$D$1:$K$1,0)))</f>
        <v/>
      </c>
      <c r="M500" s="15">
        <f>NORM.S.INV(RAND())</f>
        <v/>
      </c>
      <c r="N500" s="15">
        <f>IF('组合输入'!$C4="","",'组合输入'!$H4*$B500+SQRT(1-'组合输入'!$H4^2)*M500)</f>
        <v/>
      </c>
      <c r="O500" s="7">
        <f>IF(N500="","",NORM.S.DIST(N500,TRUE))</f>
        <v/>
      </c>
      <c r="P500" s="13">
        <f>IF(O500="","",IF(O500&lt;='组合输入'!$K4,"AAA",IF(O500&lt;='组合输入'!$L4,"AA",IF(O500&lt;='组合输入'!$M4,"A",IF(O500&lt;='组合输入'!$N4,"BBB",IF(O500&lt;='组合输入'!$O4,"BB",IF(O500&lt;='组合输入'!$P4,"B",IF(O500&lt;='组合输入'!$Q4,"CCC","D")))))))</f>
        <v/>
      </c>
      <c r="Q500" s="12">
        <f>IF(P500="","",INDEX('状态价值'!$D4:$K4,MATCH(P500,'状态价值'!$D$1:$K$1,0)))</f>
        <v/>
      </c>
      <c r="R500" s="15">
        <f>NORM.S.INV(RAND())</f>
        <v/>
      </c>
      <c r="S500" s="15">
        <f>IF('组合输入'!$C5="","",'组合输入'!$H5*$B500+SQRT(1-'组合输入'!$H5^2)*R500)</f>
        <v/>
      </c>
      <c r="T500" s="7">
        <f>IF(S500="","",NORM.S.DIST(S500,TRUE))</f>
        <v/>
      </c>
      <c r="U500" s="13">
        <f>IF(T500="","",IF(T500&lt;='组合输入'!$K5,"AAA",IF(T500&lt;='组合输入'!$L5,"AA",IF(T500&lt;='组合输入'!$M5,"A",IF(T500&lt;='组合输入'!$N5,"BBB",IF(T500&lt;='组合输入'!$O5,"BB",IF(T500&lt;='组合输入'!$P5,"B",IF(T500&lt;='组合输入'!$Q5,"CCC","D")))))))</f>
        <v/>
      </c>
      <c r="V500" s="12">
        <f>IF(U500="","",INDEX('状态价值'!$D5:$K5,MATCH(U500,'状态价值'!$D$1:$K$1,0)))</f>
        <v/>
      </c>
      <c r="W500" s="15">
        <f>NORM.S.INV(RAND())</f>
        <v/>
      </c>
      <c r="X500" s="15">
        <f>IF('组合输入'!$C6="","",'组合输入'!$H6*$B500+SQRT(1-'组合输入'!$H6^2)*W500)</f>
        <v/>
      </c>
      <c r="Y500" s="7">
        <f>IF(X500="","",NORM.S.DIST(X500,TRUE))</f>
        <v/>
      </c>
      <c r="Z500" s="13">
        <f>IF(Y500="","",IF(Y500&lt;='组合输入'!$K6,"AAA",IF(Y500&lt;='组合输入'!$L6,"AA",IF(Y500&lt;='组合输入'!$M6,"A",IF(Y500&lt;='组合输入'!$N6,"BBB",IF(Y500&lt;='组合输入'!$O6,"BB",IF(Y500&lt;='组合输入'!$P6,"B",IF(Y500&lt;='组合输入'!$Q6,"CCC","D")))))))</f>
        <v/>
      </c>
      <c r="AA500" s="12">
        <f>IF(Z500="","",INDEX('状态价值'!$D6:$K6,MATCH(Z500,'状态价值'!$D$1:$K$1,0)))</f>
        <v/>
      </c>
      <c r="AB500" s="15">
        <f>NORM.S.INV(RAND())</f>
        <v/>
      </c>
      <c r="AC500" s="15">
        <f>IF('组合输入'!$C7="","",'组合输入'!$H7*$B500+SQRT(1-'组合输入'!$H7^2)*AB500)</f>
        <v/>
      </c>
      <c r="AD500" s="7">
        <f>IF(AC500="","",NORM.S.DIST(AC500,TRUE))</f>
        <v/>
      </c>
      <c r="AE500" s="13">
        <f>IF(AD500="","",IF(AD500&lt;='组合输入'!$K7,"AAA",IF(AD500&lt;='组合输入'!$L7,"AA",IF(AD500&lt;='组合输入'!$M7,"A",IF(AD500&lt;='组合输入'!$N7,"BBB",IF(AD500&lt;='组合输入'!$O7,"BB",IF(AD500&lt;='组合输入'!$P7,"B",IF(AD500&lt;='组合输入'!$Q7,"CCC","D")))))))</f>
        <v/>
      </c>
      <c r="AF500" s="12">
        <f>IF(AE500="","",INDEX('状态价值'!$D7:$K7,MATCH(AE500,'状态价值'!$D$1:$K$1,0)))</f>
        <v/>
      </c>
      <c r="AG500" s="15">
        <f>NORM.S.INV(RAND())</f>
        <v/>
      </c>
      <c r="AH500" s="15">
        <f>IF('组合输入'!$C8="","",'组合输入'!$H8*$B500+SQRT(1-'组合输入'!$H8^2)*AG500)</f>
        <v/>
      </c>
      <c r="AI500" s="7">
        <f>IF(AH500="","",NORM.S.DIST(AH500,TRUE))</f>
        <v/>
      </c>
      <c r="AJ500" s="13">
        <f>IF(AI500="","",IF(AI500&lt;='组合输入'!$K8,"AAA",IF(AI500&lt;='组合输入'!$L8,"AA",IF(AI500&lt;='组合输入'!$M8,"A",IF(AI500&lt;='组合输入'!$N8,"BBB",IF(AI500&lt;='组合输入'!$O8,"BB",IF(AI500&lt;='组合输入'!$P8,"B",IF(AI500&lt;='组合输入'!$Q8,"CCC","D")))))))</f>
        <v/>
      </c>
      <c r="AK500" s="12">
        <f>IF(AJ500="","",INDEX('状态价值'!$D8:$K8,MATCH(AJ500,'状态价值'!$D$1:$K$1,0)))</f>
        <v/>
      </c>
      <c r="AL500" s="15">
        <f>NORM.S.INV(RAND())</f>
        <v/>
      </c>
      <c r="AM500" s="15">
        <f>IF('组合输入'!$C9="","",'组合输入'!$H9*$B500+SQRT(1-'组合输入'!$H9^2)*AL500)</f>
        <v/>
      </c>
      <c r="AN500" s="7">
        <f>IF(AM500="","",NORM.S.DIST(AM500,TRUE))</f>
        <v/>
      </c>
      <c r="AO500" s="13">
        <f>IF(AN500="","",IF(AN500&lt;='组合输入'!$K9,"AAA",IF(AN500&lt;='组合输入'!$L9,"AA",IF(AN500&lt;='组合输入'!$M9,"A",IF(AN500&lt;='组合输入'!$N9,"BBB",IF(AN500&lt;='组合输入'!$O9,"BB",IF(AN500&lt;='组合输入'!$P9,"B",IF(AN500&lt;='组合输入'!$Q9,"CCC","D")))))))</f>
        <v/>
      </c>
      <c r="AP500" s="12">
        <f>IF(AO500="","",INDEX('状态价值'!$D9:$K9,MATCH(AO500,'状态价值'!$D$1:$K$1,0)))</f>
        <v/>
      </c>
      <c r="AQ500" s="15">
        <f>NORM.S.INV(RAND())</f>
        <v/>
      </c>
      <c r="AR500" s="15">
        <f>IF('组合输入'!$C10="","",'组合输入'!$H10*$B500+SQRT(1-'组合输入'!$H10^2)*AQ500)</f>
        <v/>
      </c>
      <c r="AS500" s="7">
        <f>IF(AR500="","",NORM.S.DIST(AR500,TRUE))</f>
        <v/>
      </c>
      <c r="AT500" s="13">
        <f>IF(AS500="","",IF(AS500&lt;='组合输入'!$K10,"AAA",IF(AS500&lt;='组合输入'!$L10,"AA",IF(AS500&lt;='组合输入'!$M10,"A",IF(AS500&lt;='组合输入'!$N10,"BBB",IF(AS500&lt;='组合输入'!$O10,"BB",IF(AS500&lt;='组合输入'!$P10,"B",IF(AS500&lt;='组合输入'!$Q10,"CCC","D")))))))</f>
        <v/>
      </c>
      <c r="AU500" s="12">
        <f>IF(AT500="","",INDEX('状态价值'!$D10:$K10,MATCH(AT500,'状态价值'!$D$1:$K$1,0)))</f>
        <v/>
      </c>
      <c r="AV500" s="15">
        <f>NORM.S.INV(RAND())</f>
        <v/>
      </c>
      <c r="AW500" s="15">
        <f>IF('组合输入'!$C11="","",'组合输入'!$H11*$B500+SQRT(1-'组合输入'!$H11^2)*AV500)</f>
        <v/>
      </c>
      <c r="AX500" s="7">
        <f>IF(AW500="","",NORM.S.DIST(AW500,TRUE))</f>
        <v/>
      </c>
      <c r="AY500" s="13">
        <f>IF(AX500="","",IF(AX500&lt;='组合输入'!$K11,"AAA",IF(AX500&lt;='组合输入'!$L11,"AA",IF(AX500&lt;='组合输入'!$M11,"A",IF(AX500&lt;='组合输入'!$N11,"BBB",IF(AX500&lt;='组合输入'!$O11,"BB",IF(AX500&lt;='组合输入'!$P11,"B",IF(AX500&lt;='组合输入'!$Q11,"CCC","D")))))))</f>
        <v/>
      </c>
      <c r="AZ500" s="12">
        <f>IF(AY500="","",INDEX('状态价值'!$D11:$K11,MATCH(AY500,'状态价值'!$D$1:$K$1,0)))</f>
        <v/>
      </c>
      <c r="BA500" s="12">
        <f>G500+L500+Q500+V500+AA500+AF500+AK500+AP500+AU500+AZ500</f>
        <v/>
      </c>
      <c r="BB500" s="12">
        <f>SUM('组合输入'!$J$2:$J$11)-BA500</f>
        <v/>
      </c>
    </row>
    <row r="501">
      <c r="A501" s="11" t="n">
        <v>500</v>
      </c>
      <c r="B501" s="14">
        <f>NORM.S.INV(RAND())</f>
        <v/>
      </c>
      <c r="C501" s="14">
        <f>NORM.S.INV(RAND())</f>
        <v/>
      </c>
      <c r="D501" s="15">
        <f>IF('组合输入'!$C2="","",'组合输入'!$H2*$B501+SQRT(1-'组合输入'!$H2^2)*C501)</f>
        <v/>
      </c>
      <c r="E501" s="7">
        <f>IF(D501="","",NORM.S.DIST(D501,TRUE))</f>
        <v/>
      </c>
      <c r="F501" s="13">
        <f>IF(E501="","",IF(E501&lt;='组合输入'!$K2,"AAA",IF(E501&lt;='组合输入'!$L2,"AA",IF(E501&lt;='组合输入'!$M2,"A",IF(E501&lt;='组合输入'!$N2,"BBB",IF(E501&lt;='组合输入'!$O2,"BB",IF(E501&lt;='组合输入'!$P2,"B",IF(E501&lt;='组合输入'!$Q2,"CCC","D")))))))</f>
        <v/>
      </c>
      <c r="G501" s="12">
        <f>IF(F501="","",INDEX('状态价值'!$D2:$K2,MATCH(F501,'状态价值'!$D$1:$K$1,0)))</f>
        <v/>
      </c>
      <c r="H501" s="15">
        <f>NORM.S.INV(RAND())</f>
        <v/>
      </c>
      <c r="I501" s="15">
        <f>IF('组合输入'!$C3="","",'组合输入'!$H3*$B501+SQRT(1-'组合输入'!$H3^2)*H501)</f>
        <v/>
      </c>
      <c r="J501" s="7">
        <f>IF(I501="","",NORM.S.DIST(I501,TRUE))</f>
        <v/>
      </c>
      <c r="K501" s="13">
        <f>IF(J501="","",IF(J501&lt;='组合输入'!$K3,"AAA",IF(J501&lt;='组合输入'!$L3,"AA",IF(J501&lt;='组合输入'!$M3,"A",IF(J501&lt;='组合输入'!$N3,"BBB",IF(J501&lt;='组合输入'!$O3,"BB",IF(J501&lt;='组合输入'!$P3,"B",IF(J501&lt;='组合输入'!$Q3,"CCC","D")))))))</f>
        <v/>
      </c>
      <c r="L501" s="12">
        <f>IF(K501="","",INDEX('状态价值'!$D3:$K3,MATCH(K501,'状态价值'!$D$1:$K$1,0)))</f>
        <v/>
      </c>
      <c r="M501" s="15">
        <f>NORM.S.INV(RAND())</f>
        <v/>
      </c>
      <c r="N501" s="15">
        <f>IF('组合输入'!$C4="","",'组合输入'!$H4*$B501+SQRT(1-'组合输入'!$H4^2)*M501)</f>
        <v/>
      </c>
      <c r="O501" s="7">
        <f>IF(N501="","",NORM.S.DIST(N501,TRUE))</f>
        <v/>
      </c>
      <c r="P501" s="13">
        <f>IF(O501="","",IF(O501&lt;='组合输入'!$K4,"AAA",IF(O501&lt;='组合输入'!$L4,"AA",IF(O501&lt;='组合输入'!$M4,"A",IF(O501&lt;='组合输入'!$N4,"BBB",IF(O501&lt;='组合输入'!$O4,"BB",IF(O501&lt;='组合输入'!$P4,"B",IF(O501&lt;='组合输入'!$Q4,"CCC","D")))))))</f>
        <v/>
      </c>
      <c r="Q501" s="12">
        <f>IF(P501="","",INDEX('状态价值'!$D4:$K4,MATCH(P501,'状态价值'!$D$1:$K$1,0)))</f>
        <v/>
      </c>
      <c r="R501" s="15">
        <f>NORM.S.INV(RAND())</f>
        <v/>
      </c>
      <c r="S501" s="15">
        <f>IF('组合输入'!$C5="","",'组合输入'!$H5*$B501+SQRT(1-'组合输入'!$H5^2)*R501)</f>
        <v/>
      </c>
      <c r="T501" s="7">
        <f>IF(S501="","",NORM.S.DIST(S501,TRUE))</f>
        <v/>
      </c>
      <c r="U501" s="13">
        <f>IF(T501="","",IF(T501&lt;='组合输入'!$K5,"AAA",IF(T501&lt;='组合输入'!$L5,"AA",IF(T501&lt;='组合输入'!$M5,"A",IF(T501&lt;='组合输入'!$N5,"BBB",IF(T501&lt;='组合输入'!$O5,"BB",IF(T501&lt;='组合输入'!$P5,"B",IF(T501&lt;='组合输入'!$Q5,"CCC","D")))))))</f>
        <v/>
      </c>
      <c r="V501" s="12">
        <f>IF(U501="","",INDEX('状态价值'!$D5:$K5,MATCH(U501,'状态价值'!$D$1:$K$1,0)))</f>
        <v/>
      </c>
      <c r="W501" s="15">
        <f>NORM.S.INV(RAND())</f>
        <v/>
      </c>
      <c r="X501" s="15">
        <f>IF('组合输入'!$C6="","",'组合输入'!$H6*$B501+SQRT(1-'组合输入'!$H6^2)*W501)</f>
        <v/>
      </c>
      <c r="Y501" s="7">
        <f>IF(X501="","",NORM.S.DIST(X501,TRUE))</f>
        <v/>
      </c>
      <c r="Z501" s="13">
        <f>IF(Y501="","",IF(Y501&lt;='组合输入'!$K6,"AAA",IF(Y501&lt;='组合输入'!$L6,"AA",IF(Y501&lt;='组合输入'!$M6,"A",IF(Y501&lt;='组合输入'!$N6,"BBB",IF(Y501&lt;='组合输入'!$O6,"BB",IF(Y501&lt;='组合输入'!$P6,"B",IF(Y501&lt;='组合输入'!$Q6,"CCC","D")))))))</f>
        <v/>
      </c>
      <c r="AA501" s="12">
        <f>IF(Z501="","",INDEX('状态价值'!$D6:$K6,MATCH(Z501,'状态价值'!$D$1:$K$1,0)))</f>
        <v/>
      </c>
      <c r="AB501" s="15">
        <f>NORM.S.INV(RAND())</f>
        <v/>
      </c>
      <c r="AC501" s="15">
        <f>IF('组合输入'!$C7="","",'组合输入'!$H7*$B501+SQRT(1-'组合输入'!$H7^2)*AB501)</f>
        <v/>
      </c>
      <c r="AD501" s="7">
        <f>IF(AC501="","",NORM.S.DIST(AC501,TRUE))</f>
        <v/>
      </c>
      <c r="AE501" s="13">
        <f>IF(AD501="","",IF(AD501&lt;='组合输入'!$K7,"AAA",IF(AD501&lt;='组合输入'!$L7,"AA",IF(AD501&lt;='组合输入'!$M7,"A",IF(AD501&lt;='组合输入'!$N7,"BBB",IF(AD501&lt;='组合输入'!$O7,"BB",IF(AD501&lt;='组合输入'!$P7,"B",IF(AD501&lt;='组合输入'!$Q7,"CCC","D")))))))</f>
        <v/>
      </c>
      <c r="AF501" s="12">
        <f>IF(AE501="","",INDEX('状态价值'!$D7:$K7,MATCH(AE501,'状态价值'!$D$1:$K$1,0)))</f>
        <v/>
      </c>
      <c r="AG501" s="15">
        <f>NORM.S.INV(RAND())</f>
        <v/>
      </c>
      <c r="AH501" s="15">
        <f>IF('组合输入'!$C8="","",'组合输入'!$H8*$B501+SQRT(1-'组合输入'!$H8^2)*AG501)</f>
        <v/>
      </c>
      <c r="AI501" s="7">
        <f>IF(AH501="","",NORM.S.DIST(AH501,TRUE))</f>
        <v/>
      </c>
      <c r="AJ501" s="13">
        <f>IF(AI501="","",IF(AI501&lt;='组合输入'!$K8,"AAA",IF(AI501&lt;='组合输入'!$L8,"AA",IF(AI501&lt;='组合输入'!$M8,"A",IF(AI501&lt;='组合输入'!$N8,"BBB",IF(AI501&lt;='组合输入'!$O8,"BB",IF(AI501&lt;='组合输入'!$P8,"B",IF(AI501&lt;='组合输入'!$Q8,"CCC","D")))))))</f>
        <v/>
      </c>
      <c r="AK501" s="12">
        <f>IF(AJ501="","",INDEX('状态价值'!$D8:$K8,MATCH(AJ501,'状态价值'!$D$1:$K$1,0)))</f>
        <v/>
      </c>
      <c r="AL501" s="15">
        <f>NORM.S.INV(RAND())</f>
        <v/>
      </c>
      <c r="AM501" s="15">
        <f>IF('组合输入'!$C9="","",'组合输入'!$H9*$B501+SQRT(1-'组合输入'!$H9^2)*AL501)</f>
        <v/>
      </c>
      <c r="AN501" s="7">
        <f>IF(AM501="","",NORM.S.DIST(AM501,TRUE))</f>
        <v/>
      </c>
      <c r="AO501" s="13">
        <f>IF(AN501="","",IF(AN501&lt;='组合输入'!$K9,"AAA",IF(AN501&lt;='组合输入'!$L9,"AA",IF(AN501&lt;='组合输入'!$M9,"A",IF(AN501&lt;='组合输入'!$N9,"BBB",IF(AN501&lt;='组合输入'!$O9,"BB",IF(AN501&lt;='组合输入'!$P9,"B",IF(AN501&lt;='组合输入'!$Q9,"CCC","D")))))))</f>
        <v/>
      </c>
      <c r="AP501" s="12">
        <f>IF(AO501="","",INDEX('状态价值'!$D9:$K9,MATCH(AO501,'状态价值'!$D$1:$K$1,0)))</f>
        <v/>
      </c>
      <c r="AQ501" s="15">
        <f>NORM.S.INV(RAND())</f>
        <v/>
      </c>
      <c r="AR501" s="15">
        <f>IF('组合输入'!$C10="","",'组合输入'!$H10*$B501+SQRT(1-'组合输入'!$H10^2)*AQ501)</f>
        <v/>
      </c>
      <c r="AS501" s="7">
        <f>IF(AR501="","",NORM.S.DIST(AR501,TRUE))</f>
        <v/>
      </c>
      <c r="AT501" s="13">
        <f>IF(AS501="","",IF(AS501&lt;='组合输入'!$K10,"AAA",IF(AS501&lt;='组合输入'!$L10,"AA",IF(AS501&lt;='组合输入'!$M10,"A",IF(AS501&lt;='组合输入'!$N10,"BBB",IF(AS501&lt;='组合输入'!$O10,"BB",IF(AS501&lt;='组合输入'!$P10,"B",IF(AS501&lt;='组合输入'!$Q10,"CCC","D")))))))</f>
        <v/>
      </c>
      <c r="AU501" s="12">
        <f>IF(AT501="","",INDEX('状态价值'!$D10:$K10,MATCH(AT501,'状态价值'!$D$1:$K$1,0)))</f>
        <v/>
      </c>
      <c r="AV501" s="15">
        <f>NORM.S.INV(RAND())</f>
        <v/>
      </c>
      <c r="AW501" s="15">
        <f>IF('组合输入'!$C11="","",'组合输入'!$H11*$B501+SQRT(1-'组合输入'!$H11^2)*AV501)</f>
        <v/>
      </c>
      <c r="AX501" s="7">
        <f>IF(AW501="","",NORM.S.DIST(AW501,TRUE))</f>
        <v/>
      </c>
      <c r="AY501" s="13">
        <f>IF(AX501="","",IF(AX501&lt;='组合输入'!$K11,"AAA",IF(AX501&lt;='组合输入'!$L11,"AA",IF(AX501&lt;='组合输入'!$M11,"A",IF(AX501&lt;='组合输入'!$N11,"BBB",IF(AX501&lt;='组合输入'!$O11,"BB",IF(AX501&lt;='组合输入'!$P11,"B",IF(AX501&lt;='组合输入'!$Q11,"CCC","D")))))))</f>
        <v/>
      </c>
      <c r="AZ501" s="12">
        <f>IF(AY501="","",INDEX('状态价值'!$D11:$K11,MATCH(AY501,'状态价值'!$D$1:$K$1,0)))</f>
        <v/>
      </c>
      <c r="BA501" s="12">
        <f>G501+L501+Q501+V501+AA501+AF501+AK501+AP501+AU501+AZ501</f>
        <v/>
      </c>
      <c r="BB501" s="12">
        <f>SUM('组合输入'!$J$2:$J$11)-BA501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6" t="inlineStr">
        <is>
          <t>CreditMetrics 组合结果</t>
        </is>
      </c>
    </row>
    <row r="3">
      <c r="A3" s="17" t="inlineStr">
        <is>
          <t>当前组合价值</t>
        </is>
      </c>
      <c r="B3" s="12">
        <f>SUM('组合输入'!$J$2:$J$11)</f>
        <v/>
      </c>
    </row>
    <row r="4">
      <c r="A4" s="17" t="inlineStr">
        <is>
          <t>解析期望一年后价值</t>
        </is>
      </c>
      <c r="B4" s="12">
        <f>SUM('状态价值'!$L$2:$L$11)</f>
        <v/>
      </c>
    </row>
    <row r="5">
      <c r="A5" s="17" t="inlineStr">
        <is>
          <t>解析期望损失</t>
        </is>
      </c>
      <c r="B5" s="12">
        <f>B3-B4</f>
        <v/>
      </c>
    </row>
    <row r="6">
      <c r="A6" s="17" t="inlineStr">
        <is>
          <t>模拟均值(一年后价值)</t>
        </is>
      </c>
      <c r="B6" s="12">
        <f>AVERAGE('模拟'!$BA$2:INDEX('模拟'!$BA$2:$BA$501,'参数'!$B$4))</f>
        <v/>
      </c>
    </row>
    <row r="7">
      <c r="A7" s="17" t="inlineStr">
        <is>
          <t>模拟损失标准差</t>
        </is>
      </c>
      <c r="B7" s="12">
        <f>STDEV.S('模拟'!$BB$2:INDEX('模拟'!$BB$2:$BB$501,'参数'!$B$4))</f>
        <v/>
      </c>
    </row>
    <row r="8">
      <c r="A8" s="17" t="inlineStr">
        <is>
          <t>VaR</t>
        </is>
      </c>
      <c r="B8" s="12">
        <f>PERCENTILE.INC('模拟'!$BB$2:INDEX('模拟'!$BB$2:$BB$501,'参数'!$B$4),'参数'!$B$3)</f>
        <v/>
      </c>
    </row>
    <row r="9">
      <c r="A9" s="17" t="inlineStr">
        <is>
          <t>ES</t>
        </is>
      </c>
      <c r="B9" s="12">
        <f>AVERAGEIF('模拟'!$BB$2:INDEX('模拟'!$BB$2:$BB$501,'参数'!$B$4),"&gt;="&amp;B8,'模拟'!$BB$2:INDEX('模拟'!$BB$2:$BB$501,'参数'!$B$4))</f>
        <v/>
      </c>
    </row>
    <row r="10">
      <c r="A10" s="17" t="inlineStr">
        <is>
          <t>最差模拟损失</t>
        </is>
      </c>
      <c r="B10" s="12">
        <f>MAX('模拟'!$BB$2:INDEX('模拟'!$BB$2:$BB$501,'参数'!$B$4))</f>
        <v/>
      </c>
    </row>
    <row r="11">
      <c r="A11" s="17" t="inlineStr">
        <is>
          <t>解析/模拟均值差</t>
        </is>
      </c>
      <c r="B11" s="12">
        <f>B4-B6</f>
        <v/>
      </c>
    </row>
    <row r="14">
      <c r="A14" s="18" t="inlineStr">
        <is>
          <t>债项解析摘要</t>
        </is>
      </c>
    </row>
    <row r="15">
      <c r="A15" s="4" t="inlineStr">
        <is>
          <t>序号</t>
        </is>
      </c>
      <c r="B15" s="4" t="inlineStr">
        <is>
          <t>债项名称</t>
        </is>
      </c>
      <c r="C15" s="4" t="inlineStr">
        <is>
          <t>当前评级</t>
        </is>
      </c>
      <c r="D15" s="4" t="inlineStr">
        <is>
          <t>当前价值</t>
        </is>
      </c>
      <c r="E15" s="4" t="inlineStr">
        <is>
          <t>期望价值</t>
        </is>
      </c>
      <c r="F15" s="4" t="inlineStr">
        <is>
          <t>期望损失</t>
        </is>
      </c>
      <c r="G15" s="4" t="inlineStr">
        <is>
          <t>波动率</t>
        </is>
      </c>
    </row>
    <row r="16">
      <c r="A16" s="11">
        <f>'组合输入'!A2</f>
        <v/>
      </c>
      <c r="B16" s="11">
        <f>'组合输入'!B2</f>
        <v/>
      </c>
      <c r="C16" s="11">
        <f>'组合输入'!C2</f>
        <v/>
      </c>
      <c r="D16" s="12">
        <f>'组合输入'!J2</f>
        <v/>
      </c>
      <c r="E16" s="12">
        <f>'状态价值'!L2</f>
        <v/>
      </c>
      <c r="F16" s="12">
        <f>'状态价值'!N2</f>
        <v/>
      </c>
      <c r="G16" s="12">
        <f>'状态价值'!M2</f>
        <v/>
      </c>
    </row>
    <row r="17">
      <c r="A17" s="11">
        <f>'组合输入'!A3</f>
        <v/>
      </c>
      <c r="B17" s="11">
        <f>'组合输入'!B3</f>
        <v/>
      </c>
      <c r="C17" s="11">
        <f>'组合输入'!C3</f>
        <v/>
      </c>
      <c r="D17" s="12">
        <f>'组合输入'!J3</f>
        <v/>
      </c>
      <c r="E17" s="12">
        <f>'状态价值'!L3</f>
        <v/>
      </c>
      <c r="F17" s="12">
        <f>'状态价值'!N3</f>
        <v/>
      </c>
      <c r="G17" s="12">
        <f>'状态价值'!M3</f>
        <v/>
      </c>
    </row>
    <row r="18">
      <c r="A18" s="11">
        <f>'组合输入'!A4</f>
        <v/>
      </c>
      <c r="B18" s="11">
        <f>'组合输入'!B4</f>
        <v/>
      </c>
      <c r="C18" s="11">
        <f>'组合输入'!C4</f>
        <v/>
      </c>
      <c r="D18" s="12">
        <f>'组合输入'!J4</f>
        <v/>
      </c>
      <c r="E18" s="12">
        <f>'状态价值'!L4</f>
        <v/>
      </c>
      <c r="F18" s="12">
        <f>'状态价值'!N4</f>
        <v/>
      </c>
      <c r="G18" s="12">
        <f>'状态价值'!M4</f>
        <v/>
      </c>
    </row>
    <row r="19">
      <c r="A19" s="11">
        <f>'组合输入'!A5</f>
        <v/>
      </c>
      <c r="B19" s="11">
        <f>'组合输入'!B5</f>
        <v/>
      </c>
      <c r="C19" s="11">
        <f>'组合输入'!C5</f>
        <v/>
      </c>
      <c r="D19" s="12">
        <f>'组合输入'!J5</f>
        <v/>
      </c>
      <c r="E19" s="12">
        <f>'状态价值'!L5</f>
        <v/>
      </c>
      <c r="F19" s="12">
        <f>'状态价值'!N5</f>
        <v/>
      </c>
      <c r="G19" s="12">
        <f>'状态价值'!M5</f>
        <v/>
      </c>
    </row>
    <row r="20">
      <c r="A20" s="11">
        <f>'组合输入'!A6</f>
        <v/>
      </c>
      <c r="B20" s="11">
        <f>'组合输入'!B6</f>
        <v/>
      </c>
      <c r="C20" s="11">
        <f>'组合输入'!C6</f>
        <v/>
      </c>
      <c r="D20" s="12">
        <f>'组合输入'!J6</f>
        <v/>
      </c>
      <c r="E20" s="12">
        <f>'状态价值'!L6</f>
        <v/>
      </c>
      <c r="F20" s="12">
        <f>'状态价值'!N6</f>
        <v/>
      </c>
      <c r="G20" s="12">
        <f>'状态价值'!M6</f>
        <v/>
      </c>
    </row>
    <row r="21">
      <c r="A21" s="11">
        <f>'组合输入'!A7</f>
        <v/>
      </c>
      <c r="B21" s="11">
        <f>'组合输入'!B7</f>
        <v/>
      </c>
      <c r="C21" s="11">
        <f>'组合输入'!C7</f>
        <v/>
      </c>
      <c r="D21" s="12">
        <f>'组合输入'!J7</f>
        <v/>
      </c>
      <c r="E21" s="12">
        <f>'状态价值'!L7</f>
        <v/>
      </c>
      <c r="F21" s="12">
        <f>'状态价值'!N7</f>
        <v/>
      </c>
      <c r="G21" s="12">
        <f>'状态价值'!M7</f>
        <v/>
      </c>
    </row>
    <row r="22">
      <c r="A22" s="11">
        <f>'组合输入'!A8</f>
        <v/>
      </c>
      <c r="B22" s="11">
        <f>'组合输入'!B8</f>
        <v/>
      </c>
      <c r="C22" s="11">
        <f>'组合输入'!C8</f>
        <v/>
      </c>
      <c r="D22" s="12">
        <f>'组合输入'!J8</f>
        <v/>
      </c>
      <c r="E22" s="12">
        <f>'状态价值'!L8</f>
        <v/>
      </c>
      <c r="F22" s="12">
        <f>'状态价值'!N8</f>
        <v/>
      </c>
      <c r="G22" s="12">
        <f>'状态价值'!M8</f>
        <v/>
      </c>
    </row>
    <row r="23">
      <c r="A23" s="11">
        <f>'组合输入'!A9</f>
        <v/>
      </c>
      <c r="B23" s="11">
        <f>'组合输入'!B9</f>
        <v/>
      </c>
      <c r="C23" s="11">
        <f>'组合输入'!C9</f>
        <v/>
      </c>
      <c r="D23" s="12">
        <f>'组合输入'!J9</f>
        <v/>
      </c>
      <c r="E23" s="12">
        <f>'状态价值'!L9</f>
        <v/>
      </c>
      <c r="F23" s="12">
        <f>'状态价值'!N9</f>
        <v/>
      </c>
      <c r="G23" s="12">
        <f>'状态价值'!M9</f>
        <v/>
      </c>
    </row>
    <row r="24">
      <c r="A24" s="11">
        <f>'组合输入'!A10</f>
        <v/>
      </c>
      <c r="B24" s="11">
        <f>'组合输入'!B10</f>
        <v/>
      </c>
      <c r="C24" s="11">
        <f>'组合输入'!C10</f>
        <v/>
      </c>
      <c r="D24" s="12">
        <f>'组合输入'!J10</f>
        <v/>
      </c>
      <c r="E24" s="12">
        <f>'状态价值'!L10</f>
        <v/>
      </c>
      <c r="F24" s="12">
        <f>'状态价值'!N10</f>
        <v/>
      </c>
      <c r="G24" s="12">
        <f>'状态价值'!M10</f>
        <v/>
      </c>
    </row>
    <row r="25">
      <c r="A25" s="11">
        <f>'组合输入'!A11</f>
        <v/>
      </c>
      <c r="B25" s="11">
        <f>'组合输入'!B11</f>
        <v/>
      </c>
      <c r="C25" s="11">
        <f>'组合输入'!C11</f>
        <v/>
      </c>
      <c r="D25" s="12">
        <f>'组合输入'!J11</f>
        <v/>
      </c>
      <c r="E25" s="12">
        <f>'状态价值'!L11</f>
        <v/>
      </c>
      <c r="F25" s="12">
        <f>'状态价值'!N11</f>
        <v/>
      </c>
      <c r="G25" s="12">
        <f>'状态价值'!M11</f>
        <v/>
      </c>
    </row>
  </sheetData>
  <conditionalFormatting sqref="B8:B10">
    <cfRule type="cellIs" priority="1" operator="greaterThan" dxfId="1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2026-04-30T15:25:25Z</dcterms:created>
  <dcterms:modified xsi:type="dcterms:W3CDTF">2026-04-30T15:26:26Z</dcterms:modified>
</cp:coreProperties>
</file>